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media/image3.svg" ContentType="image/svg+xml"/>
  <Override PartName="/xl/media/image6.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activeTab="2"/>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externalReferences>
    <externalReference r:id="rId12"/>
  </externalReferences>
  <definedNames>
    <definedName name="_xlnm._FilterDatabase" localSheetId="2" hidden="1">'Term 1'!$C$15:$C$118</definedName>
    <definedName name="_xlnm._FilterDatabase" localSheetId="3" hidden="1">'Term 2'!$C$15:$C$118</definedName>
    <definedName name="_xlnm._FilterDatabase" localSheetId="4" hidden="1">'Term 3'!$C$15:$C$118</definedName>
    <definedName name="_xlnm._FilterDatabase" localSheetId="6" hidden="1">HELPER!$J$6:$Z$163</definedName>
    <definedName name="_xlnm._FilterDatabase" localSheetId="5" hidden="1">'FINAL GRADES'!$C$16:$C$117</definedName>
    <definedName name="PERFORMANCETASKS">#REF!</definedName>
    <definedName name="_xlnm.Print_Area" localSheetId="5">'FINAL GRADES'!$A$1:$K$125</definedName>
    <definedName name="_xlnm.Print_Area" localSheetId="2">'Term 1'!$A$1:$AN$119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<sst xmlns="http://schemas.openxmlformats.org/spreadsheetml/2006/main" count="1238" uniqueCount="425">
  <si>
    <t>Exclusively for Strengthened SHS Curriculum Implementers</t>
  </si>
  <si>
    <r>
      <rPr>
        <b/>
        <sz val="20"/>
        <color rgb="FFC00000"/>
        <rFont val="Arial Narrow"/>
        <charset val="134"/>
      </rPr>
      <t xml:space="preserve">Instructions: </t>
    </r>
    <r>
      <rPr>
        <b/>
        <sz val="20"/>
        <color theme="1"/>
        <rFont val="Arial Narrow"/>
        <charset val="134"/>
      </rPr>
      <t>Accomplishing the Electronic Class Record (ECR) for SSHS</t>
    </r>
  </si>
  <si>
    <t>Input the correct data for the following sections. Any details entered here are used throughout the e-Class Record.</t>
  </si>
  <si>
    <r>
      <rPr>
        <b/>
        <sz val="11"/>
        <color rgb="FF0070C0"/>
        <rFont val="Arial Narrow"/>
        <charset val="134"/>
      </rPr>
      <t xml:space="preserve">This template is intended exclusively
</t>
    </r>
    <r>
      <rPr>
        <b/>
        <sz val="16"/>
        <color rgb="FF0070C0"/>
        <rFont val="Arial Narrow"/>
        <charset val="134"/>
      </rPr>
      <t>for Strengthened SHS Curriculum implementers</t>
    </r>
    <r>
      <rPr>
        <b/>
        <sz val="11"/>
        <color rgb="FF0070C0"/>
        <rFont val="Arial Narrow"/>
        <charset val="134"/>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</si>
  <si>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</si>
  <si>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</si>
  <si>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</si>
  <si>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</si>
  <si>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</si>
  <si>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</si>
  <si>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</si>
  <si>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</si>
  <si>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</si>
  <si>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</si>
  <si>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</si>
  <si>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</si>
  <si>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</si>
  <si>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</si>
  <si>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charset val="134"/>
      </rPr>
      <t>Upon donwload of this ECR, the School Year (2026–2027) is already pre-filled</t>
    </r>
    <r>
      <rPr>
        <i/>
        <sz val="10"/>
        <color theme="1"/>
        <rFont val="Arial Narrow"/>
        <charset val="134"/>
      </rPr>
      <t>.
This may be updated.</t>
    </r>
  </si>
  <si>
    <t>TEACHER, GRADE LEVEL, AND SUBJECT AREA INFO</t>
  </si>
  <si>
    <t>Enter teacher's name.</t>
  </si>
  <si>
    <t>TEACHER</t>
  </si>
  <si>
    <t>Input the grade level taught. This field only accepts 11 or 12.</t>
  </si>
  <si>
    <t>GRADE LEVEL</t>
  </si>
  <si>
    <t>Enter section name.</t>
  </si>
  <si>
    <t>SECTION NAME</t>
  </si>
  <si>
    <r>
      <rPr>
        <i/>
        <sz val="10"/>
        <color theme="1"/>
        <rFont val="Arial Narrow"/>
        <charset val="134"/>
      </rPr>
      <t>Indicate "</t>
    </r>
    <r>
      <rPr>
        <b/>
        <i/>
        <sz val="10"/>
        <color theme="1"/>
        <rFont val="Arial Narrow"/>
        <charset val="134"/>
      </rPr>
      <t>Various Sections</t>
    </r>
    <r>
      <rPr>
        <i/>
        <sz val="10"/>
        <color theme="1"/>
        <rFont val="Arial Narrow"/>
        <charset val="134"/>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</si>
  <si>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</si>
  <si>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</si>
  <si>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</si>
  <si>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</si>
  <si>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</si>
  <si>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</si>
  <si>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rPr>
        <i/>
        <sz val="11"/>
        <color theme="1"/>
        <rFont val="Arial Narrow"/>
        <charset val="134"/>
      </rPr>
      <t>If applicable, select</t>
    </r>
    <r>
      <rPr>
        <b/>
        <i/>
        <sz val="11"/>
        <color rgb="FF0070C0"/>
        <rFont val="Arial Narrow"/>
        <charset val="134"/>
      </rPr>
      <t xml:space="preserve"> “Other Elective and Special Curricular Program”</t>
    </r>
    <r>
      <rPr>
        <i/>
        <sz val="11"/>
        <color theme="1"/>
        <rFont val="Arial Narrow"/>
        <charset val="134"/>
      </rPr>
      <t>, then enter the new elective or subject in the field provided. Complete the details of the subject in the correct fields.</t>
    </r>
  </si>
  <si>
    <t>Other Elective &amp; Special Curricular Program / Subject</t>
  </si>
  <si>
    <r>
      <rPr>
        <b/>
        <sz val="10"/>
        <color theme="5"/>
        <rFont val="Arial Narrow"/>
        <charset val="134"/>
      </rPr>
      <t>Text highlighted in orange</t>
    </r>
    <r>
      <rPr>
        <i/>
        <sz val="10"/>
        <color theme="1"/>
        <rFont val="Arial Narrow"/>
        <charset val="134"/>
      </rPr>
      <t xml:space="preserve"> indicates that the selected Track, Cluster, or Subject is not applicable to the grade level. Select only from the available dropdown options.</t>
    </r>
  </si>
  <si>
    <t>NO. TERMS TAUGHT</t>
  </si>
  <si>
    <t>Term Blk</t>
  </si>
  <si>
    <t>UNITS PER TERM</t>
  </si>
  <si>
    <r>
      <rPr>
        <sz val="11"/>
        <color theme="1"/>
        <rFont val="Arial Narrow"/>
        <charset val="134"/>
      </rPr>
      <t xml:space="preserve">As an additional guide, the number of terms in which the subject is taught (1 or 3), as well as the units to be earned per term and per year, will be displayed once a subject or elective is selected. </t>
    </r>
    <r>
      <rPr>
        <b/>
        <i/>
        <sz val="11"/>
        <color theme="1"/>
        <rFont val="Arial Narrow"/>
        <charset val="134"/>
      </rPr>
      <t>For Other Electives, manually enter these details in the correct fields.</t>
    </r>
  </si>
  <si>
    <t>UNITS PER YEAR</t>
  </si>
  <si>
    <t>For electives offered for one or two terms, indicate the “Term Block.” Data may only be encoded in the sheet corresponding to the selected term. For electives offered for two terms, indicate the first term in which the elective is offered. The succeeding term will automatically be displayed.</t>
  </si>
  <si>
    <r>
      <rPr>
        <i/>
        <sz val="10"/>
        <color theme="1"/>
        <rFont val="Arial Narrow"/>
        <charset val="134"/>
      </rPr>
      <t>A</t>
    </r>
    <r>
      <rPr>
        <b/>
        <i/>
        <sz val="10"/>
        <color theme="1"/>
        <rFont val="Arial Narrow"/>
        <charset val="134"/>
      </rPr>
      <t xml:space="preserve"> helper notification</t>
    </r>
    <r>
      <rPr>
        <i/>
        <sz val="10"/>
        <color theme="1"/>
        <rFont val="Arial Narrow"/>
        <charset val="134"/>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</si>
  <si>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</si>
  <si>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</si>
  <si>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</si>
  <si>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</si>
  <si>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</si>
  <si>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</si>
  <si>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</si>
  <si>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</si>
  <si>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</si>
  <si>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</si>
  <si>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rPr>
        <i/>
        <sz val="10"/>
        <color theme="1"/>
        <rFont val="Arial Narrow"/>
        <charset val="134"/>
      </rPr>
      <t xml:space="preserve">In cases where </t>
    </r>
    <r>
      <rPr>
        <b/>
        <i/>
        <sz val="10"/>
        <color theme="1"/>
        <rFont val="Arial Narrow"/>
        <charset val="134"/>
      </rPr>
      <t>multiple sections</t>
    </r>
    <r>
      <rPr>
        <i/>
        <sz val="10"/>
        <color theme="1"/>
        <rFont val="Arial Narrow"/>
        <charset val="134"/>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</si>
  <si>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</si>
  <si>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</si>
  <si>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</si>
  <si>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</si>
  <si>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</si>
  <si>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</si>
  <si>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</si>
  <si>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</si>
  <si>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</si>
  <si>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</si>
  <si>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</si>
  <si>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charset val="134"/>
      </rPr>
      <t>Recommended number</t>
    </r>
    <r>
      <rPr>
        <i/>
        <sz val="10"/>
        <color theme="1"/>
        <rFont val="Arial Narrow"/>
        <charset val="134"/>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</si>
  <si>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</si>
  <si>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</si>
  <si>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</si>
  <si>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</si>
  <si>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</si>
  <si>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</si>
  <si>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</si>
  <si>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</si>
  <si>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</si>
  <si>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</si>
  <si>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</si>
  <si>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</si>
  <si>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</si>
  <si>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</si>
  <si>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</si>
  <si>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</si>
  <si>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</si>
  <si>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charset val="134"/>
      </rPr>
      <t>“INCORRECT SHEET. Do not use this sheet to input data.”</t>
    </r>
    <r>
      <rPr>
        <i/>
        <sz val="10"/>
        <color theme="0"/>
        <rFont val="Arial Narrow"/>
        <charset val="134"/>
      </rPr>
      <t xml:space="preserve"> is displayed above the term sheet to indicate that the sheet is not applicable for data entry.</t>
    </r>
  </si>
  <si>
    <t>Review final grades. The computation of final grades depends on the selected subject and grade level.</t>
  </si>
  <si>
    <r>
      <rPr>
        <sz val="11"/>
        <rFont val="Arial Narrow"/>
        <charset val="134"/>
      </rPr>
      <t xml:space="preserve">Grades are computed in accordance with </t>
    </r>
    <r>
      <rPr>
        <b/>
        <sz val="11"/>
        <rFont val="Arial Narrow"/>
        <charset val="134"/>
      </rPr>
      <t>DepEd Order No. 015, s. 2026</t>
    </r>
    <r>
      <rPr>
        <sz val="11"/>
        <rFont val="Arial Narrow"/>
        <charset val="134"/>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</si>
  <si>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</si>
  <si>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</si>
  <si>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</si>
  <si>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</si>
  <si>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</si>
  <si>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</si>
  <si>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</si>
  <si>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</si>
  <si>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</si>
  <si>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rPr>
        <sz val="11"/>
        <rFont val="Arial Narrow"/>
        <charset val="134"/>
      </rPr>
      <t xml:space="preserve">The grading system for the </t>
    </r>
    <r>
      <rPr>
        <b/>
        <sz val="11"/>
        <rFont val="Arial Narrow"/>
        <charset val="134"/>
      </rPr>
      <t>Strengthened Senior High School (SSHS)</t>
    </r>
    <r>
      <rPr>
        <sz val="11"/>
        <rFont val="Arial Narrow"/>
        <charset val="134"/>
      </rPr>
      <t xml:space="preserve"> follows a different set of weights for each component.</t>
    </r>
  </si>
  <si>
    <t>PS</t>
  </si>
  <si>
    <t>Percentage Score</t>
  </si>
  <si>
    <t>WW</t>
  </si>
  <si>
    <t>Written/Oral Works</t>
  </si>
  <si>
    <t>PT</t>
  </si>
  <si>
    <t>Product/Performance Tasks</t>
  </si>
  <si>
    <r>
      <rPr>
        <b/>
        <sz val="11"/>
        <rFont val="Arial Narrow"/>
        <charset val="134"/>
      </rPr>
      <t xml:space="preserve">Weight of the Components for the
</t>
    </r>
    <r>
      <rPr>
        <b/>
        <sz val="11"/>
        <color rgb="FF0070C0"/>
        <rFont val="Arial Narrow"/>
        <charset val="134"/>
      </rPr>
      <t>Strengthened Senior High School (SSHS)</t>
    </r>
  </si>
  <si>
    <t>Subject</t>
  </si>
  <si>
    <t>Component</t>
  </si>
  <si>
    <t>NOTE:</t>
  </si>
  <si>
    <t>WWs</t>
  </si>
  <si>
    <t>PTs</t>
  </si>
  <si>
    <t>EXs</t>
  </si>
  <si>
    <r>
      <rPr>
        <i/>
        <sz val="10"/>
        <color rgb="FF0046D2"/>
        <rFont val="Arial Narrow"/>
        <charset val="134"/>
      </rPr>
      <t>*</t>
    </r>
    <r>
      <rPr>
        <i/>
        <sz val="10"/>
        <rFont val="Arial Narrow"/>
        <charset val="134"/>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</si>
  <si>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</si>
  <si>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</si>
  <si>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</si>
  <si>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</si>
  <si>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</si>
  <si>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</si>
  <si>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</si>
  <si>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charset val="134"/>
      </rPr>
      <t>*</t>
    </r>
    <r>
      <rPr>
        <b/>
        <sz val="10"/>
        <rFont val="Arial Narrow"/>
        <charset val="134"/>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</si>
  <si>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</si>
  <si>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</si>
  <si>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</si>
  <si>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</si>
  <si>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</si>
  <si>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</si>
  <si>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</si>
  <si>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</si>
  <si>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</si>
  <si>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</si>
  <si>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</si>
  <si>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</si>
  <si>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</si>
  <si>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</si>
  <si>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</si>
  <si>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</si>
  <si>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</si>
  <si>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</si>
  <si>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</si>
  <si>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</si>
  <si>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</si>
  <si>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</si>
  <si>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</si>
  <si>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</si>
  <si>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</si>
  <si>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t xml:space="preserve">Region IV-A </t>
  </si>
  <si>
    <r>
      <rPr>
        <b/>
        <sz val="11"/>
        <color theme="0"/>
        <rFont val="Arial Narrow"/>
        <charset val="134"/>
      </rPr>
      <t>MALE LEARNERS</t>
    </r>
    <r>
      <rPr>
        <sz val="11"/>
        <color theme="0"/>
        <rFont val="Arial Narrow"/>
        <charset val="134"/>
      </rPr>
      <t xml:space="preserve"> (Last, First Middle)</t>
    </r>
  </si>
  <si>
    <r>
      <rPr>
        <b/>
        <sz val="11"/>
        <color theme="0"/>
        <rFont val="Arial Narrow"/>
        <charset val="134"/>
      </rPr>
      <t xml:space="preserve">FEMALE LEARNERS </t>
    </r>
    <r>
      <rPr>
        <sz val="11"/>
        <color theme="0"/>
        <rFont val="Arial Narrow"/>
        <charset val="134"/>
      </rPr>
      <t>(Last, First Middle)</t>
    </r>
  </si>
  <si>
    <t>CALAMBA CITY</t>
  </si>
  <si>
    <t>CALICA, LJAY</t>
  </si>
  <si>
    <t>EDUARDO BARRETTO SR. INTEGRATED SCHOOL</t>
  </si>
  <si>
    <t>KAREN P. GONZAGA</t>
  </si>
  <si>
    <t>← Accepts 11 or 12 only.</t>
  </si>
  <si>
    <t>MILKY WAY</t>
  </si>
  <si>
    <t>STRENGTHENED SHS</t>
  </si>
  <si>
    <t>SSHS - CORE</t>
  </si>
  <si>
    <t>CORE</t>
  </si>
  <si>
    <t>General Mathematics</t>
  </si>
  <si>
    <t>FIRST TERM</t>
  </si>
  <si>
    <t>OTHER ELECTIVE / SPECIAL CURRICULAR PROGRAM</t>
  </si>
  <si>
    <t>OTHER ELECTIVE</t>
  </si>
  <si>
    <t>COMPONENT WEIGHTS</t>
  </si>
  <si>
    <t>WRITTEN/ORAL WORKS</t>
  </si>
  <si>
    <t>PERFORMANCE TASKS</t>
  </si>
  <si>
    <t>EXAMINATIONS</t>
  </si>
  <si>
    <t>Summative Test 1</t>
  </si>
  <si>
    <t>Summative Test 2</t>
  </si>
  <si>
    <t>Term Exam</t>
  </si>
  <si>
    <t>TERMS AND UNITS</t>
  </si>
  <si>
    <r>
      <rPr>
        <sz val="11"/>
        <color theme="1"/>
        <rFont val="Arial Narrow"/>
        <charset val="134"/>
      </rPr>
      <t xml:space="preserve">If the subject is </t>
    </r>
    <r>
      <rPr>
        <b/>
        <sz val="11"/>
        <color rgb="FF008000"/>
        <rFont val="Arial Narrow"/>
        <charset val="134"/>
      </rPr>
      <t>taught for only one term</t>
    </r>
    <r>
      <rPr>
        <sz val="11"/>
        <color rgb="FF008000"/>
        <rFont val="Arial Narrow"/>
        <charset val="134"/>
      </rPr>
      <t>, accomplish only the corresponding sheet for that term</t>
    </r>
    <r>
      <rPr>
        <sz val="11"/>
        <color theme="1"/>
        <rFont val="Arial Narrow"/>
        <charset val="134"/>
      </rPr>
      <t>. If the subject is</t>
    </r>
    <r>
      <rPr>
        <b/>
        <sz val="11"/>
        <color rgb="FF0046D2"/>
        <rFont val="Arial Narrow"/>
        <charset val="134"/>
      </rPr>
      <t xml:space="preserve"> taught across three terms</t>
    </r>
    <r>
      <rPr>
        <sz val="11"/>
        <color rgb="FF0046D2"/>
        <rFont val="Arial Narrow"/>
        <charset val="134"/>
      </rPr>
      <t>, accomplish all Term sheets.</t>
    </r>
  </si>
  <si>
    <t>Duplicate LRN</t>
  </si>
  <si>
    <t>2026_v1.0</t>
  </si>
  <si>
    <t>Strengthened Senior High School Class Record</t>
  </si>
  <si>
    <t>(Pursuant to DepEd Order 15, series of 2026)</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</si>
  <si>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</si>
  <si>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</si>
  <si>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</si>
  <si>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</si>
  <si>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</si>
  <si>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</si>
  <si>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</si>
  <si>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</si>
  <si>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</si>
  <si>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</si>
  <si>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</si>
  <si>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</si>
  <si>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</si>
  <si>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</si>
  <si>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</si>
  <si>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</si>
  <si>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</si>
  <si>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</si>
  <si>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</si>
  <si>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</si>
  <si>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</si>
  <si>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</si>
  <si>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</si>
  <si>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</si>
  <si>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</si>
  <si>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</si>
  <si>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</si>
  <si>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</si>
  <si>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</si>
  <si>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</si>
  <si>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</si>
  <si>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</si>
  <si>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</si>
  <si>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</si>
  <si>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</si>
  <si>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</si>
  <si>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</si>
  <si>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</si>
  <si>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</si>
  <si>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</si>
  <si>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</si>
  <si>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</si>
  <si>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</si>
  <si>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</si>
  <si>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</si>
  <si>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</si>
  <si>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</si>
  <si>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</si>
  <si>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</si>
  <si>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</si>
  <si>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</si>
  <si>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charset val="134"/>
      </rPr>
      <t>IMPORTANT</t>
    </r>
    <r>
      <rPr>
        <sz val="11"/>
        <color rgb="FFFF0000"/>
        <rFont val="Arial Narrow"/>
        <charset val="134"/>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</si>
  <si>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</si>
  <si>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</si>
  <si>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</si>
  <si>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</si>
  <si>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</si>
  <si>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</si>
  <si>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</si>
  <si>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</si>
  <si>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</si>
  <si>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</si>
  <si>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</si>
  <si>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</si>
  <si>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</si>
  <si>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</si>
  <si>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</si>
  <si>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</si>
  <si>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</si>
  <si>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</si>
  <si>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</si>
  <si>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</si>
  <si>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</si>
  <si>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</si>
  <si>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</si>
  <si>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Effective Communication</t>
  </si>
  <si>
    <t xml:space="preserve">11 </t>
  </si>
  <si>
    <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</si>
  <si>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</si>
  <si>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</si>
  <si>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</si>
  <si>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</si>
  <si>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</si>
  <si>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</si>
  <si>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</si>
  <si>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</si>
  <si>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</si>
  <si>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</si>
  <si>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</si>
  <si>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</si>
  <si>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</si>
  <si>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</si>
  <si>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</si>
  <si>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</si>
  <si>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</si>
  <si>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</si>
  <si>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</si>
  <si>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</si>
  <si>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</si>
  <si>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</si>
  <si>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</si>
  <si>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Note: Accomplish only ONE (1) term sheet. Select the applicable TERM BLOCK. ↑</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</si>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</sst>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s>
  <fonts count="110">
    <font>
      <sz val="11"/>
      <color theme="1"/>
      <name val="Calibri"/>
      <charset val="134"/>
      <scheme val="minor"/>
    </font>
    <font>
      <b/>
      <sz val="11"/>
      <color theme="1"/>
      <name val="Arial Narrow"/>
      <charset val="134"/>
    </font>
    <font>
      <sz val="11"/>
      <color theme="1"/>
      <name val="Arial Narrow"/>
      <charset val="134"/>
    </font>
    <font>
      <b/>
      <sz val="12"/>
      <color rgb="FF0046D2"/>
      <name val="Arial Narrow"/>
      <charset val="134"/>
    </font>
    <font>
      <i/>
      <sz val="11"/>
      <color theme="1"/>
      <name val="Arial Narrow"/>
      <charset val="134"/>
    </font>
    <font>
      <sz val="11"/>
      <color theme="0"/>
      <name val="Arial Narrow"/>
      <charset val="134"/>
    </font>
    <font>
      <b/>
      <sz val="22"/>
      <color theme="1"/>
      <name val="Arial Narrow"/>
      <charset val="134"/>
    </font>
    <font>
      <sz val="11"/>
      <color rgb="FFFF0000"/>
      <name val="Arial Narrow"/>
      <charset val="134"/>
    </font>
    <font>
      <b/>
      <sz val="11"/>
      <color theme="0"/>
      <name val="Arial Narrow"/>
      <charset val="134"/>
    </font>
    <font>
      <b/>
      <sz val="20"/>
      <color rgb="FFFF0000"/>
      <name val="Arial Narrow"/>
      <charset val="134"/>
    </font>
    <font>
      <sz val="11"/>
      <name val="Arial Narrow"/>
      <charset val="134"/>
    </font>
    <font>
      <b/>
      <sz val="11"/>
      <name val="Arial Narrow"/>
      <charset val="134"/>
    </font>
    <font>
      <sz val="11"/>
      <color rgb="FF0070C0"/>
      <name val="Arial Narrow"/>
      <charset val="134"/>
    </font>
    <font>
      <sz val="10"/>
      <color theme="1"/>
      <name val="Arial Narrow"/>
      <charset val="134"/>
    </font>
    <font>
      <i/>
      <sz val="8"/>
      <color theme="1"/>
      <name val="Arial Narrow"/>
      <charset val="134"/>
    </font>
    <font>
      <b/>
      <i/>
      <sz val="11"/>
      <color theme="1"/>
      <name val="Arial Narrow"/>
      <charset val="134"/>
    </font>
    <font>
      <b/>
      <u/>
      <sz val="11"/>
      <color theme="1"/>
      <name val="Arial Narrow"/>
      <charset val="134"/>
    </font>
    <font>
      <b/>
      <sz val="11"/>
      <color theme="9" tint="-0.249977111117893"/>
      <name val="Arial Narrow"/>
      <charset val="134"/>
    </font>
    <font>
      <b/>
      <sz val="11"/>
      <color rgb="FF0070C0"/>
      <name val="Arial Narrow"/>
      <charset val="134"/>
    </font>
    <font>
      <b/>
      <sz val="11"/>
      <color theme="5"/>
      <name val="Arial Narrow"/>
      <charset val="134"/>
    </font>
    <font>
      <b/>
      <sz val="18"/>
      <color theme="1"/>
      <name val="Arial Narrow"/>
      <charset val="134"/>
    </font>
    <font>
      <b/>
      <i/>
      <sz val="11"/>
      <color rgb="FF0046D2"/>
      <name val="Arial Narrow"/>
      <charset val="134"/>
    </font>
    <font>
      <b/>
      <sz val="11"/>
      <color rgb="FF0046D2"/>
      <name val="Arial Narrow"/>
      <charset val="134"/>
    </font>
    <font>
      <sz val="11"/>
      <color theme="1" tint="0.349986266670736"/>
      <name val="Arial Narrow"/>
      <charset val="134"/>
    </font>
    <font>
      <sz val="12"/>
      <name val="Arial Narrow"/>
      <charset val="134"/>
    </font>
    <font>
      <sz val="12"/>
      <color theme="0"/>
      <name val="Arial Narrow"/>
      <charset val="134"/>
    </font>
    <font>
      <b/>
      <i/>
      <sz val="10"/>
      <color theme="1"/>
      <name val="Arial Narrow"/>
      <charset val="134"/>
    </font>
    <font>
      <i/>
      <sz val="10"/>
      <color theme="1"/>
      <name val="Arial Narrow"/>
      <charset val="134"/>
    </font>
    <font>
      <b/>
      <sz val="20"/>
      <color theme="1"/>
      <name val="Arial Narrow"/>
      <charset val="134"/>
    </font>
    <font>
      <b/>
      <sz val="16"/>
      <color rgb="FF0046D2"/>
      <name val="Arial Narrow"/>
      <charset val="134"/>
    </font>
    <font>
      <b/>
      <sz val="16"/>
      <color theme="1"/>
      <name val="Arial Narrow"/>
      <charset val="134"/>
    </font>
    <font>
      <b/>
      <i/>
      <sz val="16"/>
      <color theme="1"/>
      <name val="Arial Narrow"/>
      <charset val="134"/>
    </font>
    <font>
      <b/>
      <sz val="14"/>
      <color theme="0"/>
      <name val="Arial Narrow"/>
      <charset val="134"/>
    </font>
    <font>
      <b/>
      <sz val="18"/>
      <color rgb="FFFF0000"/>
      <name val="Arial Narrow"/>
      <charset val="134"/>
    </font>
    <font>
      <b/>
      <sz val="20"/>
      <color theme="0"/>
      <name val="Arial Narrow"/>
      <charset val="134"/>
    </font>
    <font>
      <b/>
      <sz val="20"/>
      <color theme="4" tint="-0.249977111117893"/>
      <name val="Arial Narrow"/>
      <charset val="134"/>
    </font>
    <font>
      <b/>
      <i/>
      <sz val="11"/>
      <color theme="4" tint="-0.249977111117893"/>
      <name val="Arial Narrow"/>
      <charset val="134"/>
    </font>
    <font>
      <i/>
      <sz val="8"/>
      <color theme="1" tint="0.349986266670736"/>
      <name val="Arial Narrow"/>
      <charset val="134"/>
    </font>
    <font>
      <b/>
      <sz val="12"/>
      <color theme="0"/>
      <name val="Arial Narrow"/>
      <charset val="134"/>
    </font>
    <font>
      <b/>
      <sz val="11"/>
      <color theme="4" tint="-0.249977111117893"/>
      <name val="Arial Narrow"/>
      <charset val="134"/>
    </font>
    <font>
      <b/>
      <sz val="11"/>
      <color rgb="FF002060"/>
      <name val="Arial Narrow"/>
      <charset val="134"/>
    </font>
    <font>
      <b/>
      <sz val="11"/>
      <color indexed="8"/>
      <name val="Arial Narrow"/>
      <charset val="134"/>
    </font>
    <font>
      <sz val="11"/>
      <color rgb="FF0046D2"/>
      <name val="Arial Narrow"/>
      <charset val="134"/>
    </font>
    <font>
      <b/>
      <sz val="8"/>
      <color theme="1" tint="0.349986266670736"/>
      <name val="Arial Narrow"/>
      <charset val="134"/>
    </font>
    <font>
      <b/>
      <sz val="12"/>
      <name val="Arial Narrow"/>
      <charset val="134"/>
    </font>
    <font>
      <b/>
      <sz val="11"/>
      <color theme="1" tint="0.349986266670736"/>
      <name val="Arial Narrow"/>
      <charset val="134"/>
    </font>
    <font>
      <i/>
      <sz val="10"/>
      <color rgb="FF0046D2"/>
      <name val="Arial Narrow"/>
      <charset val="134"/>
    </font>
    <font>
      <b/>
      <i/>
      <sz val="10"/>
      <color theme="5"/>
      <name val="Arial Narrow"/>
      <charset val="134"/>
    </font>
    <font>
      <b/>
      <sz val="10"/>
      <color theme="4" tint="-0.249977111117893"/>
      <name val="Arial Narrow"/>
      <charset val="134"/>
    </font>
    <font>
      <b/>
      <sz val="10"/>
      <color rgb="FF002060"/>
      <name val="Arial Narrow"/>
      <charset val="134"/>
    </font>
    <font>
      <b/>
      <sz val="11"/>
      <color theme="4" tint="-0.499984740745262"/>
      <name val="Arial Narrow"/>
      <charset val="134"/>
    </font>
    <font>
      <b/>
      <sz val="11"/>
      <color theme="8" tint="-0.249977111117893"/>
      <name val="Arial Narrow"/>
      <charset val="134"/>
    </font>
    <font>
      <b/>
      <i/>
      <sz val="11"/>
      <color theme="4" tint="-0.499984740745262"/>
      <name val="Arial Narrow"/>
      <charset val="134"/>
    </font>
    <font>
      <sz val="11"/>
      <color theme="4" tint="-0.499984740745262"/>
      <name val="Arial Narrow"/>
      <charset val="134"/>
    </font>
    <font>
      <b/>
      <i/>
      <sz val="11"/>
      <name val="Arial Narrow"/>
      <charset val="134"/>
    </font>
    <font>
      <sz val="10"/>
      <color rgb="FF002060"/>
      <name val="Arial Narrow"/>
      <charset val="134"/>
    </font>
    <font>
      <b/>
      <sz val="12"/>
      <color rgb="FF0046D2"/>
      <name val="Aptos Black"/>
      <charset val="134"/>
    </font>
    <font>
      <b/>
      <sz val="11"/>
      <color rgb="FFFF0000"/>
      <name val="Arial Narrow"/>
      <charset val="134"/>
    </font>
    <font>
      <b/>
      <sz val="11"/>
      <color rgb="FF0046D2"/>
      <name val="Aptos Black"/>
      <charset val="134"/>
    </font>
    <font>
      <b/>
      <sz val="20"/>
      <color rgb="FFC00000"/>
      <name val="Arial Narrow"/>
      <charset val="134"/>
    </font>
    <font>
      <b/>
      <i/>
      <sz val="11"/>
      <color rgb="FF0070C0"/>
      <name val="Arial Narrow"/>
      <charset val="134"/>
    </font>
    <font>
      <b/>
      <sz val="18"/>
      <color theme="0"/>
      <name val="Arial Narrow"/>
      <charset val="134"/>
    </font>
    <font>
      <sz val="16"/>
      <color theme="1"/>
      <name val="Arial Narrow"/>
      <charset val="134"/>
    </font>
    <font>
      <b/>
      <sz val="12"/>
      <color rgb="FF0070C0"/>
      <name val="Arial Narrow"/>
      <charset val="134"/>
    </font>
    <font>
      <b/>
      <sz val="12"/>
      <color rgb="FF0070C0"/>
      <name val="Aptos Black"/>
      <charset val="134"/>
    </font>
    <font>
      <b/>
      <sz val="10"/>
      <color rgb="FF0046D2"/>
      <name val="Arial Narrow"/>
      <charset val="134"/>
    </font>
    <font>
      <i/>
      <sz val="10"/>
      <color rgb="FF002060"/>
      <name val="Arial Narrow"/>
      <charset val="134"/>
    </font>
    <font>
      <b/>
      <sz val="10"/>
      <color theme="8" tint="0.399975585192419"/>
      <name val="Arial Narrow"/>
      <charset val="134"/>
    </font>
    <font>
      <b/>
      <sz val="11"/>
      <color theme="8" tint="0.399975585192419"/>
      <name val="Arial Narrow"/>
      <charset val="134"/>
    </font>
    <font>
      <i/>
      <sz val="11"/>
      <color rgb="FF0046D2"/>
      <name val="Arial Narrow"/>
      <charset val="134"/>
    </font>
    <font>
      <b/>
      <i/>
      <sz val="10"/>
      <color rgb="FF0046D2"/>
      <name val="Arial Narrow"/>
      <charset val="134"/>
    </font>
    <font>
      <b/>
      <sz val="10"/>
      <color theme="0"/>
      <name val="Arial Narrow"/>
      <charset val="134"/>
    </font>
    <font>
      <b/>
      <sz val="10"/>
      <color theme="1"/>
      <name val="Arial Narrow"/>
      <charset val="134"/>
    </font>
    <font>
      <b/>
      <sz val="10"/>
      <color theme="2" tint="-0.249977111117893"/>
      <name val="Arial Narrow"/>
      <charset val="134"/>
    </font>
    <font>
      <i/>
      <sz val="10"/>
      <name val="Arial Narrow"/>
      <charset val="134"/>
    </font>
    <font>
      <sz val="11"/>
      <color rgb="FF008000"/>
      <name val="Arial Narrow"/>
      <charset val="134"/>
    </font>
    <font>
      <b/>
      <i/>
      <sz val="10"/>
      <color rgb="FF0046D2"/>
      <name val="Aptos Black"/>
      <charset val="134"/>
    </font>
    <font>
      <b/>
      <sz val="11"/>
      <color rgb="FF008000"/>
      <name val="Arial Narrow"/>
      <charset val="134"/>
    </font>
    <font>
      <i/>
      <sz val="10"/>
      <color theme="0"/>
      <name val="Arial Narrow"/>
      <charset val="134"/>
    </font>
    <font>
      <b/>
      <sz val="10"/>
      <name val="Arial Narrow"/>
      <charset val="134"/>
    </font>
    <font>
      <sz val="10"/>
      <name val="Arial Narrow"/>
      <charset val="134"/>
    </font>
    <font>
      <b/>
      <sz val="9"/>
      <name val="Arial Narrow"/>
      <charset val="134"/>
    </font>
    <font>
      <sz val="9"/>
      <name val="Arial Narrow"/>
      <charset val="134"/>
    </font>
    <font>
      <i/>
      <sz val="11"/>
      <name val="Arial Narrow"/>
      <charset val="134"/>
    </font>
    <font>
      <i/>
      <sz val="9"/>
      <color theme="1"/>
      <name val="Arial Narrow"/>
      <charset val="134"/>
    </font>
    <font>
      <sz val="14"/>
      <color theme="1"/>
      <name val="Arial Narro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b/>
      <sz val="10"/>
      <color theme="5"/>
      <name val="Arial Narrow"/>
      <charset val="134"/>
    </font>
    <font>
      <b/>
      <i/>
      <sz val="10"/>
      <color theme="0"/>
      <name val="Arial Narrow"/>
      <charset val="134"/>
    </font>
    <font>
      <b/>
      <sz val="16"/>
      <color rgb="FF0070C0"/>
      <name val="Arial Narrow"/>
      <charset val="134"/>
    </font>
  </fonts>
  <fills count="58">
    <fill>
      <patternFill patternType="none"/>
    </fill>
    <fill>
      <patternFill patternType="gray125"/>
    </fill>
    <fill>
      <patternFill patternType="solid">
        <fgColor rgb="FFFF0000"/>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0" tint="-0.0499893185216834"/>
        <bgColor indexed="64"/>
      </patternFill>
    </fill>
    <fill>
      <patternFill patternType="solid">
        <fgColor rgb="FFFFFF00"/>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1" tint="0.349986266670736"/>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2"/>
        <bgColor indexed="64"/>
      </patternFill>
    </fill>
    <fill>
      <patternFill patternType="solid">
        <fgColor theme="1"/>
        <bgColor indexed="64"/>
      </patternFill>
    </fill>
    <fill>
      <patternFill patternType="solid">
        <fgColor theme="3" tint="0.799981688894314"/>
        <bgColor indexed="64"/>
      </patternFill>
    </fill>
    <fill>
      <patternFill patternType="solid">
        <fgColor theme="0"/>
        <bgColor indexed="64"/>
      </patternFill>
    </fill>
    <fill>
      <patternFill patternType="solid">
        <fgColor rgb="FFFFFFFF"/>
        <bgColor indexed="64"/>
      </patternFill>
    </fill>
    <fill>
      <patternFill patternType="solid">
        <fgColor rgb="FF0070C0"/>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C00000"/>
        <bgColor indexed="64"/>
      </patternFill>
    </fill>
    <fill>
      <patternFill patternType="solid">
        <fgColor theme="0" tint="-0.149998474074526"/>
        <bgColor indexed="64"/>
      </patternFill>
    </fill>
    <fill>
      <patternFill patternType="solid">
        <fgColor rgb="FF0046D2"/>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8">
    <border>
      <left/>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medium">
        <color auto="1"/>
      </right>
      <top/>
      <bottom/>
      <diagonal/>
    </border>
    <border>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dotted">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diagonalDown="1">
      <left style="medium">
        <color auto="1"/>
      </left>
      <right style="thin">
        <color auto="1"/>
      </right>
      <top style="thin">
        <color auto="1"/>
      </top>
      <bottom/>
      <diagonal style="thin">
        <color auto="1"/>
      </diagonal>
    </border>
    <border diagonalUp="1" diagonalDown="1">
      <left style="thin">
        <color auto="1"/>
      </left>
      <right style="thin">
        <color auto="1"/>
      </right>
      <top style="thin">
        <color auto="1"/>
      </top>
      <bottom/>
      <diagonal style="thin">
        <color auto="1"/>
      </diagonal>
    </border>
    <border diagonalUp="1" diagonalDown="1">
      <left style="thin">
        <color auto="1"/>
      </left>
      <right/>
      <top style="thin">
        <color auto="1"/>
      </top>
      <bottom/>
      <diagonal style="thin">
        <color auto="1"/>
      </diagonal>
    </border>
    <border diagonalUp="1" diagonalDown="1">
      <left style="thin">
        <color auto="1"/>
      </left>
      <right style="medium">
        <color auto="1"/>
      </right>
      <top style="thin">
        <color auto="1"/>
      </top>
      <bottom/>
      <diagonal style="thin">
        <color auto="1"/>
      </diagonal>
    </border>
    <border>
      <left style="medium">
        <color auto="1"/>
      </left>
      <right/>
      <top/>
      <bottom/>
      <diagonal/>
    </border>
    <border>
      <left/>
      <right style="medium">
        <color auto="1"/>
      </right>
      <top/>
      <bottom/>
      <diagonal/>
    </border>
    <border>
      <left style="medium">
        <color auto="1"/>
      </left>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theme="2" tint="-0.249946592608417"/>
      </right>
      <top style="medium">
        <color auto="1"/>
      </top>
      <bottom style="thin">
        <color auto="1"/>
      </bottom>
      <diagonal/>
    </border>
    <border>
      <left style="thin">
        <color theme="2" tint="-0.249946592608417"/>
      </left>
      <right style="thin">
        <color theme="2" tint="-0.249946592608417"/>
      </right>
      <top style="medium">
        <color auto="1"/>
      </top>
      <bottom style="thin">
        <color auto="1"/>
      </bottom>
      <diagonal/>
    </border>
    <border>
      <left style="thin">
        <color theme="2" tint="-0.249946592608417"/>
      </left>
      <right/>
      <top style="medium">
        <color auto="1"/>
      </top>
      <bottom style="thin">
        <color auto="1"/>
      </bottom>
      <diagonal/>
    </border>
    <border>
      <left style="medium">
        <color auto="1"/>
      </left>
      <right style="thin">
        <color theme="2" tint="-0.249946592608417"/>
      </right>
      <top style="thin">
        <color auto="1"/>
      </top>
      <bottom style="thin">
        <color auto="1"/>
      </bottom>
      <diagonal/>
    </border>
    <border>
      <left style="thin">
        <color theme="2" tint="-0.249946592608417"/>
      </left>
      <right style="thin">
        <color theme="2" tint="-0.249946592608417"/>
      </right>
      <top style="thin">
        <color auto="1"/>
      </top>
      <bottom style="thin">
        <color auto="1"/>
      </bottom>
      <diagonal/>
    </border>
    <border>
      <left style="thin">
        <color theme="2" tint="-0.249946592608417"/>
      </left>
      <right/>
      <top style="thin">
        <color auto="1"/>
      </top>
      <bottom style="thin">
        <color auto="1"/>
      </bottom>
      <diagonal/>
    </border>
    <border>
      <left style="medium">
        <color auto="1"/>
      </left>
      <right style="thin">
        <color theme="2" tint="-0.249946592608417"/>
      </right>
      <top style="thin">
        <color auto="1"/>
      </top>
      <bottom/>
      <diagonal/>
    </border>
    <border>
      <left style="thin">
        <color theme="2" tint="-0.249946592608417"/>
      </left>
      <right style="thin">
        <color theme="2" tint="-0.249946592608417"/>
      </right>
      <top style="thin">
        <color auto="1"/>
      </top>
      <bottom/>
      <diagonal/>
    </border>
    <border>
      <left style="thin">
        <color theme="2" tint="-0.249946592608417"/>
      </left>
      <right/>
      <top style="thin">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theme="2" tint="-0.249946592608417"/>
      </right>
      <top/>
      <bottom style="thin">
        <color auto="1"/>
      </bottom>
      <diagonal/>
    </border>
    <border>
      <left style="thin">
        <color theme="2" tint="-0.249946592608417"/>
      </left>
      <right style="thin">
        <color theme="2" tint="-0.249946592608417"/>
      </right>
      <top/>
      <bottom style="thin">
        <color auto="1"/>
      </bottom>
      <diagonal/>
    </border>
    <border>
      <left style="thin">
        <color theme="2" tint="-0.249946592608417"/>
      </left>
      <right/>
      <top/>
      <bottom style="thin">
        <color auto="1"/>
      </bottom>
      <diagonal/>
    </border>
    <border>
      <left style="medium">
        <color auto="1"/>
      </left>
      <right/>
      <top style="thin">
        <color auto="1"/>
      </top>
      <bottom style="medium">
        <color auto="1"/>
      </bottom>
      <diagonal/>
    </border>
    <border>
      <left style="medium">
        <color auto="1"/>
      </left>
      <right style="thin">
        <color theme="2" tint="-0.249946592608417"/>
      </right>
      <top style="thin">
        <color auto="1"/>
      </top>
      <bottom style="medium">
        <color auto="1"/>
      </bottom>
      <diagonal/>
    </border>
    <border>
      <left style="thin">
        <color theme="2" tint="-0.249946592608417"/>
      </left>
      <right style="thin">
        <color theme="2" tint="-0.249946592608417"/>
      </right>
      <top style="thin">
        <color auto="1"/>
      </top>
      <bottom style="medium">
        <color auto="1"/>
      </bottom>
      <diagonal/>
    </border>
    <border>
      <left style="thin">
        <color theme="2" tint="-0.249946592608417"/>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auto="1"/>
      </bottom>
      <diagonal/>
    </border>
    <border>
      <left/>
      <right style="thin">
        <color theme="1"/>
      </right>
      <top/>
      <bottom style="thin">
        <color auto="1"/>
      </bottom>
      <diagonal/>
    </border>
    <border>
      <left style="thin">
        <color theme="1"/>
      </left>
      <right/>
      <top style="thin">
        <color auto="1"/>
      </top>
      <bottom style="thin">
        <color auto="1"/>
      </bottom>
      <diagonal/>
    </border>
    <border>
      <left/>
      <right style="thin">
        <color theme="1"/>
      </right>
      <top/>
      <bottom/>
      <diagonal/>
    </border>
    <border>
      <left/>
      <right style="thin">
        <color theme="1"/>
      </right>
      <top style="thin">
        <color auto="1"/>
      </top>
      <bottom style="thin">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thin">
        <color auto="1"/>
      </left>
      <right style="medium">
        <color theme="6" tint="0.599963377788629"/>
      </right>
      <top/>
      <bottom/>
      <diagonal/>
    </border>
    <border>
      <left style="thin">
        <color theme="1"/>
      </left>
      <right/>
      <top style="thin">
        <color theme="1"/>
      </top>
      <bottom style="thin">
        <color auto="1"/>
      </bottom>
      <diagonal/>
    </border>
    <border>
      <left/>
      <right/>
      <top style="thin">
        <color theme="1"/>
      </top>
      <bottom style="thin">
        <color auto="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6"/>
      </left>
      <right/>
      <top style="thin">
        <color theme="0" tint="-0.349986266670736"/>
      </top>
      <bottom/>
      <diagonal/>
    </border>
    <border>
      <left/>
      <right/>
      <top style="thin">
        <color theme="0" tint="-0.349986266670736"/>
      </top>
      <bottom/>
      <diagonal/>
    </border>
    <border>
      <left/>
      <right style="thin">
        <color theme="0" tint="-0.349986266670736"/>
      </right>
      <top style="thin">
        <color theme="0" tint="-0.349986266670736"/>
      </top>
      <bottom/>
      <diagonal/>
    </border>
    <border>
      <left style="thin">
        <color theme="0" tint="-0.349986266670736"/>
      </left>
      <right/>
      <top/>
      <bottom style="thin">
        <color theme="0" tint="-0.349986266670736"/>
      </bottom>
      <diagonal/>
    </border>
    <border>
      <left/>
      <right/>
      <top/>
      <bottom style="thin">
        <color theme="0" tint="-0.349986266670736"/>
      </bottom>
      <diagonal/>
    </border>
    <border>
      <left/>
      <right style="thin">
        <color theme="0" tint="-0.349986266670736"/>
      </right>
      <top/>
      <bottom style="thin">
        <color theme="0" tint="-0.349986266670736"/>
      </bottom>
      <diagonal/>
    </border>
    <border>
      <left style="thin">
        <color theme="0" tint="-0.349986266670736"/>
      </left>
      <right/>
      <top/>
      <bottom/>
      <diagonal/>
    </border>
    <border>
      <left/>
      <right style="thin">
        <color theme="0" tint="-0.349986266670736"/>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86" fillId="0" borderId="0" applyFont="0" applyFill="0" applyBorder="0" applyAlignment="0" applyProtection="0">
      <alignment vertical="center"/>
    </xf>
    <xf numFmtId="44" fontId="86" fillId="0" borderId="0" applyFont="0" applyFill="0" applyBorder="0" applyAlignment="0" applyProtection="0">
      <alignment vertical="center"/>
    </xf>
    <xf numFmtId="9" fontId="0" fillId="0" borderId="0" applyFont="0" applyFill="0" applyBorder="0" applyAlignment="0" applyProtection="0"/>
    <xf numFmtId="41" fontId="86" fillId="0" borderId="0" applyFont="0" applyFill="0" applyBorder="0" applyAlignment="0" applyProtection="0">
      <alignment vertical="center"/>
    </xf>
    <xf numFmtId="42" fontId="86" fillId="0" borderId="0" applyFon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6" fillId="27" borderId="140"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141" applyNumberFormat="0" applyFill="0" applyAlignment="0" applyProtection="0">
      <alignment vertical="center"/>
    </xf>
    <xf numFmtId="0" fontId="93" fillId="0" borderId="141" applyNumberFormat="0" applyFill="0" applyAlignment="0" applyProtection="0">
      <alignment vertical="center"/>
    </xf>
    <xf numFmtId="0" fontId="94" fillId="0" borderId="142" applyNumberFormat="0" applyFill="0" applyAlignment="0" applyProtection="0">
      <alignment vertical="center"/>
    </xf>
    <xf numFmtId="0" fontId="94" fillId="0" borderId="0" applyNumberFormat="0" applyFill="0" applyBorder="0" applyAlignment="0" applyProtection="0">
      <alignment vertical="center"/>
    </xf>
    <xf numFmtId="0" fontId="95" fillId="28" borderId="143" applyNumberFormat="0" applyAlignment="0" applyProtection="0">
      <alignment vertical="center"/>
    </xf>
    <xf numFmtId="0" fontId="96" fillId="29" borderId="144" applyNumberFormat="0" applyAlignment="0" applyProtection="0">
      <alignment vertical="center"/>
    </xf>
    <xf numFmtId="0" fontId="97" fillId="29" borderId="143" applyNumberFormat="0" applyAlignment="0" applyProtection="0">
      <alignment vertical="center"/>
    </xf>
    <xf numFmtId="0" fontId="98" fillId="30" borderId="145" applyNumberFormat="0" applyAlignment="0" applyProtection="0">
      <alignment vertical="center"/>
    </xf>
    <xf numFmtId="0" fontId="99" fillId="0" borderId="146" applyNumberFormat="0" applyFill="0" applyAlignment="0" applyProtection="0">
      <alignment vertical="center"/>
    </xf>
    <xf numFmtId="0" fontId="100" fillId="0" borderId="147" applyNumberFormat="0" applyFill="0" applyAlignment="0" applyProtection="0">
      <alignment vertical="center"/>
    </xf>
    <xf numFmtId="0" fontId="101" fillId="31" borderId="0" applyNumberFormat="0" applyBorder="0" applyAlignment="0" applyProtection="0">
      <alignment vertical="center"/>
    </xf>
    <xf numFmtId="0" fontId="102" fillId="32" borderId="0" applyNumberFormat="0" applyBorder="0" applyAlignment="0" applyProtection="0">
      <alignment vertical="center"/>
    </xf>
    <xf numFmtId="0" fontId="103" fillId="33" borderId="0" applyNumberFormat="0" applyBorder="0" applyAlignment="0" applyProtection="0">
      <alignment vertical="center"/>
    </xf>
    <xf numFmtId="0" fontId="104" fillId="34" borderId="0" applyNumberFormat="0" applyBorder="0" applyAlignment="0" applyProtection="0">
      <alignment vertical="center"/>
    </xf>
    <xf numFmtId="0" fontId="105" fillId="35" borderId="0" applyNumberFormat="0" applyBorder="0" applyAlignment="0" applyProtection="0">
      <alignment vertical="center"/>
    </xf>
    <xf numFmtId="0" fontId="105" fillId="36" borderId="0" applyNumberFormat="0" applyBorder="0" applyAlignment="0" applyProtection="0">
      <alignment vertical="center"/>
    </xf>
    <xf numFmtId="0" fontId="104" fillId="37" borderId="0" applyNumberFormat="0" applyBorder="0" applyAlignment="0" applyProtection="0">
      <alignment vertical="center"/>
    </xf>
    <xf numFmtId="0" fontId="104" fillId="38"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pplyNumberFormat="0" applyBorder="0" applyAlignment="0" applyProtection="0">
      <alignment vertical="center"/>
    </xf>
    <xf numFmtId="0" fontId="104" fillId="41" borderId="0" applyNumberFormat="0" applyBorder="0" applyAlignment="0" applyProtection="0">
      <alignment vertical="center"/>
    </xf>
    <xf numFmtId="0" fontId="104" fillId="42" borderId="0" applyNumberFormat="0" applyBorder="0" applyAlignment="0" applyProtection="0">
      <alignment vertical="center"/>
    </xf>
    <xf numFmtId="0" fontId="105" fillId="43" borderId="0" applyNumberFormat="0" applyBorder="0" applyAlignment="0" applyProtection="0">
      <alignment vertical="center"/>
    </xf>
    <xf numFmtId="0" fontId="105" fillId="44" borderId="0" applyNumberFormat="0" applyBorder="0" applyAlignment="0" applyProtection="0">
      <alignment vertical="center"/>
    </xf>
    <xf numFmtId="0" fontId="104" fillId="45" borderId="0" applyNumberFormat="0" applyBorder="0" applyAlignment="0" applyProtection="0">
      <alignment vertical="center"/>
    </xf>
    <xf numFmtId="0" fontId="104" fillId="46" borderId="0" applyNumberFormat="0" applyBorder="0" applyAlignment="0" applyProtection="0">
      <alignment vertical="center"/>
    </xf>
    <xf numFmtId="0" fontId="105" fillId="47" borderId="0" applyNumberFormat="0" applyBorder="0" applyAlignment="0" applyProtection="0">
      <alignment vertical="center"/>
    </xf>
    <xf numFmtId="0" fontId="105" fillId="48" borderId="0" applyNumberFormat="0" applyBorder="0" applyAlignment="0" applyProtection="0">
      <alignment vertical="center"/>
    </xf>
    <xf numFmtId="0" fontId="104" fillId="49" borderId="0" applyNumberFormat="0" applyBorder="0" applyAlignment="0" applyProtection="0">
      <alignment vertical="center"/>
    </xf>
    <xf numFmtId="0" fontId="104" fillId="50" borderId="0" applyNumberFormat="0" applyBorder="0" applyAlignment="0" applyProtection="0">
      <alignment vertical="center"/>
    </xf>
    <xf numFmtId="0" fontId="105" fillId="51" borderId="0" applyNumberFormat="0" applyBorder="0" applyAlignment="0" applyProtection="0">
      <alignment vertical="center"/>
    </xf>
    <xf numFmtId="0" fontId="105" fillId="52" borderId="0" applyNumberFormat="0" applyBorder="0" applyAlignment="0" applyProtection="0">
      <alignment vertical="center"/>
    </xf>
    <xf numFmtId="0" fontId="104" fillId="53" borderId="0" applyNumberFormat="0" applyBorder="0" applyAlignment="0" applyProtection="0">
      <alignment vertical="center"/>
    </xf>
    <xf numFmtId="0" fontId="104" fillId="54" borderId="0" applyNumberFormat="0" applyBorder="0" applyAlignment="0" applyProtection="0">
      <alignment vertical="center"/>
    </xf>
    <xf numFmtId="0" fontId="105" fillId="55" borderId="0" applyNumberFormat="0" applyBorder="0" applyAlignment="0" applyProtection="0">
      <alignment vertical="center"/>
    </xf>
    <xf numFmtId="0" fontId="105" fillId="56" borderId="0" applyNumberFormat="0" applyBorder="0" applyAlignment="0" applyProtection="0">
      <alignment vertical="center"/>
    </xf>
    <xf numFmtId="0" fontId="104" fillId="57" borderId="0" applyNumberFormat="0" applyBorder="0" applyAlignment="0" applyProtection="0">
      <alignment vertical="center"/>
    </xf>
    <xf numFmtId="0" fontId="106" fillId="0" borderId="0"/>
  </cellStyleXfs>
  <cellXfs count="931">
    <xf numFmtId="0" fontId="0" fillId="0" borderId="0" xfId="0"/>
    <xf numFmtId="0" fontId="1" fillId="0" borderId="0" xfId="0" applyFont="1" applyAlignment="1" applyProtection="1">
      <alignment horizontal="left" vertical="center"/>
      <protection locked="0"/>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1" xfId="0" applyFont="1" applyBorder="1" applyAlignment="1" applyProtection="1">
      <alignment vertical="center"/>
      <protection locked="0"/>
    </xf>
    <xf numFmtId="0" fontId="3" fillId="0" borderId="0" xfId="0" applyFont="1" applyAlignment="1">
      <alignment horizontal="center" vertical="top"/>
    </xf>
    <xf numFmtId="0" fontId="4" fillId="0" borderId="0" xfId="0" applyFont="1" applyAlignment="1" applyProtection="1">
      <alignment vertical="top" wrapText="1"/>
      <protection locked="0"/>
    </xf>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horizontal="center" vertical="center"/>
    </xf>
    <xf numFmtId="0" fontId="7" fillId="0" borderId="0" xfId="0" applyFont="1" applyAlignment="1">
      <alignment vertical="center"/>
    </xf>
    <xf numFmtId="0" fontId="7" fillId="2" borderId="0" xfId="0" applyFont="1" applyFill="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pplyProtection="1">
      <alignment horizontal="center" vertical="center"/>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wrapText="1"/>
    </xf>
    <xf numFmtId="0" fontId="1" fillId="0" borderId="2" xfId="0" applyFont="1" applyBorder="1" applyAlignment="1">
      <alignment vertical="center"/>
    </xf>
    <xf numFmtId="0" fontId="2" fillId="0" borderId="3" xfId="0" applyFont="1" applyBorder="1" applyAlignment="1">
      <alignment vertical="center"/>
    </xf>
    <xf numFmtId="0" fontId="8" fillId="3" borderId="2" xfId="0" applyFont="1" applyFill="1" applyBorder="1" applyAlignment="1">
      <alignment horizontal="center" vertical="center" wrapText="1"/>
    </xf>
    <xf numFmtId="0" fontId="8" fillId="3" borderId="4" xfId="0" applyFont="1" applyFill="1" applyBorder="1" applyAlignment="1" applyProtection="1">
      <alignment horizontal="center" vertical="center"/>
      <protection locked="0"/>
    </xf>
    <xf numFmtId="0" fontId="8" fillId="3" borderId="4" xfId="0" applyFont="1" applyFill="1" applyBorder="1" applyAlignment="1" applyProtection="1">
      <alignment horizontal="center" vertical="center" wrapText="1"/>
      <protection locked="0"/>
    </xf>
    <xf numFmtId="0" fontId="8" fillId="3" borderId="2" xfId="0" applyFont="1" applyFill="1" applyBorder="1" applyAlignment="1" applyProtection="1">
      <alignment horizontal="center" vertical="center" wrapText="1"/>
      <protection locked="0"/>
    </xf>
    <xf numFmtId="0" fontId="8" fillId="3" borderId="5" xfId="0" applyFont="1" applyFill="1" applyBorder="1" applyAlignment="1" applyProtection="1">
      <alignment horizontal="center" vertical="center" wrapText="1"/>
      <protection locked="0"/>
    </xf>
    <xf numFmtId="0" fontId="8" fillId="4" borderId="2" xfId="0" applyFont="1" applyFill="1" applyBorder="1" applyAlignment="1" applyProtection="1">
      <alignment horizontal="center" vertical="center" wrapText="1"/>
      <protection locked="0"/>
    </xf>
    <xf numFmtId="0" fontId="8" fillId="3" borderId="3" xfId="0" applyFont="1" applyFill="1" applyBorder="1" applyAlignment="1" applyProtection="1">
      <alignment horizontal="center" vertical="center" wrapText="1"/>
      <protection locked="0"/>
    </xf>
    <xf numFmtId="0" fontId="1" fillId="5" borderId="2" xfId="0" applyFont="1" applyFill="1" applyBorder="1" applyAlignment="1" applyProtection="1">
      <alignment horizontal="center" vertical="center"/>
      <protection locked="0"/>
    </xf>
    <xf numFmtId="0" fontId="1" fillId="5" borderId="4" xfId="0" applyFont="1" applyFill="1" applyBorder="1" applyAlignment="1" applyProtection="1">
      <alignment horizontal="center" vertical="center"/>
      <protection locked="0"/>
    </xf>
    <xf numFmtId="0" fontId="1" fillId="5" borderId="5" xfId="0" applyFont="1" applyFill="1" applyBorder="1" applyAlignment="1" applyProtection="1">
      <alignment horizontal="center" vertical="center"/>
      <protection locked="0"/>
    </xf>
    <xf numFmtId="0" fontId="1" fillId="0" borderId="5"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9" fillId="0" borderId="0" xfId="0" applyFont="1" applyAlignment="1" applyProtection="1">
      <alignment vertical="center"/>
      <protection locked="0"/>
    </xf>
    <xf numFmtId="0" fontId="2" fillId="0" borderId="6" xfId="0" applyFont="1" applyBorder="1" applyAlignment="1" applyProtection="1">
      <alignment vertical="center"/>
      <protection locked="0"/>
    </xf>
    <xf numFmtId="2" fontId="2" fillId="0" borderId="0" xfId="0" applyNumberFormat="1" applyFont="1" applyAlignment="1">
      <alignment vertical="center"/>
    </xf>
    <xf numFmtId="2" fontId="1" fillId="0" borderId="1" xfId="0" applyNumberFormat="1" applyFont="1" applyBorder="1" applyAlignment="1">
      <alignment horizontal="center" vertical="center"/>
    </xf>
    <xf numFmtId="2" fontId="1" fillId="0" borderId="0" xfId="0" applyNumberFormat="1" applyFont="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left" vertical="center"/>
    </xf>
    <xf numFmtId="0" fontId="2" fillId="0" borderId="6" xfId="0" applyFont="1" applyBorder="1" applyAlignment="1">
      <alignment horizontal="left" vertical="center"/>
    </xf>
    <xf numFmtId="0" fontId="2" fillId="0" borderId="1" xfId="0" applyFont="1" applyBorder="1" applyAlignment="1">
      <alignment horizontal="center" vertical="center"/>
    </xf>
    <xf numFmtId="0" fontId="10" fillId="0" borderId="0" xfId="0" applyFont="1" applyAlignment="1" applyProtection="1">
      <alignment vertical="center"/>
      <protection locked="0"/>
    </xf>
    <xf numFmtId="0" fontId="10" fillId="0" borderId="1"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6" borderId="1" xfId="0"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1" fillId="0" borderId="6" xfId="0" applyFont="1" applyBorder="1" applyAlignment="1">
      <alignment horizontal="left" vertical="center"/>
    </xf>
    <xf numFmtId="0" fontId="2" fillId="0" borderId="8" xfId="0" applyFont="1" applyBorder="1" applyAlignment="1">
      <alignment horizontal="left" vertical="center"/>
    </xf>
    <xf numFmtId="0" fontId="1" fillId="0" borderId="9" xfId="0" applyFont="1" applyBorder="1" applyAlignment="1">
      <alignment horizontal="left" vertical="center"/>
    </xf>
    <xf numFmtId="2" fontId="11" fillId="0" borderId="1" xfId="0" applyNumberFormat="1" applyFont="1" applyBorder="1" applyAlignment="1">
      <alignment horizontal="center" vertical="center"/>
    </xf>
    <xf numFmtId="2" fontId="11" fillId="0" borderId="0" xfId="0" applyNumberFormat="1" applyFont="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10" fillId="0" borderId="4" xfId="0" applyFont="1" applyBorder="1" applyAlignment="1" applyProtection="1">
      <alignment vertical="center"/>
      <protection locked="0"/>
    </xf>
    <xf numFmtId="0" fontId="10" fillId="0" borderId="2" xfId="0" applyFont="1" applyBorder="1" applyAlignment="1" applyProtection="1">
      <alignment horizontal="center" vertical="center"/>
      <protection locked="0"/>
    </xf>
    <xf numFmtId="0" fontId="10" fillId="0" borderId="5" xfId="0" applyFont="1" applyBorder="1" applyAlignment="1" applyProtection="1">
      <alignment horizontal="center" vertical="center"/>
      <protection locked="0"/>
    </xf>
    <xf numFmtId="0" fontId="10" fillId="6" borderId="2" xfId="0" applyFont="1" applyFill="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0" fillId="6" borderId="4" xfId="0" applyFont="1" applyFill="1" applyBorder="1" applyAlignment="1" applyProtection="1">
      <alignment horizontal="center" vertical="center"/>
      <protection locked="0"/>
    </xf>
    <xf numFmtId="0" fontId="12" fillId="6" borderId="4" xfId="0" applyFont="1" applyFill="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2" fillId="0" borderId="1" xfId="0" applyFont="1" applyBorder="1" applyAlignment="1">
      <alignment vertical="center"/>
    </xf>
    <xf numFmtId="0" fontId="2" fillId="0" borderId="6" xfId="0" applyFont="1" applyBorder="1" applyAlignment="1">
      <alignment horizontal="center" vertical="center"/>
    </xf>
    <xf numFmtId="0" fontId="10" fillId="6" borderId="0" xfId="0" applyFont="1" applyFill="1" applyAlignment="1" applyProtection="1">
      <alignment horizontal="center" vertical="center"/>
      <protection locked="0"/>
    </xf>
    <xf numFmtId="0" fontId="2" fillId="6" borderId="0" xfId="0" applyFont="1" applyFill="1" applyAlignment="1" applyProtection="1">
      <alignment horizontal="center" vertical="center"/>
      <protection locked="0"/>
    </xf>
    <xf numFmtId="0" fontId="2" fillId="0" borderId="8" xfId="0" applyFont="1" applyBorder="1" applyAlignment="1">
      <alignment vertical="center"/>
    </xf>
    <xf numFmtId="0" fontId="2" fillId="0" borderId="9" xfId="0" applyFont="1" applyBorder="1" applyAlignment="1">
      <alignment horizontal="center" vertical="center"/>
    </xf>
    <xf numFmtId="0" fontId="2" fillId="0" borderId="10" xfId="0" applyFont="1" applyBorder="1" applyAlignment="1">
      <alignment horizontal="left" vertical="center" indent="1"/>
    </xf>
    <xf numFmtId="0" fontId="2" fillId="0" borderId="11" xfId="0" applyFont="1" applyBorder="1" applyAlignment="1">
      <alignment horizontal="center" vertical="center"/>
    </xf>
    <xf numFmtId="0" fontId="12" fillId="6" borderId="0" xfId="0" applyFont="1" applyFill="1" applyAlignment="1" applyProtection="1">
      <alignment horizontal="center" vertical="center"/>
      <protection locked="0"/>
    </xf>
    <xf numFmtId="0" fontId="13" fillId="0" borderId="10" xfId="0" applyFont="1" applyBorder="1" applyAlignment="1">
      <alignment vertical="center"/>
    </xf>
    <xf numFmtId="0" fontId="1" fillId="0" borderId="11" xfId="0" applyFont="1" applyBorder="1" applyAlignment="1">
      <alignment vertical="center"/>
    </xf>
    <xf numFmtId="0" fontId="2" fillId="7" borderId="10" xfId="0" applyFont="1" applyFill="1" applyBorder="1" applyAlignment="1">
      <alignment vertical="center"/>
    </xf>
    <xf numFmtId="0" fontId="2" fillId="7" borderId="11" xfId="0" applyFont="1" applyFill="1" applyBorder="1" applyAlignment="1">
      <alignment vertical="center"/>
    </xf>
    <xf numFmtId="0" fontId="4" fillId="0" borderId="2" xfId="0" applyFont="1" applyBorder="1" applyAlignment="1">
      <alignment vertical="center"/>
    </xf>
    <xf numFmtId="0" fontId="14" fillId="0" borderId="3" xfId="0" applyFont="1" applyBorder="1" applyAlignment="1">
      <alignment vertical="center"/>
    </xf>
    <xf numFmtId="0" fontId="4" fillId="0" borderId="1" xfId="0" applyFont="1" applyBorder="1" applyAlignment="1">
      <alignment vertical="center"/>
    </xf>
    <xf numFmtId="0" fontId="14" fillId="0" borderId="6" xfId="0" applyFont="1" applyBorder="1" applyAlignment="1">
      <alignment vertical="center"/>
    </xf>
    <xf numFmtId="0" fontId="4" fillId="0" borderId="8" xfId="0" applyFont="1" applyBorder="1" applyAlignment="1">
      <alignment vertical="center"/>
    </xf>
    <xf numFmtId="0" fontId="14" fillId="0" borderId="9" xfId="0" applyFont="1" applyBorder="1" applyAlignment="1">
      <alignment vertical="center"/>
    </xf>
    <xf numFmtId="2" fontId="15" fillId="0" borderId="1" xfId="0" applyNumberFormat="1" applyFont="1" applyBorder="1" applyAlignment="1">
      <alignment horizontal="center" vertical="center"/>
    </xf>
    <xf numFmtId="2" fontId="15" fillId="0" borderId="0" xfId="0" applyNumberFormat="1" applyFont="1" applyAlignment="1">
      <alignment horizontal="center" vertical="center"/>
    </xf>
    <xf numFmtId="0" fontId="15" fillId="0" borderId="6" xfId="0" applyFont="1" applyBorder="1" applyAlignment="1">
      <alignment horizontal="center" vertical="center"/>
    </xf>
    <xf numFmtId="0" fontId="2" fillId="0" borderId="2" xfId="0" applyFont="1" applyBorder="1" applyAlignment="1">
      <alignment horizontal="left" vertical="center" indent="1"/>
    </xf>
    <xf numFmtId="0" fontId="2" fillId="0" borderId="8" xfId="0" applyFont="1" applyBorder="1" applyAlignment="1">
      <alignment horizontal="left" vertical="center" indent="1"/>
    </xf>
    <xf numFmtId="0" fontId="2" fillId="0" borderId="9" xfId="0" applyFont="1" applyBorder="1" applyAlignment="1">
      <alignment vertical="center"/>
    </xf>
    <xf numFmtId="2" fontId="16" fillId="0" borderId="1" xfId="0" applyNumberFormat="1" applyFont="1" applyBorder="1" applyAlignment="1">
      <alignment horizontal="center" vertical="center"/>
    </xf>
    <xf numFmtId="2" fontId="16" fillId="0" borderId="0" xfId="0" applyNumberFormat="1" applyFont="1" applyAlignment="1">
      <alignment horizontal="center" vertical="center"/>
    </xf>
    <xf numFmtId="0" fontId="16" fillId="0" borderId="6" xfId="0" applyFont="1" applyBorder="1" applyAlignment="1">
      <alignment horizontal="center" vertical="center"/>
    </xf>
    <xf numFmtId="0" fontId="2" fillId="0" borderId="6" xfId="0" applyFont="1" applyBorder="1" applyAlignment="1">
      <alignment vertical="center"/>
    </xf>
    <xf numFmtId="2" fontId="17" fillId="0" borderId="1" xfId="0" applyNumberFormat="1" applyFont="1" applyBorder="1" applyAlignment="1">
      <alignment horizontal="center" vertical="center"/>
    </xf>
    <xf numFmtId="2" fontId="17" fillId="0" borderId="0" xfId="0" applyNumberFormat="1" applyFont="1" applyAlignment="1">
      <alignment horizontal="center" vertical="center"/>
    </xf>
    <xf numFmtId="0" fontId="17" fillId="0" borderId="6" xfId="0" applyFont="1" applyBorder="1" applyAlignment="1">
      <alignment horizontal="center" vertical="center"/>
    </xf>
    <xf numFmtId="0" fontId="2" fillId="0" borderId="10" xfId="0" applyFont="1" applyBorder="1" applyAlignment="1">
      <alignment vertical="center"/>
    </xf>
    <xf numFmtId="0" fontId="2" fillId="0" borderId="11" xfId="0" applyFont="1" applyBorder="1" applyAlignment="1">
      <alignment vertical="center"/>
    </xf>
    <xf numFmtId="0" fontId="1" fillId="7" borderId="2" xfId="0" applyFont="1" applyFill="1" applyBorder="1" applyAlignment="1">
      <alignment vertical="center"/>
    </xf>
    <xf numFmtId="0" fontId="1" fillId="7" borderId="3" xfId="0" applyFont="1" applyFill="1" applyBorder="1" applyAlignment="1">
      <alignment vertical="center"/>
    </xf>
    <xf numFmtId="0" fontId="2" fillId="0" borderId="8" xfId="0" applyFont="1" applyBorder="1" applyAlignment="1">
      <alignment horizontal="center" vertical="center"/>
    </xf>
    <xf numFmtId="0" fontId="10" fillId="0" borderId="12" xfId="0" applyFont="1" applyBorder="1" applyAlignment="1" applyProtection="1">
      <alignment vertical="center"/>
      <protection locked="0"/>
    </xf>
    <xf numFmtId="0" fontId="10" fillId="0" borderId="8"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6" borderId="8" xfId="0" applyFont="1" applyFill="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4" fillId="0" borderId="0" xfId="0" applyFont="1" applyAlignment="1">
      <alignment vertical="center"/>
    </xf>
    <xf numFmtId="2" fontId="17" fillId="0" borderId="8" xfId="0" applyNumberFormat="1" applyFont="1" applyBorder="1" applyAlignment="1">
      <alignment horizontal="center" vertical="center"/>
    </xf>
    <xf numFmtId="2" fontId="17" fillId="0" borderId="12" xfId="0" applyNumberFormat="1" applyFont="1" applyBorder="1" applyAlignment="1">
      <alignment horizontal="center" vertical="center"/>
    </xf>
    <xf numFmtId="0" fontId="17" fillId="0" borderId="9" xfId="0" applyFont="1" applyBorder="1" applyAlignment="1">
      <alignment horizontal="center" vertical="center"/>
    </xf>
    <xf numFmtId="0" fontId="2" fillId="0" borderId="8" xfId="0" applyFont="1" applyBorder="1" applyAlignment="1" applyProtection="1">
      <alignment horizontal="center" vertical="center"/>
      <protection locked="0"/>
    </xf>
    <xf numFmtId="0" fontId="2" fillId="0" borderId="9" xfId="0" applyFont="1" applyBorder="1" applyAlignment="1" applyProtection="1">
      <alignment vertical="center"/>
      <protection locked="0"/>
    </xf>
    <xf numFmtId="0" fontId="12" fillId="0" borderId="8" xfId="0" applyFont="1" applyBorder="1" applyAlignment="1">
      <alignment horizontal="center" vertical="center"/>
    </xf>
    <xf numFmtId="0" fontId="18" fillId="0" borderId="12" xfId="0" applyFont="1" applyBorder="1" applyAlignment="1" applyProtection="1">
      <alignment vertical="center"/>
      <protection locked="0"/>
    </xf>
    <xf numFmtId="0" fontId="18" fillId="0" borderId="8"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18" fillId="6" borderId="8" xfId="0" applyFont="1" applyFill="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18" fillId="6" borderId="12" xfId="0" applyFont="1" applyFill="1" applyBorder="1" applyAlignment="1" applyProtection="1">
      <alignment horizontal="center" vertical="center"/>
      <protection locked="0"/>
    </xf>
    <xf numFmtId="0" fontId="12" fillId="0" borderId="13" xfId="0" applyFont="1" applyBorder="1" applyAlignment="1" applyProtection="1">
      <alignment horizontal="center" vertical="center"/>
      <protection locked="0"/>
    </xf>
    <xf numFmtId="0" fontId="10" fillId="6" borderId="12" xfId="0" applyFont="1" applyFill="1" applyBorder="1" applyAlignment="1" applyProtection="1">
      <alignment horizontal="center" vertical="center"/>
      <protection locked="0"/>
    </xf>
    <xf numFmtId="0" fontId="12" fillId="6" borderId="12" xfId="0" applyFont="1" applyFill="1" applyBorder="1" applyAlignment="1" applyProtection="1">
      <alignment horizontal="center" vertical="center"/>
      <protection locked="0"/>
    </xf>
    <xf numFmtId="0" fontId="10" fillId="8" borderId="10" xfId="0" applyFont="1" applyFill="1" applyBorder="1" applyAlignment="1">
      <alignment horizontal="center" vertical="center"/>
    </xf>
    <xf numFmtId="0" fontId="10" fillId="8" borderId="14" xfId="0" applyFont="1" applyFill="1" applyBorder="1" applyAlignment="1" applyProtection="1">
      <alignment vertical="center"/>
      <protection locked="0"/>
    </xf>
    <xf numFmtId="0" fontId="10" fillId="8" borderId="14" xfId="0" applyFont="1" applyFill="1" applyBorder="1" applyAlignment="1" applyProtection="1">
      <alignment horizontal="left" vertical="center" indent="1"/>
      <protection locked="0"/>
    </xf>
    <xf numFmtId="0" fontId="10" fillId="8" borderId="10" xfId="0" applyFont="1" applyFill="1" applyBorder="1" applyAlignment="1" applyProtection="1">
      <alignment horizontal="center" vertical="center"/>
      <protection locked="0"/>
    </xf>
    <xf numFmtId="0" fontId="11" fillId="8" borderId="15" xfId="0" applyFont="1" applyFill="1" applyBorder="1" applyAlignment="1" applyProtection="1">
      <alignment horizontal="center" vertical="center"/>
      <protection locked="0"/>
    </xf>
    <xf numFmtId="0" fontId="11" fillId="8" borderId="10" xfId="0" applyFont="1" applyFill="1" applyBorder="1" applyAlignment="1" applyProtection="1">
      <alignment horizontal="center" vertical="center"/>
      <protection locked="0"/>
    </xf>
    <xf numFmtId="0" fontId="10" fillId="8" borderId="14" xfId="0" applyFont="1" applyFill="1" applyBorder="1" applyAlignment="1" applyProtection="1">
      <alignment horizontal="center" vertical="center"/>
      <protection locked="0"/>
    </xf>
    <xf numFmtId="0" fontId="10" fillId="8" borderId="11" xfId="0" applyFont="1" applyFill="1" applyBorder="1" applyAlignment="1" applyProtection="1">
      <alignment horizontal="center" vertical="center"/>
      <protection locked="0"/>
    </xf>
    <xf numFmtId="2" fontId="10" fillId="8" borderId="10" xfId="0" applyNumberFormat="1" applyFont="1" applyFill="1" applyBorder="1" applyAlignment="1" applyProtection="1">
      <alignment horizontal="center" vertical="center"/>
      <protection locked="0"/>
    </xf>
    <xf numFmtId="2" fontId="10" fillId="8" borderId="14" xfId="0" applyNumberFormat="1" applyFont="1" applyFill="1" applyBorder="1" applyAlignment="1" applyProtection="1">
      <alignment horizontal="center" vertical="center"/>
      <protection locked="0"/>
    </xf>
    <xf numFmtId="2" fontId="10" fillId="8" borderId="15" xfId="0" applyNumberFormat="1" applyFont="1" applyFill="1" applyBorder="1" applyAlignment="1" applyProtection="1">
      <alignment horizontal="center" vertical="center"/>
      <protection locked="0"/>
    </xf>
    <xf numFmtId="2" fontId="10" fillId="8" borderId="15" xfId="3" applyNumberFormat="1" applyFont="1" applyFill="1" applyBorder="1" applyAlignment="1" applyProtection="1">
      <alignment horizontal="center" vertical="center"/>
      <protection locked="0"/>
    </xf>
    <xf numFmtId="2" fontId="10" fillId="8" borderId="11" xfId="3" applyNumberFormat="1" applyFont="1" applyFill="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10" fillId="8" borderId="14" xfId="3" applyNumberFormat="1" applyFont="1" applyFill="1" applyBorder="1" applyAlignment="1" applyProtection="1">
      <alignment horizontal="center" vertical="center"/>
      <protection locked="0"/>
    </xf>
    <xf numFmtId="0" fontId="10" fillId="9" borderId="10" xfId="0" applyFont="1" applyFill="1" applyBorder="1" applyAlignment="1">
      <alignment horizontal="center" vertical="center"/>
    </xf>
    <xf numFmtId="0" fontId="10" fillId="9" borderId="14" xfId="0" applyFont="1" applyFill="1" applyBorder="1" applyAlignment="1" applyProtection="1">
      <alignment vertical="center"/>
      <protection locked="0"/>
    </xf>
    <xf numFmtId="0" fontId="10" fillId="9" borderId="14" xfId="0" applyFont="1" applyFill="1" applyBorder="1" applyAlignment="1" applyProtection="1">
      <alignment horizontal="left" vertical="center" indent="1"/>
      <protection locked="0"/>
    </xf>
    <xf numFmtId="0" fontId="10" fillId="9" borderId="10" xfId="0" applyFont="1" applyFill="1" applyBorder="1" applyAlignment="1" applyProtection="1">
      <alignment horizontal="center" vertical="center"/>
      <protection locked="0"/>
    </xf>
    <xf numFmtId="0" fontId="11" fillId="9" borderId="15" xfId="0" applyFont="1" applyFill="1" applyBorder="1" applyAlignment="1" applyProtection="1">
      <alignment horizontal="center" vertical="center"/>
      <protection locked="0"/>
    </xf>
    <xf numFmtId="0" fontId="11" fillId="9" borderId="10" xfId="0" applyFont="1" applyFill="1" applyBorder="1" applyAlignment="1" applyProtection="1">
      <alignment horizontal="center" vertical="center"/>
      <protection locked="0"/>
    </xf>
    <xf numFmtId="0" fontId="10" fillId="9" borderId="14" xfId="0" applyFont="1" applyFill="1" applyBorder="1" applyAlignment="1" applyProtection="1">
      <alignment horizontal="center" vertical="center"/>
      <protection locked="0"/>
    </xf>
    <xf numFmtId="0" fontId="10" fillId="9" borderId="11" xfId="0" applyFont="1" applyFill="1" applyBorder="1" applyAlignment="1" applyProtection="1">
      <alignment horizontal="center" vertical="center"/>
      <protection locked="0"/>
    </xf>
    <xf numFmtId="2" fontId="10" fillId="9" borderId="10" xfId="0" applyNumberFormat="1" applyFont="1" applyFill="1" applyBorder="1" applyAlignment="1" applyProtection="1">
      <alignment horizontal="center" vertical="center"/>
      <protection locked="0"/>
    </xf>
    <xf numFmtId="2" fontId="10" fillId="9" borderId="14" xfId="0" applyNumberFormat="1" applyFont="1" applyFill="1" applyBorder="1" applyAlignment="1" applyProtection="1">
      <alignment horizontal="center" vertical="center"/>
      <protection locked="0"/>
    </xf>
    <xf numFmtId="1" fontId="10" fillId="9" borderId="15" xfId="0" applyNumberFormat="1" applyFont="1" applyFill="1" applyBorder="1" applyAlignment="1" applyProtection="1">
      <alignment horizontal="center" vertical="center"/>
      <protection locked="0"/>
    </xf>
    <xf numFmtId="1" fontId="10" fillId="9" borderId="15" xfId="3" applyNumberFormat="1" applyFont="1" applyFill="1" applyBorder="1" applyAlignment="1" applyProtection="1">
      <alignment horizontal="center" vertical="center"/>
      <protection locked="0"/>
    </xf>
    <xf numFmtId="1" fontId="10" fillId="9" borderId="14" xfId="3" applyNumberFormat="1" applyFont="1" applyFill="1" applyBorder="1" applyAlignment="1" applyProtection="1">
      <alignment horizontal="center" vertical="center"/>
      <protection locked="0"/>
    </xf>
    <xf numFmtId="2" fontId="10" fillId="9" borderId="15" xfId="0" applyNumberFormat="1" applyFont="1" applyFill="1" applyBorder="1" applyAlignment="1" applyProtection="1">
      <alignment horizontal="center" vertical="center"/>
      <protection locked="0"/>
    </xf>
    <xf numFmtId="2" fontId="10" fillId="9" borderId="15" xfId="3" applyNumberFormat="1" applyFont="1" applyFill="1" applyBorder="1" applyAlignment="1" applyProtection="1">
      <alignment horizontal="center" vertical="center"/>
      <protection locked="0"/>
    </xf>
    <xf numFmtId="2" fontId="10" fillId="9" borderId="14" xfId="3" applyNumberFormat="1" applyFont="1" applyFill="1" applyBorder="1" applyAlignment="1" applyProtection="1">
      <alignment horizontal="center" vertical="center"/>
      <protection locked="0"/>
    </xf>
    <xf numFmtId="0" fontId="19" fillId="0" borderId="0" xfId="0" applyFont="1" applyAlignment="1" applyProtection="1">
      <alignment vertical="center"/>
      <protection locked="0"/>
    </xf>
    <xf numFmtId="0" fontId="20" fillId="0" borderId="0" xfId="0" applyFont="1" applyAlignment="1">
      <alignment horizontal="centerContinuous" vertical="center"/>
    </xf>
    <xf numFmtId="0" fontId="2" fillId="0" borderId="0" xfId="0" applyFont="1" applyAlignment="1">
      <alignment horizontal="centerContinuous" vertical="center"/>
    </xf>
    <xf numFmtId="0" fontId="2" fillId="0" borderId="0" xfId="0" applyFont="1" applyAlignment="1">
      <alignment horizontal="right" vertical="center" indent="1"/>
    </xf>
    <xf numFmtId="0" fontId="1" fillId="0" borderId="5" xfId="0" applyFont="1" applyBorder="1" applyAlignment="1">
      <alignment horizontal="left" vertical="center" indent="1"/>
    </xf>
    <xf numFmtId="0" fontId="1" fillId="0" borderId="15" xfId="0" applyFont="1" applyBorder="1" applyAlignment="1">
      <alignment horizontal="left" vertical="center" indent="1"/>
    </xf>
    <xf numFmtId="0" fontId="1" fillId="0" borderId="10" xfId="0" applyFont="1" applyBorder="1" applyAlignment="1">
      <alignment horizontal="left" vertical="center" indent="1"/>
    </xf>
    <xf numFmtId="0" fontId="1" fillId="0" borderId="14" xfId="0" applyFont="1" applyBorder="1" applyAlignment="1">
      <alignment horizontal="left" vertical="center" indent="1"/>
    </xf>
    <xf numFmtId="0" fontId="1" fillId="0" borderId="11" xfId="0" applyFont="1" applyBorder="1" applyAlignment="1">
      <alignment horizontal="left" vertical="center" indent="1"/>
    </xf>
    <xf numFmtId="0" fontId="8" fillId="0" borderId="0" xfId="0" applyFont="1" applyAlignment="1">
      <alignment horizontal="left" vertical="center" indent="1"/>
    </xf>
    <xf numFmtId="0" fontId="2" fillId="0" borderId="0" xfId="0" applyFont="1" applyAlignment="1">
      <alignment horizontal="left" vertical="center" indent="1"/>
    </xf>
    <xf numFmtId="0" fontId="1" fillId="0" borderId="16" xfId="0" applyFont="1" applyBorder="1" applyAlignment="1">
      <alignment horizontal="right" vertical="center"/>
    </xf>
    <xf numFmtId="0" fontId="4" fillId="0" borderId="17" xfId="0" applyFont="1" applyBorder="1" applyAlignment="1">
      <alignment horizontal="right" vertical="center" indent="1"/>
    </xf>
    <xf numFmtId="0" fontId="1" fillId="0" borderId="18" xfId="0" applyFont="1" applyBorder="1" applyAlignment="1">
      <alignment horizontal="left" vertical="center" indent="1"/>
    </xf>
    <xf numFmtId="0" fontId="1" fillId="0" borderId="17" xfId="0" applyFont="1" applyBorder="1" applyAlignment="1">
      <alignment horizontal="left" vertical="center" indent="1"/>
    </xf>
    <xf numFmtId="0" fontId="21" fillId="0" borderId="19" xfId="0" applyFont="1" applyBorder="1" applyAlignment="1">
      <alignment horizontal="right" vertical="top" indent="1"/>
    </xf>
    <xf numFmtId="0" fontId="22" fillId="0" borderId="20" xfId="0" applyFont="1" applyBorder="1" applyAlignment="1">
      <alignment horizontal="left" vertical="top" wrapText="1" indent="1"/>
    </xf>
    <xf numFmtId="0" fontId="22" fillId="0" borderId="18" xfId="0" applyFont="1" applyBorder="1" applyAlignment="1">
      <alignment horizontal="left" vertical="top" wrapText="1" indent="1"/>
    </xf>
    <xf numFmtId="0" fontId="22" fillId="0" borderId="21" xfId="0" applyFont="1" applyBorder="1" applyAlignment="1">
      <alignment horizontal="left" vertical="top" wrapText="1" indent="1"/>
    </xf>
    <xf numFmtId="0" fontId="1" fillId="0" borderId="22" xfId="0" applyFont="1" applyBorder="1" applyAlignment="1">
      <alignment horizontal="right" vertical="center"/>
    </xf>
    <xf numFmtId="0" fontId="4" fillId="0" borderId="4" xfId="0" applyFont="1" applyBorder="1" applyAlignment="1">
      <alignment horizontal="right" vertical="center" indent="1"/>
    </xf>
    <xf numFmtId="0" fontId="21" fillId="0" borderId="23" xfId="0" applyFont="1" applyBorder="1" applyAlignment="1">
      <alignment horizontal="right" vertical="top" indent="1"/>
    </xf>
    <xf numFmtId="0" fontId="22" fillId="0" borderId="15" xfId="0" applyFont="1" applyBorder="1" applyAlignment="1">
      <alignment horizontal="left" vertical="top" wrapText="1" indent="1"/>
    </xf>
    <xf numFmtId="0" fontId="22" fillId="0" borderId="10" xfId="0" applyFont="1" applyBorder="1" applyAlignment="1">
      <alignment horizontal="left" vertical="top" wrapText="1" indent="1"/>
    </xf>
    <xf numFmtId="0" fontId="22" fillId="0" borderId="24" xfId="0" applyFont="1" applyBorder="1" applyAlignment="1">
      <alignment horizontal="left" vertical="top" wrapText="1" indent="1"/>
    </xf>
    <xf numFmtId="0" fontId="1" fillId="0" borderId="25" xfId="0" applyFont="1" applyBorder="1" applyAlignment="1">
      <alignment vertical="center"/>
    </xf>
    <xf numFmtId="0" fontId="4" fillId="0" borderId="12" xfId="0" applyFont="1" applyBorder="1" applyAlignment="1">
      <alignment vertical="center"/>
    </xf>
    <xf numFmtId="0" fontId="4" fillId="0" borderId="26" xfId="0" applyFont="1" applyBorder="1" applyAlignment="1">
      <alignment horizontal="right" vertical="center" indent="1"/>
    </xf>
    <xf numFmtId="0" fontId="1" fillId="0" borderId="2" xfId="0" applyFont="1" applyBorder="1" applyAlignment="1">
      <alignment horizontal="left" vertical="center" indent="1"/>
    </xf>
    <xf numFmtId="0" fontId="1" fillId="0" borderId="27" xfId="0" applyFont="1" applyBorder="1" applyAlignment="1">
      <alignment horizontal="left" vertical="center" indent="1"/>
    </xf>
    <xf numFmtId="0" fontId="4" fillId="0" borderId="4" xfId="0" applyFont="1" applyBorder="1" applyAlignment="1">
      <alignment horizontal="right" vertical="top" indent="1"/>
    </xf>
    <xf numFmtId="0" fontId="1" fillId="0" borderId="10" xfId="0" applyFont="1" applyBorder="1" applyAlignment="1">
      <alignment horizontal="left" vertical="top" indent="1"/>
    </xf>
    <xf numFmtId="0" fontId="1" fillId="0" borderId="14" xfId="0" applyFont="1" applyBorder="1" applyAlignment="1">
      <alignment horizontal="left" vertical="top" indent="1"/>
    </xf>
    <xf numFmtId="0" fontId="15" fillId="10" borderId="28" xfId="0" applyFont="1" applyFill="1" applyBorder="1" applyAlignment="1">
      <alignment horizontal="center" vertical="center"/>
    </xf>
    <xf numFmtId="0" fontId="15" fillId="10" borderId="15" xfId="0" applyFont="1" applyFill="1" applyBorder="1" applyAlignment="1">
      <alignment horizontal="center" vertical="center"/>
    </xf>
    <xf numFmtId="0" fontId="15" fillId="10" borderId="24" xfId="0" applyFont="1" applyFill="1" applyBorder="1" applyAlignment="1">
      <alignment horizontal="center" vertical="center"/>
    </xf>
    <xf numFmtId="0" fontId="18" fillId="0" borderId="29" xfId="0" applyFont="1" applyBorder="1" applyAlignment="1">
      <alignment horizontal="right" vertical="center"/>
    </xf>
    <xf numFmtId="0" fontId="2" fillId="0" borderId="30" xfId="0" applyFont="1" applyBorder="1" applyAlignment="1">
      <alignment vertical="top"/>
    </xf>
    <xf numFmtId="0" fontId="1" fillId="0" borderId="31" xfId="0" applyFont="1" applyBorder="1" applyAlignment="1">
      <alignment horizontal="left" vertical="top" indent="1"/>
    </xf>
    <xf numFmtId="0" fontId="1" fillId="0" borderId="32" xfId="0" applyFont="1" applyBorder="1" applyAlignment="1">
      <alignment horizontal="left" vertical="top" indent="1"/>
    </xf>
    <xf numFmtId="0" fontId="1" fillId="0" borderId="33" xfId="0" applyFont="1" applyBorder="1" applyAlignment="1">
      <alignment horizontal="center" vertical="center"/>
    </xf>
    <xf numFmtId="0" fontId="1" fillId="0" borderId="34" xfId="0" applyFont="1" applyBorder="1" applyAlignment="1">
      <alignment horizontal="center" vertical="center" wrapText="1"/>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23" xfId="0" applyFont="1" applyBorder="1" applyAlignment="1">
      <alignment horizontal="center" vertical="center"/>
    </xf>
    <xf numFmtId="0" fontId="1" fillId="0" borderId="13" xfId="0" applyFont="1" applyBorder="1" applyAlignment="1">
      <alignment horizontal="center" vertical="center"/>
    </xf>
    <xf numFmtId="0" fontId="1" fillId="0" borderId="8"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31"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8" fillId="11" borderId="23" xfId="0" applyFont="1" applyFill="1" applyBorder="1" applyAlignment="1">
      <alignment horizontal="centerContinuous" vertical="center"/>
    </xf>
    <xf numFmtId="0" fontId="5" fillId="11" borderId="13" xfId="0" applyFont="1" applyFill="1" applyBorder="1" applyAlignment="1">
      <alignment horizontal="centerContinuous" vertical="center"/>
    </xf>
    <xf numFmtId="0" fontId="5" fillId="11" borderId="8" xfId="0" applyFont="1" applyFill="1" applyBorder="1" applyAlignment="1">
      <alignment horizontal="centerContinuous" vertical="center"/>
    </xf>
    <xf numFmtId="0" fontId="23" fillId="11" borderId="23" xfId="0" applyFont="1" applyFill="1" applyBorder="1" applyAlignment="1">
      <alignment horizontal="center" vertical="center"/>
    </xf>
    <xf numFmtId="0" fontId="23" fillId="11" borderId="13" xfId="0" applyFont="1" applyFill="1" applyBorder="1" applyAlignment="1">
      <alignment horizontal="center" vertical="center"/>
    </xf>
    <xf numFmtId="0" fontId="23" fillId="11" borderId="36" xfId="0" applyFont="1" applyFill="1" applyBorder="1" applyAlignment="1">
      <alignment horizontal="center" vertical="center"/>
    </xf>
    <xf numFmtId="0" fontId="5" fillId="11" borderId="37" xfId="0" applyFont="1" applyFill="1" applyBorder="1" applyAlignment="1">
      <alignment horizontal="center" vertical="center"/>
    </xf>
    <xf numFmtId="0" fontId="5" fillId="11" borderId="39" xfId="0" applyFont="1" applyFill="1" applyBorder="1" applyAlignment="1">
      <alignment horizontal="center" vertical="center"/>
    </xf>
    <xf numFmtId="0" fontId="1" fillId="0" borderId="28" xfId="0" applyFont="1" applyBorder="1" applyAlignment="1">
      <alignment vertical="center"/>
    </xf>
    <xf numFmtId="0" fontId="2" fillId="0" borderId="43" xfId="0" applyFont="1" applyBorder="1" applyAlignment="1">
      <alignment horizontal="left" vertical="center"/>
    </xf>
    <xf numFmtId="1" fontId="2" fillId="0" borderId="28" xfId="0" applyNumberFormat="1" applyFont="1" applyBorder="1" applyAlignment="1">
      <alignment horizontal="center" vertical="center"/>
    </xf>
    <xf numFmtId="0" fontId="1" fillId="0" borderId="44" xfId="0" applyFont="1" applyBorder="1" applyAlignment="1">
      <alignment horizontal="center" vertical="center"/>
    </xf>
    <xf numFmtId="0" fontId="2" fillId="0" borderId="43" xfId="0" applyFont="1" applyBorder="1" applyAlignment="1">
      <alignment horizontal="center" vertical="center"/>
    </xf>
    <xf numFmtId="0" fontId="24" fillId="0" borderId="43" xfId="0" applyFont="1" applyBorder="1" applyAlignment="1" applyProtection="1">
      <alignment horizontal="center" vertical="center"/>
      <protection hidden="1"/>
    </xf>
    <xf numFmtId="0" fontId="24" fillId="0" borderId="39" xfId="0" applyFont="1" applyBorder="1" applyAlignment="1" applyProtection="1">
      <alignment vertical="center"/>
      <protection hidden="1"/>
    </xf>
    <xf numFmtId="0" fontId="8" fillId="11" borderId="28" xfId="0" applyFont="1" applyFill="1" applyBorder="1" applyAlignment="1">
      <alignment horizontal="centerContinuous" vertical="center"/>
    </xf>
    <xf numFmtId="0" fontId="5" fillId="11" borderId="10" xfId="0" applyFont="1" applyFill="1" applyBorder="1" applyAlignment="1">
      <alignment horizontal="centerContinuous" vertical="center"/>
    </xf>
    <xf numFmtId="0" fontId="5" fillId="11" borderId="43" xfId="0" applyFont="1" applyFill="1" applyBorder="1" applyAlignment="1">
      <alignment horizontal="centerContinuous" vertical="center"/>
    </xf>
    <xf numFmtId="1" fontId="5" fillId="11" borderId="28" xfId="0" applyNumberFormat="1" applyFont="1" applyFill="1" applyBorder="1" applyAlignment="1">
      <alignment horizontal="left" vertical="center"/>
    </xf>
    <xf numFmtId="1" fontId="5" fillId="11" borderId="15" xfId="0" applyNumberFormat="1" applyFont="1" applyFill="1" applyBorder="1" applyAlignment="1">
      <alignment horizontal="left" vertical="center"/>
    </xf>
    <xf numFmtId="1" fontId="5" fillId="11" borderId="24" xfId="0" applyNumberFormat="1" applyFont="1" applyFill="1" applyBorder="1" applyAlignment="1">
      <alignment horizontal="left" vertical="center"/>
    </xf>
    <xf numFmtId="0" fontId="5" fillId="11" borderId="44" xfId="0" applyFont="1" applyFill="1" applyBorder="1" applyAlignment="1">
      <alignment horizontal="left" vertical="center"/>
    </xf>
    <xf numFmtId="0" fontId="5" fillId="11" borderId="43" xfId="0" applyFont="1" applyFill="1" applyBorder="1" applyAlignment="1">
      <alignment horizontal="left" vertical="center"/>
    </xf>
    <xf numFmtId="0" fontId="25" fillId="11" borderId="43" xfId="0" applyFont="1" applyFill="1" applyBorder="1" applyAlignment="1" applyProtection="1">
      <alignment horizontal="left" vertical="center"/>
      <protection hidden="1"/>
    </xf>
    <xf numFmtId="0" fontId="2" fillId="0" borderId="43" xfId="0" applyFont="1" applyBorder="1" applyAlignment="1">
      <alignment horizontal="left" vertical="center" indent="1"/>
    </xf>
    <xf numFmtId="0" fontId="1" fillId="0" borderId="33" xfId="0" applyFont="1" applyBorder="1" applyAlignment="1">
      <alignment vertical="center"/>
    </xf>
    <xf numFmtId="0" fontId="1" fillId="0" borderId="10" xfId="0" applyFont="1" applyBorder="1" applyAlignment="1">
      <alignment vertical="center"/>
    </xf>
    <xf numFmtId="0" fontId="15" fillId="0" borderId="14" xfId="0" applyFont="1" applyBorder="1" applyAlignment="1">
      <alignment horizontal="left" vertical="center"/>
    </xf>
    <xf numFmtId="0" fontId="26" fillId="0" borderId="14" xfId="0" applyFont="1" applyBorder="1" applyAlignment="1">
      <alignment vertical="center"/>
    </xf>
    <xf numFmtId="0" fontId="27" fillId="0" borderId="14" xfId="0" applyFont="1" applyBorder="1" applyAlignment="1">
      <alignment vertical="center"/>
    </xf>
    <xf numFmtId="0" fontId="27" fillId="0" borderId="11" xfId="0" applyFont="1" applyBorder="1" applyAlignment="1">
      <alignment vertical="center"/>
    </xf>
    <xf numFmtId="0" fontId="1" fillId="0" borderId="1" xfId="0" applyFont="1" applyBorder="1" applyAlignment="1">
      <alignment vertical="center"/>
    </xf>
    <xf numFmtId="0" fontId="27" fillId="0" borderId="0" xfId="0" applyFont="1" applyAlignment="1">
      <alignment vertical="center"/>
    </xf>
    <xf numFmtId="0" fontId="27" fillId="0" borderId="6" xfId="0" applyFont="1" applyBorder="1" applyAlignment="1">
      <alignment vertical="center"/>
    </xf>
    <xf numFmtId="0" fontId="1" fillId="12" borderId="1" xfId="0" applyFont="1" applyFill="1" applyBorder="1" applyAlignment="1">
      <alignment vertical="center"/>
    </xf>
    <xf numFmtId="0" fontId="2" fillId="12" borderId="0" xfId="0" applyFont="1" applyFill="1" applyAlignment="1">
      <alignment horizontal="left" vertical="center"/>
    </xf>
    <xf numFmtId="0" fontId="27" fillId="12" borderId="0" xfId="0" applyFont="1" applyFill="1" applyAlignment="1">
      <alignment vertical="center"/>
    </xf>
    <xf numFmtId="0" fontId="27" fillId="12" borderId="6" xfId="0" applyFont="1" applyFill="1" applyBorder="1" applyAlignment="1">
      <alignment vertical="center"/>
    </xf>
    <xf numFmtId="0" fontId="1" fillId="12" borderId="8" xfId="0" applyFont="1" applyFill="1" applyBorder="1" applyAlignment="1">
      <alignment vertical="center"/>
    </xf>
    <xf numFmtId="0" fontId="2" fillId="12" borderId="12" xfId="0" applyFont="1" applyFill="1" applyBorder="1" applyAlignment="1">
      <alignment horizontal="left" vertical="center"/>
    </xf>
    <xf numFmtId="0" fontId="4" fillId="12" borderId="12" xfId="0" applyFont="1" applyFill="1" applyBorder="1" applyAlignment="1">
      <alignment vertical="center"/>
    </xf>
    <xf numFmtId="0" fontId="2" fillId="12" borderId="12" xfId="0" applyFont="1" applyFill="1" applyBorder="1" applyAlignment="1">
      <alignment vertical="center"/>
    </xf>
    <xf numFmtId="0" fontId="2" fillId="12" borderId="9" xfId="0" applyFont="1" applyFill="1" applyBorder="1" applyAlignment="1">
      <alignment vertical="center"/>
    </xf>
    <xf numFmtId="0" fontId="6" fillId="0" borderId="0" xfId="0" applyFont="1" applyAlignment="1">
      <alignment horizontal="centerContinuous" vertical="center"/>
    </xf>
    <xf numFmtId="0" fontId="1" fillId="0" borderId="0" xfId="0" applyFont="1" applyAlignment="1">
      <alignment horizontal="centerContinuous" vertical="center"/>
    </xf>
    <xf numFmtId="0" fontId="27" fillId="0" borderId="0" xfId="0" applyFont="1" applyAlignment="1">
      <alignment horizontal="centerContinuous" vertical="center"/>
    </xf>
    <xf numFmtId="0" fontId="8" fillId="0" borderId="0" xfId="0" applyFont="1" applyAlignment="1">
      <alignment vertical="center"/>
    </xf>
    <xf numFmtId="0" fontId="28" fillId="0" borderId="45" xfId="0" applyFont="1" applyBorder="1" applyAlignment="1">
      <alignment horizontal="center" vertical="center"/>
    </xf>
    <xf numFmtId="0" fontId="28" fillId="0" borderId="18" xfId="0" applyFont="1" applyBorder="1" applyAlignment="1">
      <alignment horizontal="center" vertical="center"/>
    </xf>
    <xf numFmtId="0" fontId="2" fillId="0" borderId="45" xfId="0" applyFont="1" applyBorder="1" applyAlignment="1">
      <alignment horizontal="right" vertical="center" indent="1"/>
    </xf>
    <xf numFmtId="0" fontId="2" fillId="0" borderId="20" xfId="0" applyFont="1" applyBorder="1" applyAlignment="1">
      <alignment horizontal="right" vertical="center" indent="1"/>
    </xf>
    <xf numFmtId="0" fontId="1" fillId="0" borderId="20" xfId="0" applyFont="1" applyBorder="1" applyAlignment="1">
      <alignment horizontal="left" vertical="center" indent="1"/>
    </xf>
    <xf numFmtId="0" fontId="2" fillId="0" borderId="18" xfId="0" applyFont="1" applyBorder="1" applyAlignment="1">
      <alignment horizontal="right" vertical="center" indent="1"/>
    </xf>
    <xf numFmtId="0" fontId="2" fillId="0" borderId="17" xfId="0" applyFont="1" applyBorder="1" applyAlignment="1">
      <alignment horizontal="right" vertical="center" indent="1"/>
    </xf>
    <xf numFmtId="0" fontId="2" fillId="0" borderId="46" xfId="0" applyFont="1" applyBorder="1" applyAlignment="1">
      <alignment horizontal="right" vertical="center" indent="1"/>
    </xf>
    <xf numFmtId="0" fontId="1" fillId="0" borderId="46" xfId="0" applyFont="1" applyBorder="1" applyAlignment="1">
      <alignment horizontal="left" vertical="center" indent="1"/>
    </xf>
    <xf numFmtId="0" fontId="22" fillId="0" borderId="20" xfId="0" applyFont="1" applyBorder="1" applyAlignment="1">
      <alignment horizontal="right" vertical="center" indent="1"/>
    </xf>
    <xf numFmtId="0" fontId="29" fillId="0" borderId="18" xfId="0" applyFont="1" applyBorder="1" applyAlignment="1">
      <alignment horizontal="left" vertical="center" indent="1"/>
    </xf>
    <xf numFmtId="0" fontId="29" fillId="0" borderId="17" xfId="0" applyFont="1" applyBorder="1" applyAlignment="1">
      <alignment horizontal="left" vertical="center" indent="1"/>
    </xf>
    <xf numFmtId="0" fontId="29" fillId="0" borderId="47" xfId="0" applyFont="1" applyBorder="1" applyAlignment="1">
      <alignment horizontal="left" vertical="center" indent="1"/>
    </xf>
    <xf numFmtId="0" fontId="28" fillId="0" borderId="28" xfId="0" applyFont="1" applyBorder="1" applyAlignment="1">
      <alignment horizontal="center" vertical="center"/>
    </xf>
    <xf numFmtId="0" fontId="28" fillId="0" borderId="10" xfId="0" applyFont="1" applyBorder="1" applyAlignment="1">
      <alignment horizontal="center" vertical="center"/>
    </xf>
    <xf numFmtId="0" fontId="2" fillId="0" borderId="33" xfId="0" applyFont="1" applyBorder="1" applyAlignment="1">
      <alignment horizontal="right" vertical="center" indent="1"/>
    </xf>
    <xf numFmtId="0" fontId="2" fillId="0" borderId="34" xfId="0" applyFont="1" applyBorder="1" applyAlignment="1">
      <alignment horizontal="right" vertical="center" indent="1"/>
    </xf>
    <xf numFmtId="0" fontId="1" fillId="0" borderId="31" xfId="0" applyFont="1" applyBorder="1" applyAlignment="1">
      <alignment horizontal="left" vertical="center" indent="1"/>
    </xf>
    <xf numFmtId="0" fontId="1" fillId="0" borderId="32" xfId="0" applyFont="1" applyBorder="1" applyAlignment="1">
      <alignment horizontal="left" vertical="center" indent="1"/>
    </xf>
    <xf numFmtId="0" fontId="1" fillId="0" borderId="48" xfId="0" applyFont="1" applyBorder="1" applyAlignment="1">
      <alignment horizontal="left" vertical="center" indent="1"/>
    </xf>
    <xf numFmtId="0" fontId="1" fillId="0" borderId="34" xfId="0" applyFont="1" applyBorder="1" applyAlignment="1">
      <alignment horizontal="right" vertical="center" indent="1"/>
    </xf>
    <xf numFmtId="0" fontId="27" fillId="0" borderId="49" xfId="0" applyFont="1" applyBorder="1" applyAlignment="1">
      <alignment horizontal="left" vertical="center"/>
    </xf>
    <xf numFmtId="0" fontId="1" fillId="0" borderId="32" xfId="0" applyFont="1" applyBorder="1" applyAlignment="1">
      <alignment horizontal="center" vertical="center"/>
    </xf>
    <xf numFmtId="0" fontId="27" fillId="0" borderId="42" xfId="0" applyFont="1" applyBorder="1" applyAlignment="1">
      <alignment horizontal="left" vertical="center"/>
    </xf>
    <xf numFmtId="0" fontId="30" fillId="6" borderId="19" xfId="0" applyFont="1" applyFill="1" applyBorder="1" applyAlignment="1">
      <alignment horizontal="center"/>
    </xf>
    <xf numFmtId="0" fontId="30" fillId="6" borderId="50" xfId="0" applyFont="1" applyFill="1" applyBorder="1" applyAlignment="1">
      <alignment horizontal="center"/>
    </xf>
    <xf numFmtId="0" fontId="30" fillId="6" borderId="51" xfId="0" applyFont="1" applyFill="1" applyBorder="1" applyAlignment="1">
      <alignment horizontal="center"/>
    </xf>
    <xf numFmtId="0" fontId="30" fillId="6" borderId="52" xfId="0" applyFont="1" applyFill="1" applyBorder="1" applyAlignment="1">
      <alignment horizontal="center"/>
    </xf>
    <xf numFmtId="0" fontId="1" fillId="0" borderId="45" xfId="0" applyFont="1" applyBorder="1" applyAlignment="1">
      <alignment horizontal="center" vertical="center" wrapText="1"/>
    </xf>
    <xf numFmtId="0" fontId="1" fillId="0" borderId="21" xfId="0" applyFont="1" applyBorder="1" applyAlignment="1">
      <alignment horizontal="center" vertical="center" wrapText="1"/>
    </xf>
    <xf numFmtId="9" fontId="31" fillId="6" borderId="53" xfId="3" applyFont="1" applyFill="1" applyBorder="1" applyAlignment="1" applyProtection="1">
      <alignment horizontal="center" vertical="center"/>
    </xf>
    <xf numFmtId="9" fontId="31" fillId="6" borderId="7" xfId="3" applyFont="1" applyFill="1" applyBorder="1" applyAlignment="1" applyProtection="1">
      <alignment horizontal="center" vertical="center"/>
    </xf>
    <xf numFmtId="9" fontId="31" fillId="6" borderId="54" xfId="3" applyFont="1" applyFill="1" applyBorder="1" applyAlignment="1" applyProtection="1">
      <alignment horizontal="center" vertical="center"/>
    </xf>
    <xf numFmtId="9" fontId="31" fillId="6" borderId="53" xfId="0" applyNumberFormat="1" applyFont="1" applyFill="1" applyBorder="1" applyAlignment="1">
      <alignment horizontal="center" vertical="center"/>
    </xf>
    <xf numFmtId="9" fontId="31" fillId="6" borderId="7" xfId="0" applyNumberFormat="1" applyFont="1" applyFill="1" applyBorder="1" applyAlignment="1">
      <alignment horizontal="center" vertical="center"/>
    </xf>
    <xf numFmtId="9" fontId="31" fillId="6" borderId="54" xfId="0" applyNumberFormat="1" applyFont="1" applyFill="1" applyBorder="1" applyAlignment="1">
      <alignment horizontal="center" vertical="center"/>
    </xf>
    <xf numFmtId="9" fontId="31" fillId="6" borderId="1" xfId="0" applyNumberFormat="1" applyFont="1" applyFill="1" applyBorder="1" applyAlignment="1">
      <alignment horizontal="center" vertical="center"/>
    </xf>
    <xf numFmtId="0" fontId="1" fillId="0" borderId="28" xfId="0" applyFont="1" applyBorder="1" applyAlignment="1">
      <alignment horizontal="center" vertical="center" wrapText="1"/>
    </xf>
    <xf numFmtId="0" fontId="1" fillId="0" borderId="24" xfId="0" applyFont="1" applyBorder="1" applyAlignment="1">
      <alignment horizontal="center" vertical="center" wrapText="1"/>
    </xf>
    <xf numFmtId="0" fontId="1" fillId="13" borderId="55" xfId="0" applyFont="1" applyFill="1" applyBorder="1" applyAlignment="1">
      <alignment horizontal="center" vertical="center"/>
    </xf>
    <xf numFmtId="0" fontId="1" fillId="13" borderId="56" xfId="0" applyFont="1" applyFill="1" applyBorder="1" applyAlignment="1">
      <alignment horizontal="center" vertical="center"/>
    </xf>
    <xf numFmtId="0" fontId="1" fillId="0" borderId="56" xfId="0" applyFont="1" applyBorder="1" applyAlignment="1">
      <alignment horizontal="center" vertical="center"/>
    </xf>
    <xf numFmtId="0" fontId="1" fillId="0" borderId="57" xfId="0" applyFont="1" applyBorder="1" applyAlignment="1">
      <alignment horizontal="center" vertical="center"/>
    </xf>
    <xf numFmtId="0" fontId="1" fillId="14" borderId="55" xfId="0" applyFont="1" applyFill="1" applyBorder="1" applyAlignment="1">
      <alignment horizontal="center" vertical="center"/>
    </xf>
    <xf numFmtId="0" fontId="1" fillId="14" borderId="56" xfId="0" applyFont="1" applyFill="1" applyBorder="1" applyAlignment="1">
      <alignment horizontal="center" vertical="center"/>
    </xf>
    <xf numFmtId="0" fontId="1" fillId="14" borderId="58" xfId="0" applyFont="1" applyFill="1" applyBorder="1" applyAlignment="1">
      <alignment horizontal="center" vertical="center"/>
    </xf>
    <xf numFmtId="0" fontId="1" fillId="0" borderId="55" xfId="0" applyFont="1" applyBorder="1" applyAlignment="1">
      <alignment horizontal="center" vertical="center"/>
    </xf>
    <xf numFmtId="0" fontId="1" fillId="14" borderId="57" xfId="0" applyFont="1" applyFill="1" applyBorder="1" applyAlignment="1">
      <alignment horizontal="center" vertical="center"/>
    </xf>
    <xf numFmtId="0" fontId="15" fillId="0" borderId="28" xfId="0" applyFont="1" applyBorder="1" applyAlignment="1">
      <alignment horizontal="right" vertical="center" indent="1"/>
    </xf>
    <xf numFmtId="0" fontId="15" fillId="0" borderId="10" xfId="0" applyFont="1" applyBorder="1" applyAlignment="1">
      <alignment horizontal="right" vertical="center" indent="1"/>
    </xf>
    <xf numFmtId="0" fontId="4" fillId="0" borderId="23"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14" borderId="23" xfId="0" applyFont="1" applyFill="1" applyBorder="1" applyAlignment="1">
      <alignment horizontal="center" vertical="center"/>
    </xf>
    <xf numFmtId="0" fontId="4" fillId="14" borderId="13" xfId="0" applyFont="1" applyFill="1" applyBorder="1" applyAlignment="1">
      <alignment horizontal="center" vertical="center"/>
    </xf>
    <xf numFmtId="9" fontId="15" fillId="14" borderId="36" xfId="3" applyFont="1" applyFill="1" applyBorder="1" applyAlignment="1" applyProtection="1">
      <alignment horizontal="center" vertical="center"/>
    </xf>
    <xf numFmtId="1" fontId="4" fillId="14" borderId="23" xfId="0" applyNumberFormat="1" applyFont="1" applyFill="1" applyBorder="1" applyAlignment="1">
      <alignment horizontal="center" vertical="center"/>
    </xf>
    <xf numFmtId="9" fontId="15" fillId="14" borderId="8" xfId="3" applyFont="1" applyFill="1" applyBorder="1" applyAlignment="1" applyProtection="1">
      <alignment horizontal="center" vertical="center"/>
    </xf>
    <xf numFmtId="0" fontId="32" fillId="15" borderId="26" xfId="0" applyFont="1" applyFill="1" applyBorder="1" applyAlignment="1">
      <alignment horizontal="centerContinuous" vertical="center"/>
    </xf>
    <xf numFmtId="0" fontId="5" fillId="15" borderId="2" xfId="0" applyFont="1" applyFill="1" applyBorder="1" applyAlignment="1">
      <alignment horizontal="centerContinuous" vertical="center"/>
    </xf>
    <xf numFmtId="0" fontId="5" fillId="15" borderId="59" xfId="0" applyFont="1" applyFill="1" applyBorder="1" applyAlignment="1">
      <alignment vertical="center"/>
    </xf>
    <xf numFmtId="0" fontId="5" fillId="15" borderId="60" xfId="0" applyFont="1" applyFill="1" applyBorder="1" applyAlignment="1">
      <alignment vertical="center"/>
    </xf>
    <xf numFmtId="0" fontId="5" fillId="15" borderId="61" xfId="0" applyFont="1" applyFill="1" applyBorder="1" applyAlignment="1">
      <alignment vertical="center"/>
    </xf>
    <xf numFmtId="0" fontId="5" fillId="15" borderId="62" xfId="0" applyFont="1" applyFill="1" applyBorder="1" applyAlignment="1">
      <alignment vertical="center"/>
    </xf>
    <xf numFmtId="0" fontId="8" fillId="15" borderId="61" xfId="0" applyFont="1" applyFill="1" applyBorder="1" applyAlignment="1">
      <alignment vertical="center"/>
    </xf>
    <xf numFmtId="0" fontId="8" fillId="11" borderId="63" xfId="0" applyFont="1" applyFill="1" applyBorder="1" applyAlignment="1">
      <alignment horizontal="centerContinuous" vertical="center"/>
    </xf>
    <xf numFmtId="0" fontId="8" fillId="11" borderId="0" xfId="0" applyFont="1" applyFill="1" applyAlignment="1">
      <alignment horizontal="centerContinuous" vertical="center"/>
    </xf>
    <xf numFmtId="0" fontId="8" fillId="11" borderId="0" xfId="0" applyFont="1" applyFill="1" applyAlignment="1">
      <alignment horizontal="center" vertical="center"/>
    </xf>
    <xf numFmtId="0" fontId="5" fillId="11" borderId="63" xfId="0" applyFont="1" applyFill="1" applyBorder="1" applyAlignment="1">
      <alignment horizontal="center" vertical="center"/>
    </xf>
    <xf numFmtId="0" fontId="5" fillId="11" borderId="64" xfId="0" applyFont="1" applyFill="1" applyBorder="1" applyAlignment="1">
      <alignment horizontal="center" vertical="center"/>
    </xf>
    <xf numFmtId="0" fontId="1" fillId="16" borderId="65" xfId="0" applyFont="1" applyFill="1" applyBorder="1" applyAlignment="1">
      <alignment vertical="center"/>
    </xf>
    <xf numFmtId="0" fontId="2" fillId="0" borderId="66" xfId="0" applyFont="1" applyBorder="1" applyAlignment="1">
      <alignment horizontal="left" vertical="center" indent="1"/>
    </xf>
    <xf numFmtId="0" fontId="2" fillId="0" borderId="67" xfId="0" applyFont="1" applyBorder="1" applyAlignment="1" applyProtection="1">
      <alignment horizontal="center" vertical="center"/>
      <protection locked="0"/>
    </xf>
    <xf numFmtId="0" fontId="2" fillId="0" borderId="68" xfId="0" applyFont="1" applyBorder="1" applyAlignment="1" applyProtection="1">
      <alignment horizontal="center" vertical="center"/>
      <protection locked="0"/>
    </xf>
    <xf numFmtId="0" fontId="2" fillId="0" borderId="69" xfId="0" applyFont="1" applyBorder="1" applyAlignment="1" applyProtection="1">
      <alignment horizontal="center" vertical="center"/>
      <protection locked="0"/>
    </xf>
    <xf numFmtId="0" fontId="2" fillId="14" borderId="45" xfId="0" applyFont="1" applyFill="1" applyBorder="1" applyAlignment="1">
      <alignment horizontal="center" vertical="center"/>
    </xf>
    <xf numFmtId="2" fontId="2" fillId="14" borderId="20" xfId="0" applyNumberFormat="1" applyFont="1" applyFill="1" applyBorder="1" applyAlignment="1">
      <alignment horizontal="center" vertical="center"/>
    </xf>
    <xf numFmtId="2" fontId="1" fillId="14" borderId="21" xfId="0" applyNumberFormat="1" applyFont="1" applyFill="1" applyBorder="1" applyAlignment="1">
      <alignment horizontal="center" vertical="center"/>
    </xf>
    <xf numFmtId="2" fontId="2" fillId="14" borderId="45" xfId="0" applyNumberFormat="1" applyFont="1" applyFill="1" applyBorder="1" applyAlignment="1">
      <alignment horizontal="center" vertical="center"/>
    </xf>
    <xf numFmtId="2" fontId="2" fillId="14" borderId="21" xfId="0" applyNumberFormat="1" applyFont="1" applyFill="1" applyBorder="1" applyAlignment="1">
      <alignment horizontal="center" vertical="center"/>
    </xf>
    <xf numFmtId="2" fontId="1" fillId="14" borderId="18" xfId="0" applyNumberFormat="1" applyFont="1" applyFill="1" applyBorder="1" applyAlignment="1">
      <alignment horizontal="center" vertical="center"/>
    </xf>
    <xf numFmtId="2" fontId="2" fillId="0" borderId="45" xfId="0" applyNumberFormat="1" applyFont="1" applyBorder="1" applyAlignment="1">
      <alignment horizontal="center" vertical="center"/>
    </xf>
    <xf numFmtId="0" fontId="1" fillId="0" borderId="21" xfId="0" applyFont="1" applyBorder="1" applyAlignment="1">
      <alignment horizontal="center" vertical="center"/>
    </xf>
    <xf numFmtId="0" fontId="2" fillId="16" borderId="65" xfId="0" applyFont="1" applyFill="1" applyBorder="1" applyAlignment="1">
      <alignment vertical="center"/>
    </xf>
    <xf numFmtId="0" fontId="2" fillId="0" borderId="44" xfId="0" applyFont="1" applyBorder="1" applyAlignment="1">
      <alignment horizontal="left" vertical="center" indent="1"/>
    </xf>
    <xf numFmtId="0" fontId="2" fillId="0" borderId="70" xfId="0" applyFont="1" applyBorder="1" applyAlignment="1" applyProtection="1">
      <alignment horizontal="center" vertical="center"/>
      <protection locked="0"/>
    </xf>
    <xf numFmtId="0" fontId="2" fillId="0" borderId="71" xfId="0" applyFont="1" applyBorder="1" applyAlignment="1" applyProtection="1">
      <alignment horizontal="center" vertical="center"/>
      <protection locked="0"/>
    </xf>
    <xf numFmtId="0" fontId="2" fillId="0" borderId="72" xfId="0" applyFont="1" applyBorder="1" applyAlignment="1" applyProtection="1">
      <alignment horizontal="center" vertical="center"/>
      <protection locked="0"/>
    </xf>
    <xf numFmtId="0" fontId="2" fillId="14" borderId="28" xfId="0" applyFont="1" applyFill="1" applyBorder="1" applyAlignment="1">
      <alignment horizontal="center" vertical="center"/>
    </xf>
    <xf numFmtId="2" fontId="2" fillId="14" borderId="15" xfId="0" applyNumberFormat="1" applyFont="1" applyFill="1" applyBorder="1" applyAlignment="1">
      <alignment horizontal="center" vertical="center"/>
    </xf>
    <xf numFmtId="2" fontId="1" fillId="14" borderId="24" xfId="0" applyNumberFormat="1" applyFont="1" applyFill="1" applyBorder="1" applyAlignment="1">
      <alignment horizontal="center" vertical="center"/>
    </xf>
    <xf numFmtId="2" fontId="2" fillId="14" borderId="28" xfId="0" applyNumberFormat="1" applyFont="1" applyFill="1" applyBorder="1" applyAlignment="1">
      <alignment horizontal="center" vertical="center"/>
    </xf>
    <xf numFmtId="2" fontId="2" fillId="14" borderId="24" xfId="0" applyNumberFormat="1" applyFont="1" applyFill="1" applyBorder="1" applyAlignment="1">
      <alignment horizontal="center" vertical="center"/>
    </xf>
    <xf numFmtId="2" fontId="1" fillId="14" borderId="10" xfId="0" applyNumberFormat="1" applyFont="1" applyFill="1" applyBorder="1" applyAlignment="1">
      <alignment horizontal="center" vertical="center"/>
    </xf>
    <xf numFmtId="2" fontId="2" fillId="0" borderId="28" xfId="0" applyNumberFormat="1" applyFont="1" applyBorder="1" applyAlignment="1">
      <alignment horizontal="center" vertical="center"/>
    </xf>
    <xf numFmtId="0" fontId="1" fillId="0" borderId="24" xfId="0" applyFont="1" applyBorder="1" applyAlignment="1">
      <alignment horizontal="center" vertical="center"/>
    </xf>
    <xf numFmtId="0" fontId="2" fillId="16" borderId="22" xfId="0" applyFont="1" applyFill="1" applyBorder="1" applyAlignment="1">
      <alignment vertical="center"/>
    </xf>
    <xf numFmtId="0" fontId="2" fillId="0" borderId="40" xfId="0" applyFont="1" applyBorder="1" applyAlignment="1">
      <alignment horizontal="left" vertical="center" indent="1"/>
    </xf>
    <xf numFmtId="0" fontId="2" fillId="0" borderId="73" xfId="0" applyFont="1" applyBorder="1" applyAlignment="1" applyProtection="1">
      <alignment horizontal="center" vertical="center"/>
      <protection locked="0"/>
    </xf>
    <xf numFmtId="0" fontId="2" fillId="0" borderId="74" xfId="0" applyFont="1" applyBorder="1" applyAlignment="1" applyProtection="1">
      <alignment horizontal="center" vertical="center"/>
      <protection locked="0"/>
    </xf>
    <xf numFmtId="0" fontId="2" fillId="0" borderId="75" xfId="0" applyFont="1" applyBorder="1" applyAlignment="1" applyProtection="1">
      <alignment horizontal="center" vertical="center"/>
      <protection locked="0"/>
    </xf>
    <xf numFmtId="0" fontId="2" fillId="14" borderId="26" xfId="0" applyFont="1" applyFill="1" applyBorder="1" applyAlignment="1">
      <alignment horizontal="center" vertical="center"/>
    </xf>
    <xf numFmtId="2" fontId="2" fillId="14" borderId="5" xfId="0" applyNumberFormat="1" applyFont="1" applyFill="1" applyBorder="1" applyAlignment="1">
      <alignment horizontal="center" vertical="center"/>
    </xf>
    <xf numFmtId="2" fontId="1" fillId="14" borderId="27" xfId="0" applyNumberFormat="1" applyFont="1" applyFill="1" applyBorder="1" applyAlignment="1">
      <alignment horizontal="center" vertical="center"/>
    </xf>
    <xf numFmtId="2" fontId="2" fillId="14" borderId="26" xfId="0" applyNumberFormat="1" applyFont="1" applyFill="1" applyBorder="1" applyAlignment="1">
      <alignment horizontal="center" vertical="center"/>
    </xf>
    <xf numFmtId="2" fontId="2" fillId="14" borderId="27" xfId="0" applyNumberFormat="1" applyFont="1" applyFill="1" applyBorder="1" applyAlignment="1">
      <alignment horizontal="center" vertical="center"/>
    </xf>
    <xf numFmtId="2" fontId="1" fillId="14" borderId="2" xfId="0" applyNumberFormat="1" applyFont="1" applyFill="1" applyBorder="1" applyAlignment="1">
      <alignment horizontal="center" vertical="center"/>
    </xf>
    <xf numFmtId="2" fontId="2" fillId="0" borderId="26" xfId="0" applyNumberFormat="1" applyFont="1" applyBorder="1" applyAlignment="1">
      <alignment horizontal="center" vertical="center"/>
    </xf>
    <xf numFmtId="0" fontId="1" fillId="0" borderId="27" xfId="0" applyFont="1" applyBorder="1" applyAlignment="1">
      <alignment horizontal="center" vertical="center"/>
    </xf>
    <xf numFmtId="0" fontId="8" fillId="11" borderId="76" xfId="0" applyFont="1" applyFill="1" applyBorder="1" applyAlignment="1">
      <alignment horizontal="left" vertical="center"/>
    </xf>
    <xf numFmtId="0" fontId="2" fillId="11" borderId="77" xfId="0" applyFont="1" applyFill="1" applyBorder="1" applyAlignment="1">
      <alignment horizontal="left" vertical="center" indent="1"/>
    </xf>
    <xf numFmtId="0" fontId="5" fillId="11" borderId="78" xfId="0" applyFont="1" applyFill="1" applyBorder="1" applyAlignment="1">
      <alignment horizontal="center" vertical="center"/>
    </xf>
    <xf numFmtId="0" fontId="2" fillId="11" borderId="78" xfId="0" applyFont="1" applyFill="1" applyBorder="1" applyAlignment="1">
      <alignment horizontal="center" vertical="center"/>
    </xf>
    <xf numFmtId="176" fontId="2" fillId="11" borderId="78" xfId="0" applyNumberFormat="1" applyFont="1" applyFill="1" applyBorder="1" applyAlignment="1">
      <alignment horizontal="center" vertical="center"/>
    </xf>
    <xf numFmtId="176" fontId="1" fillId="11" borderId="78" xfId="0" applyNumberFormat="1" applyFont="1" applyFill="1" applyBorder="1" applyAlignment="1">
      <alignment horizontal="center" vertical="center"/>
    </xf>
    <xf numFmtId="2" fontId="2" fillId="11" borderId="76" xfId="0" applyNumberFormat="1" applyFont="1" applyFill="1" applyBorder="1" applyAlignment="1">
      <alignment horizontal="center" vertical="center"/>
    </xf>
    <xf numFmtId="0" fontId="1" fillId="11" borderId="79" xfId="0" applyFont="1" applyFill="1" applyBorder="1" applyAlignment="1">
      <alignment horizontal="center" vertical="center"/>
    </xf>
    <xf numFmtId="0" fontId="1" fillId="9" borderId="25" xfId="0" applyFont="1" applyFill="1" applyBorder="1" applyAlignment="1">
      <alignment vertical="center"/>
    </xf>
    <xf numFmtId="0" fontId="2" fillId="0" borderId="37" xfId="0" applyFont="1" applyBorder="1" applyAlignment="1">
      <alignment horizontal="left" vertical="center" indent="1"/>
    </xf>
    <xf numFmtId="0" fontId="2" fillId="0" borderId="80" xfId="0" applyFont="1" applyBorder="1" applyAlignment="1" applyProtection="1">
      <alignment horizontal="center" vertical="center"/>
      <protection locked="0"/>
    </xf>
    <xf numFmtId="0" fontId="2" fillId="0" borderId="81" xfId="0" applyFont="1" applyBorder="1" applyAlignment="1" applyProtection="1">
      <alignment horizontal="center" vertical="center"/>
      <protection locked="0"/>
    </xf>
    <xf numFmtId="0" fontId="2" fillId="0" borderId="82" xfId="0" applyFont="1" applyBorder="1" applyAlignment="1" applyProtection="1">
      <alignment horizontal="center" vertical="center"/>
      <protection locked="0"/>
    </xf>
    <xf numFmtId="0" fontId="2" fillId="14" borderId="23" xfId="0" applyFont="1" applyFill="1" applyBorder="1" applyAlignment="1">
      <alignment horizontal="center" vertical="center"/>
    </xf>
    <xf numFmtId="2" fontId="2" fillId="14" borderId="13" xfId="0" applyNumberFormat="1" applyFont="1" applyFill="1" applyBorder="1" applyAlignment="1">
      <alignment horizontal="center" vertical="center"/>
    </xf>
    <xf numFmtId="2" fontId="1" fillId="14" borderId="36" xfId="0" applyNumberFormat="1" applyFont="1" applyFill="1" applyBorder="1" applyAlignment="1">
      <alignment horizontal="center" vertical="center"/>
    </xf>
    <xf numFmtId="2" fontId="2" fillId="14" borderId="23" xfId="0" applyNumberFormat="1" applyFont="1" applyFill="1" applyBorder="1" applyAlignment="1">
      <alignment horizontal="center" vertical="center"/>
    </xf>
    <xf numFmtId="2" fontId="2" fillId="14" borderId="36" xfId="0" applyNumberFormat="1" applyFont="1" applyFill="1" applyBorder="1" applyAlignment="1">
      <alignment horizontal="center" vertical="center"/>
    </xf>
    <xf numFmtId="2" fontId="1" fillId="14" borderId="8" xfId="0" applyNumberFormat="1" applyFont="1" applyFill="1" applyBorder="1" applyAlignment="1">
      <alignment horizontal="center" vertical="center"/>
    </xf>
    <xf numFmtId="2" fontId="2" fillId="0" borderId="23" xfId="0" applyNumberFormat="1" applyFont="1" applyBorder="1" applyAlignment="1">
      <alignment horizontal="center" vertical="center"/>
    </xf>
    <xf numFmtId="0" fontId="2" fillId="9" borderId="65" xfId="0" applyFont="1" applyFill="1" applyBorder="1" applyAlignment="1">
      <alignment vertical="center"/>
    </xf>
    <xf numFmtId="0" fontId="2" fillId="9" borderId="83" xfId="0" applyFont="1" applyFill="1" applyBorder="1" applyAlignment="1">
      <alignment vertical="center"/>
    </xf>
    <xf numFmtId="0" fontId="2" fillId="0" borderId="84" xfId="0" applyFont="1" applyBorder="1" applyAlignment="1" applyProtection="1">
      <alignment horizontal="center" vertical="center"/>
      <protection locked="0"/>
    </xf>
    <xf numFmtId="0" fontId="2" fillId="0" borderId="85" xfId="0" applyFont="1" applyBorder="1" applyAlignment="1" applyProtection="1">
      <alignment horizontal="center" vertical="center"/>
      <protection locked="0"/>
    </xf>
    <xf numFmtId="0" fontId="2" fillId="0" borderId="86" xfId="0" applyFont="1" applyBorder="1" applyAlignment="1" applyProtection="1">
      <alignment horizontal="center" vertical="center"/>
      <protection locked="0"/>
    </xf>
    <xf numFmtId="0" fontId="2" fillId="14" borderId="33" xfId="0" applyFont="1" applyFill="1" applyBorder="1" applyAlignment="1">
      <alignment horizontal="center" vertical="center"/>
    </xf>
    <xf numFmtId="2" fontId="2" fillId="14" borderId="34" xfId="0" applyNumberFormat="1" applyFont="1" applyFill="1" applyBorder="1" applyAlignment="1">
      <alignment horizontal="center" vertical="center"/>
    </xf>
    <xf numFmtId="2" fontId="1" fillId="14" borderId="35" xfId="0" applyNumberFormat="1" applyFont="1" applyFill="1" applyBorder="1" applyAlignment="1">
      <alignment horizontal="center" vertical="center"/>
    </xf>
    <xf numFmtId="2" fontId="2" fillId="14" borderId="33" xfId="0" applyNumberFormat="1" applyFont="1" applyFill="1" applyBorder="1" applyAlignment="1">
      <alignment horizontal="center" vertical="center"/>
    </xf>
    <xf numFmtId="2" fontId="2" fillId="14" borderId="35" xfId="0" applyNumberFormat="1" applyFont="1" applyFill="1" applyBorder="1" applyAlignment="1">
      <alignment horizontal="center" vertical="center"/>
    </xf>
    <xf numFmtId="2" fontId="1" fillId="14" borderId="31" xfId="0" applyNumberFormat="1" applyFont="1" applyFill="1" applyBorder="1" applyAlignment="1">
      <alignment horizontal="center" vertical="center"/>
    </xf>
    <xf numFmtId="2" fontId="2" fillId="0" borderId="33" xfId="0" applyNumberFormat="1" applyFont="1" applyBorder="1" applyAlignment="1">
      <alignment horizontal="center" vertical="center"/>
    </xf>
    <xf numFmtId="0" fontId="33" fillId="14" borderId="0" xfId="0" applyFont="1" applyFill="1" applyAlignment="1">
      <alignment vertical="center"/>
    </xf>
    <xf numFmtId="0" fontId="34" fillId="14" borderId="0" xfId="0" applyFont="1" applyFill="1" applyAlignment="1">
      <alignment horizontal="left" vertical="center" indent="1"/>
    </xf>
    <xf numFmtId="0" fontId="34" fillId="14" borderId="0" xfId="0" applyFont="1" applyFill="1" applyAlignment="1">
      <alignment vertical="center"/>
    </xf>
    <xf numFmtId="0" fontId="34" fillId="14" borderId="0" xfId="0" applyFont="1" applyFill="1" applyAlignment="1">
      <alignment horizontal="left" vertical="center"/>
    </xf>
    <xf numFmtId="0" fontId="34" fillId="14" borderId="0" xfId="0" applyFont="1" applyFill="1" applyAlignment="1">
      <alignment horizontal="center" vertical="center"/>
    </xf>
    <xf numFmtId="0" fontId="2" fillId="14" borderId="0" xfId="0" applyFont="1" applyFill="1" applyAlignment="1">
      <alignment vertical="center"/>
    </xf>
    <xf numFmtId="0" fontId="1" fillId="14" borderId="0" xfId="0" applyFont="1" applyFill="1" applyAlignment="1">
      <alignment vertical="center"/>
    </xf>
    <xf numFmtId="0" fontId="35" fillId="14" borderId="0" xfId="0" applyFont="1" applyFill="1" applyAlignment="1">
      <alignment horizontal="left" vertical="center"/>
    </xf>
    <xf numFmtId="0" fontId="36" fillId="14" borderId="0" xfId="0" applyFont="1" applyFill="1" applyAlignment="1">
      <alignment horizontal="left" vertical="center"/>
    </xf>
    <xf numFmtId="0" fontId="37" fillId="14" borderId="0" xfId="0" applyFont="1" applyFill="1" applyAlignment="1">
      <alignment horizontal="right" vertical="center"/>
    </xf>
    <xf numFmtId="0" fontId="32" fillId="5" borderId="87" xfId="0" applyFont="1" applyFill="1" applyBorder="1" applyAlignment="1">
      <alignment horizontal="left" vertical="center" indent="1"/>
    </xf>
    <xf numFmtId="0" fontId="32" fillId="5" borderId="88" xfId="0" applyFont="1" applyFill="1" applyBorder="1" applyAlignment="1">
      <alignment horizontal="left" vertical="center" indent="1"/>
    </xf>
    <xf numFmtId="0" fontId="32" fillId="5" borderId="89" xfId="0" applyFont="1" applyFill="1" applyBorder="1" applyAlignment="1">
      <alignment horizontal="left" vertical="center" indent="1"/>
    </xf>
    <xf numFmtId="0" fontId="38" fillId="5" borderId="87" xfId="0" applyFont="1" applyFill="1" applyBorder="1" applyAlignment="1">
      <alignment horizontal="left" vertical="center" indent="1"/>
    </xf>
    <xf numFmtId="0" fontId="38" fillId="5" borderId="88" xfId="0" applyFont="1" applyFill="1" applyBorder="1" applyAlignment="1">
      <alignment horizontal="left" vertical="center" indent="1"/>
    </xf>
    <xf numFmtId="0" fontId="38" fillId="5" borderId="89" xfId="0" applyFont="1" applyFill="1" applyBorder="1" applyAlignment="1">
      <alignment horizontal="left" vertical="center" indent="1"/>
    </xf>
    <xf numFmtId="0" fontId="32" fillId="5" borderId="63" xfId="0" applyFont="1" applyFill="1" applyBorder="1" applyAlignment="1">
      <alignment horizontal="left" vertical="center" indent="1"/>
    </xf>
    <xf numFmtId="0" fontId="32" fillId="5" borderId="0" xfId="0" applyFont="1" applyFill="1" applyAlignment="1">
      <alignment horizontal="left" vertical="center" indent="1"/>
    </xf>
    <xf numFmtId="0" fontId="32" fillId="5" borderId="64" xfId="0" applyFont="1" applyFill="1" applyBorder="1" applyAlignment="1">
      <alignment horizontal="left" vertical="center" indent="1"/>
    </xf>
    <xf numFmtId="0" fontId="38" fillId="5" borderId="63" xfId="0" applyFont="1" applyFill="1" applyBorder="1" applyAlignment="1">
      <alignment horizontal="left" vertical="center" indent="1"/>
    </xf>
    <xf numFmtId="0" fontId="38" fillId="5" borderId="0" xfId="0" applyFont="1" applyFill="1" applyAlignment="1">
      <alignment horizontal="left" vertical="center" indent="1"/>
    </xf>
    <xf numFmtId="0" fontId="38" fillId="5" borderId="64" xfId="0" applyFont="1" applyFill="1" applyBorder="1" applyAlignment="1">
      <alignment horizontal="left" vertical="center" indent="1"/>
    </xf>
    <xf numFmtId="0" fontId="8" fillId="6" borderId="63" xfId="0" applyFont="1" applyFill="1" applyBorder="1" applyAlignment="1">
      <alignment horizontal="left" vertical="center" indent="1"/>
    </xf>
    <xf numFmtId="0" fontId="8" fillId="6" borderId="0" xfId="0" applyFont="1" applyFill="1" applyAlignment="1">
      <alignment horizontal="left" vertical="center"/>
    </xf>
    <xf numFmtId="0" fontId="8" fillId="6" borderId="0" xfId="0" applyFont="1" applyFill="1" applyAlignment="1">
      <alignment horizontal="center" vertical="center"/>
    </xf>
    <xf numFmtId="0" fontId="8" fillId="6" borderId="64" xfId="0" applyFont="1" applyFill="1" applyBorder="1" applyAlignment="1">
      <alignment horizontal="center" vertical="center"/>
    </xf>
    <xf numFmtId="0" fontId="2" fillId="6" borderId="63" xfId="0" applyFont="1" applyFill="1" applyBorder="1" applyAlignment="1">
      <alignment vertical="center"/>
    </xf>
    <xf numFmtId="0" fontId="2" fillId="6" borderId="0" xfId="0" applyFont="1" applyFill="1" applyAlignment="1">
      <alignment vertical="center"/>
    </xf>
    <xf numFmtId="0" fontId="1" fillId="6" borderId="0" xfId="0" applyFont="1" applyFill="1" applyAlignment="1">
      <alignment horizontal="left" vertical="center"/>
    </xf>
    <xf numFmtId="0" fontId="2" fillId="6" borderId="64" xfId="0" applyFont="1" applyFill="1" applyBorder="1" applyAlignment="1">
      <alignment vertical="center"/>
    </xf>
    <xf numFmtId="0" fontId="2" fillId="6" borderId="63" xfId="0" applyFont="1" applyFill="1" applyBorder="1" applyAlignment="1">
      <alignment horizontal="left" vertical="center" indent="1"/>
    </xf>
    <xf numFmtId="0" fontId="39" fillId="17" borderId="10" xfId="0" applyFont="1" applyFill="1" applyBorder="1" applyAlignment="1">
      <alignment horizontal="left" vertical="center" indent="1"/>
    </xf>
    <xf numFmtId="0" fontId="39" fillId="17" borderId="14" xfId="0" applyFont="1" applyFill="1" applyBorder="1" applyAlignment="1">
      <alignment horizontal="left" vertical="center" indent="1"/>
    </xf>
    <xf numFmtId="0" fontId="40" fillId="17" borderId="14" xfId="0" applyFont="1" applyFill="1" applyBorder="1" applyAlignment="1">
      <alignment horizontal="center" vertical="center"/>
    </xf>
    <xf numFmtId="0" fontId="11" fillId="17" borderId="14" xfId="0" applyFont="1" applyFill="1" applyBorder="1" applyAlignment="1" applyProtection="1">
      <alignment horizontal="left" vertical="center"/>
      <protection locked="0"/>
    </xf>
    <xf numFmtId="0" fontId="11" fillId="17" borderId="11" xfId="0" applyFont="1" applyFill="1" applyBorder="1" applyAlignment="1" applyProtection="1">
      <alignment horizontal="left" vertical="center"/>
      <protection locked="0"/>
    </xf>
    <xf numFmtId="0" fontId="2" fillId="6" borderId="64" xfId="0" applyFont="1" applyFill="1" applyBorder="1" applyAlignment="1">
      <alignment horizontal="center" vertical="center"/>
    </xf>
    <xf numFmtId="0" fontId="8" fillId="5" borderId="10" xfId="0" applyFont="1" applyFill="1" applyBorder="1" applyAlignment="1">
      <alignment horizontal="left" vertical="center" indent="1"/>
    </xf>
    <xf numFmtId="0" fontId="8" fillId="5" borderId="14" xfId="0" applyFont="1" applyFill="1" applyBorder="1" applyAlignment="1">
      <alignment horizontal="center" vertical="center"/>
    </xf>
    <xf numFmtId="0" fontId="8" fillId="5" borderId="11" xfId="0" applyFont="1" applyFill="1" applyBorder="1" applyAlignment="1">
      <alignment horizontal="left" vertical="center"/>
    </xf>
    <xf numFmtId="0" fontId="2" fillId="6" borderId="0" xfId="0" applyFont="1" applyFill="1" applyAlignment="1">
      <alignment horizontal="center" vertical="center"/>
    </xf>
    <xf numFmtId="0" fontId="8" fillId="5" borderId="10" xfId="0" applyFont="1" applyFill="1" applyBorder="1" applyAlignment="1">
      <alignment horizontal="center" vertical="center"/>
    </xf>
    <xf numFmtId="0" fontId="1" fillId="16" borderId="15" xfId="0" applyFont="1" applyFill="1" applyBorder="1" applyAlignment="1">
      <alignment vertical="center"/>
    </xf>
    <xf numFmtId="1" fontId="41" fillId="18" borderId="15" xfId="0" applyNumberFormat="1" applyFont="1" applyFill="1" applyBorder="1" applyAlignment="1" applyProtection="1">
      <alignment horizontal="center" vertical="center"/>
      <protection locked="0"/>
    </xf>
    <xf numFmtId="0" fontId="2" fillId="17" borderId="15" xfId="0" applyFont="1" applyFill="1" applyBorder="1" applyAlignment="1" applyProtection="1">
      <alignment horizontal="left" vertical="center" indent="1"/>
      <protection locked="0"/>
    </xf>
    <xf numFmtId="0" fontId="1" fillId="9" borderId="15" xfId="0" applyFont="1" applyFill="1" applyBorder="1" applyAlignment="1">
      <alignment vertical="center"/>
    </xf>
    <xf numFmtId="0" fontId="22" fillId="6" borderId="0" xfId="0" applyFont="1" applyFill="1" applyAlignment="1">
      <alignment horizontal="left" vertical="center" indent="1"/>
    </xf>
    <xf numFmtId="0" fontId="40" fillId="6" borderId="0" xfId="0" applyFont="1" applyFill="1" applyAlignment="1">
      <alignment horizontal="center" vertical="center"/>
    </xf>
    <xf numFmtId="0" fontId="11" fillId="6" borderId="0" xfId="0" applyFont="1" applyFill="1" applyAlignment="1">
      <alignment horizontal="left" vertical="center"/>
    </xf>
    <xf numFmtId="0" fontId="1" fillId="6" borderId="63" xfId="0" applyFont="1" applyFill="1" applyBorder="1" applyAlignment="1">
      <alignment horizontal="left" vertical="center"/>
    </xf>
    <xf numFmtId="0" fontId="39" fillId="17" borderId="2" xfId="0" applyFont="1" applyFill="1" applyBorder="1" applyAlignment="1">
      <alignment horizontal="left" vertical="top" indent="1"/>
    </xf>
    <xf numFmtId="0" fontId="39" fillId="17" borderId="4" xfId="0" applyFont="1" applyFill="1" applyBorder="1" applyAlignment="1">
      <alignment horizontal="left" vertical="top" indent="1"/>
    </xf>
    <xf numFmtId="0" fontId="40" fillId="17" borderId="4" xfId="0" applyFont="1" applyFill="1" applyBorder="1" applyAlignment="1">
      <alignment horizontal="center" vertical="top"/>
    </xf>
    <xf numFmtId="0" fontId="11" fillId="17" borderId="4" xfId="0" applyFont="1" applyFill="1" applyBorder="1" applyAlignment="1" applyProtection="1">
      <alignment horizontal="left" vertical="top"/>
      <protection locked="0"/>
    </xf>
    <xf numFmtId="0" fontId="11" fillId="17" borderId="3" xfId="0" applyFont="1" applyFill="1" applyBorder="1" applyAlignment="1" applyProtection="1">
      <alignment horizontal="left" vertical="top"/>
      <protection locked="0"/>
    </xf>
    <xf numFmtId="0" fontId="39" fillId="17" borderId="8" xfId="0" applyFont="1" applyFill="1" applyBorder="1" applyAlignment="1">
      <alignment horizontal="left" vertical="top" indent="1"/>
    </xf>
    <xf numFmtId="0" fontId="39" fillId="17" borderId="12" xfId="0" applyFont="1" applyFill="1" applyBorder="1" applyAlignment="1">
      <alignment horizontal="left" vertical="top" indent="1"/>
    </xf>
    <xf numFmtId="0" fontId="40" fillId="17" borderId="12" xfId="0" applyFont="1" applyFill="1" applyBorder="1" applyAlignment="1">
      <alignment horizontal="center" vertical="top"/>
    </xf>
    <xf numFmtId="0" fontId="11" fillId="17" borderId="12" xfId="0" applyFont="1" applyFill="1" applyBorder="1" applyAlignment="1" applyProtection="1">
      <alignment horizontal="left" vertical="top"/>
      <protection locked="0"/>
    </xf>
    <xf numFmtId="0" fontId="11" fillId="17" borderId="9" xfId="0" applyFont="1" applyFill="1" applyBorder="1" applyAlignment="1" applyProtection="1">
      <alignment horizontal="left" vertical="top"/>
      <protection locked="0"/>
    </xf>
    <xf numFmtId="1" fontId="41" fillId="0" borderId="0" xfId="0" applyNumberFormat="1" applyFont="1" applyFill="1" applyBorder="1" applyAlignment="1" applyProtection="1">
      <alignment horizontal="center" vertical="center"/>
      <protection locked="0"/>
    </xf>
    <xf numFmtId="0" fontId="11" fillId="17" borderId="14" xfId="0" applyFont="1" applyFill="1" applyBorder="1" applyAlignment="1" applyProtection="1">
      <alignment horizontal="center" vertical="center"/>
      <protection locked="0"/>
    </xf>
    <xf numFmtId="0" fontId="11" fillId="6" borderId="11" xfId="0" applyFont="1" applyFill="1" applyBorder="1" applyAlignment="1" applyProtection="1">
      <alignment vertical="center"/>
      <protection locked="0"/>
    </xf>
    <xf numFmtId="0" fontId="2" fillId="6" borderId="29" xfId="0" applyFont="1" applyFill="1" applyBorder="1" applyAlignment="1">
      <alignment horizontal="left" vertical="center" indent="1"/>
    </xf>
    <xf numFmtId="0" fontId="2" fillId="6" borderId="30" xfId="0" applyFont="1" applyFill="1" applyBorder="1" applyAlignment="1">
      <alignment vertical="center"/>
    </xf>
    <xf numFmtId="0" fontId="2" fillId="6" borderId="30" xfId="0" applyFont="1" applyFill="1" applyBorder="1" applyAlignment="1">
      <alignment horizontal="left" vertical="center"/>
    </xf>
    <xf numFmtId="0" fontId="2" fillId="6" borderId="30" xfId="0" applyFont="1" applyFill="1" applyBorder="1" applyAlignment="1">
      <alignment horizontal="center" vertical="center"/>
    </xf>
    <xf numFmtId="0" fontId="2" fillId="6" borderId="90" xfId="0" applyFont="1" applyFill="1" applyBorder="1" applyAlignment="1">
      <alignment horizontal="center" vertical="center"/>
    </xf>
    <xf numFmtId="0" fontId="1" fillId="17" borderId="15" xfId="0" applyFont="1" applyFill="1" applyBorder="1" applyAlignment="1" applyProtection="1">
      <alignment horizontal="left" vertical="center" indent="1"/>
      <protection locked="0"/>
    </xf>
    <xf numFmtId="0" fontId="39" fillId="17" borderId="91" xfId="0" applyFont="1" applyFill="1" applyBorder="1" applyAlignment="1">
      <alignment horizontal="left" vertical="center" indent="1"/>
    </xf>
    <xf numFmtId="0" fontId="39" fillId="17" borderId="92" xfId="0" applyFont="1" applyFill="1" applyBorder="1" applyAlignment="1">
      <alignment horizontal="left" vertical="center" indent="1"/>
    </xf>
    <xf numFmtId="0" fontId="40" fillId="17" borderId="92" xfId="0" applyFont="1" applyFill="1" applyBorder="1" applyAlignment="1">
      <alignment horizontal="center" vertical="center"/>
    </xf>
    <xf numFmtId="0" fontId="1" fillId="17" borderId="92" xfId="0" applyFont="1" applyFill="1" applyBorder="1" applyAlignment="1" applyProtection="1">
      <alignment horizontal="left" vertical="center" wrapText="1"/>
      <protection locked="0"/>
    </xf>
    <xf numFmtId="0" fontId="1" fillId="17" borderId="93" xfId="0" applyFont="1" applyFill="1" applyBorder="1" applyAlignment="1" applyProtection="1">
      <alignment horizontal="left" vertical="center" wrapText="1"/>
      <protection locked="0"/>
    </xf>
    <xf numFmtId="0" fontId="39" fillId="17" borderId="94" xfId="0" applyFont="1" applyFill="1" applyBorder="1" applyAlignment="1">
      <alignment horizontal="left" vertical="center" indent="1"/>
    </xf>
    <xf numFmtId="0" fontId="39" fillId="17" borderId="12" xfId="0" applyFont="1" applyFill="1" applyBorder="1" applyAlignment="1">
      <alignment horizontal="left" vertical="center" indent="1"/>
    </xf>
    <xf numFmtId="0" fontId="40" fillId="17" borderId="12" xfId="0" applyFont="1" applyFill="1" applyBorder="1" applyAlignment="1">
      <alignment horizontal="center" vertical="center"/>
    </xf>
    <xf numFmtId="0" fontId="1" fillId="17" borderId="12" xfId="0" applyFont="1" applyFill="1" applyBorder="1" applyAlignment="1" applyProtection="1">
      <alignment horizontal="left" vertical="center" wrapText="1"/>
      <protection locked="0"/>
    </xf>
    <xf numFmtId="0" fontId="1" fillId="17" borderId="95" xfId="0" applyFont="1" applyFill="1" applyBorder="1" applyAlignment="1" applyProtection="1">
      <alignment horizontal="left" vertical="center" wrapText="1"/>
      <protection locked="0"/>
    </xf>
    <xf numFmtId="0" fontId="39" fillId="17" borderId="96" xfId="0" applyFont="1" applyFill="1" applyBorder="1" applyAlignment="1">
      <alignment horizontal="left" vertical="center" indent="1"/>
    </xf>
    <xf numFmtId="0" fontId="1" fillId="17" borderId="11" xfId="0" applyFont="1" applyFill="1" applyBorder="1" applyAlignment="1" applyProtection="1">
      <alignment horizontal="left" vertical="center" wrapText="1"/>
      <protection locked="0"/>
    </xf>
    <xf numFmtId="0" fontId="14" fillId="6" borderId="97" xfId="0" applyFont="1" applyFill="1" applyBorder="1" applyAlignment="1">
      <alignment horizontal="left" vertical="center"/>
    </xf>
    <xf numFmtId="0" fontId="1" fillId="17" borderId="14" xfId="0" applyFont="1" applyFill="1" applyBorder="1" applyAlignment="1" applyProtection="1">
      <alignment horizontal="left" vertical="center" wrapText="1"/>
      <protection locked="0"/>
    </xf>
    <xf numFmtId="0" fontId="1" fillId="17" borderId="98" xfId="0" applyFont="1" applyFill="1" applyBorder="1" applyAlignment="1" applyProtection="1">
      <alignment horizontal="left" vertical="center" wrapText="1"/>
      <protection locked="0"/>
    </xf>
    <xf numFmtId="0" fontId="42" fillId="6" borderId="0" xfId="0" applyFont="1" applyFill="1" applyAlignment="1">
      <alignment vertical="center"/>
    </xf>
    <xf numFmtId="0" fontId="42" fillId="6" borderId="0" xfId="0" applyFont="1" applyFill="1" applyAlignment="1">
      <alignment horizontal="left" vertical="center"/>
    </xf>
    <xf numFmtId="0" fontId="1" fillId="6" borderId="0" xfId="0" applyFont="1" applyFill="1" applyAlignment="1">
      <alignment horizontal="center" vertical="center"/>
    </xf>
    <xf numFmtId="0" fontId="5" fillId="19" borderId="63" xfId="0" applyFont="1" applyFill="1" applyBorder="1" applyAlignment="1">
      <alignment horizontal="left" vertical="center" indent="1"/>
    </xf>
    <xf numFmtId="0" fontId="8" fillId="19" borderId="0" xfId="0" applyFont="1" applyFill="1" applyAlignment="1">
      <alignment vertical="center"/>
    </xf>
    <xf numFmtId="0" fontId="5" fillId="19" borderId="0" xfId="0" applyFont="1" applyFill="1" applyAlignment="1">
      <alignment horizontal="left" vertical="center"/>
    </xf>
    <xf numFmtId="0" fontId="8" fillId="19" borderId="0" xfId="0" applyFont="1" applyFill="1" applyAlignment="1">
      <alignment horizontal="center" vertical="center"/>
    </xf>
    <xf numFmtId="0" fontId="11" fillId="13" borderId="0" xfId="0" applyFont="1" applyFill="1" applyAlignment="1">
      <alignment horizontal="left" vertical="center"/>
    </xf>
    <xf numFmtId="0" fontId="2" fillId="20" borderId="0" xfId="0" applyFont="1" applyFill="1" applyAlignment="1">
      <alignment horizontal="center" vertical="center"/>
    </xf>
    <xf numFmtId="0" fontId="2" fillId="13" borderId="64" xfId="0" applyFont="1" applyFill="1" applyBorder="1" applyAlignment="1">
      <alignment horizontal="center" vertical="center"/>
    </xf>
    <xf numFmtId="0" fontId="8" fillId="13" borderId="63" xfId="0" applyFont="1" applyFill="1" applyBorder="1" applyAlignment="1">
      <alignment horizontal="left" vertical="center" indent="1"/>
    </xf>
    <xf numFmtId="0" fontId="43" fillId="20" borderId="0" xfId="0" applyFont="1" applyFill="1" applyAlignment="1">
      <alignment horizontal="center" vertical="center"/>
    </xf>
    <xf numFmtId="0" fontId="43" fillId="13" borderId="64" xfId="0" applyFont="1" applyFill="1" applyBorder="1" applyAlignment="1">
      <alignment horizontal="center" vertical="center"/>
    </xf>
    <xf numFmtId="0" fontId="40" fillId="17" borderId="0" xfId="0" applyFont="1" applyFill="1" applyAlignment="1">
      <alignment horizontal="center" vertical="center"/>
    </xf>
    <xf numFmtId="0" fontId="1" fillId="0" borderId="14" xfId="0" applyFont="1" applyBorder="1" applyAlignment="1" applyProtection="1">
      <alignment horizontal="left" vertical="center"/>
      <protection locked="0"/>
    </xf>
    <xf numFmtId="0" fontId="1" fillId="0" borderId="11" xfId="0" applyFont="1" applyBorder="1" applyAlignment="1" applyProtection="1">
      <alignment horizontal="left" vertical="center"/>
      <protection locked="0"/>
    </xf>
    <xf numFmtId="0" fontId="44" fillId="17" borderId="4" xfId="0" applyFont="1" applyFill="1" applyBorder="1" applyAlignment="1" applyProtection="1">
      <alignment horizontal="left" vertical="top" wrapText="1"/>
      <protection locked="0"/>
    </xf>
    <xf numFmtId="0" fontId="44" fillId="17" borderId="3" xfId="0" applyFont="1" applyFill="1" applyBorder="1" applyAlignment="1" applyProtection="1">
      <alignment horizontal="left" vertical="top" wrapText="1"/>
      <protection locked="0"/>
    </xf>
    <xf numFmtId="0" fontId="44" fillId="17" borderId="12" xfId="0" applyFont="1" applyFill="1" applyBorder="1" applyAlignment="1" applyProtection="1">
      <alignment horizontal="left" vertical="top" wrapText="1"/>
      <protection locked="0"/>
    </xf>
    <xf numFmtId="0" fontId="44" fillId="17" borderId="9" xfId="0" applyFont="1" applyFill="1" applyBorder="1" applyAlignment="1" applyProtection="1">
      <alignment horizontal="left" vertical="top" wrapText="1"/>
      <protection locked="0"/>
    </xf>
    <xf numFmtId="0" fontId="45" fillId="20" borderId="0" xfId="0" applyFont="1" applyFill="1" applyAlignment="1">
      <alignment horizontal="center" vertical="center"/>
    </xf>
    <xf numFmtId="0" fontId="45" fillId="13" borderId="64" xfId="0" applyFont="1" applyFill="1" applyBorder="1" applyAlignment="1">
      <alignment horizontal="center" vertical="center"/>
    </xf>
    <xf numFmtId="0" fontId="2" fillId="13" borderId="63" xfId="0" applyFont="1" applyFill="1" applyBorder="1" applyAlignment="1">
      <alignment horizontal="left" vertical="center" indent="1"/>
    </xf>
    <xf numFmtId="0" fontId="46" fillId="13" borderId="0" xfId="0" applyFont="1" applyFill="1" applyAlignment="1">
      <alignment horizontal="left" vertical="center"/>
    </xf>
    <xf numFmtId="0" fontId="46" fillId="13" borderId="0" xfId="0" applyFont="1" applyFill="1" applyAlignment="1">
      <alignment horizontal="left" vertical="center" wrapText="1"/>
    </xf>
    <xf numFmtId="0" fontId="47" fillId="13" borderId="4" xfId="0" applyFont="1" applyFill="1" applyBorder="1" applyAlignment="1">
      <alignment vertical="center"/>
    </xf>
    <xf numFmtId="0" fontId="39" fillId="6" borderId="10" xfId="0" applyFont="1" applyFill="1" applyBorder="1" applyAlignment="1">
      <alignment horizontal="left" vertical="center" indent="1"/>
    </xf>
    <xf numFmtId="0" fontId="39" fillId="6" borderId="14" xfId="0" applyFont="1" applyFill="1" applyBorder="1" applyAlignment="1">
      <alignment horizontal="left" vertical="center" indent="1"/>
    </xf>
    <xf numFmtId="0" fontId="39" fillId="6" borderId="14" xfId="0" applyFont="1" applyFill="1" applyBorder="1" applyAlignment="1">
      <alignment horizontal="center" vertical="center"/>
    </xf>
    <xf numFmtId="0" fontId="39" fillId="6" borderId="11" xfId="0" applyFont="1" applyFill="1" applyBorder="1" applyAlignment="1">
      <alignment horizontal="left" vertical="center" wrapText="1"/>
    </xf>
    <xf numFmtId="0" fontId="48" fillId="17" borderId="10" xfId="0" applyFont="1" applyFill="1" applyBorder="1" applyAlignment="1">
      <alignment horizontal="center" vertical="center" wrapText="1"/>
    </xf>
    <xf numFmtId="0" fontId="11" fillId="17" borderId="11" xfId="0" applyFont="1" applyFill="1" applyBorder="1" applyAlignment="1" applyProtection="1">
      <alignment horizontal="left" vertical="center" wrapText="1"/>
      <protection locked="0"/>
    </xf>
    <xf numFmtId="0" fontId="48" fillId="17" borderId="10" xfId="0" applyFont="1" applyFill="1" applyBorder="1" applyAlignment="1">
      <alignment horizontal="center" vertical="center"/>
    </xf>
    <xf numFmtId="0" fontId="15" fillId="17" borderId="11" xfId="0" applyFont="1" applyFill="1" applyBorder="1" applyAlignment="1">
      <alignment horizontal="left" vertical="center"/>
    </xf>
    <xf numFmtId="0" fontId="49" fillId="13" borderId="4" xfId="0" applyFont="1" applyFill="1" applyBorder="1" applyAlignment="1">
      <alignment horizontal="center" vertical="top" wrapText="1"/>
    </xf>
    <xf numFmtId="0" fontId="2" fillId="13" borderId="12" xfId="0" applyFont="1" applyFill="1" applyBorder="1" applyAlignment="1">
      <alignment horizontal="left" vertical="center"/>
    </xf>
    <xf numFmtId="0" fontId="2" fillId="13" borderId="12" xfId="0" applyFont="1" applyFill="1" applyBorder="1" applyAlignment="1">
      <alignment horizontal="center" vertical="center"/>
    </xf>
    <xf numFmtId="0" fontId="2" fillId="13" borderId="12" xfId="0" applyFont="1" applyFill="1" applyBorder="1" applyAlignment="1">
      <alignment vertical="center"/>
    </xf>
    <xf numFmtId="0" fontId="49" fillId="13" borderId="12" xfId="0" applyFont="1" applyFill="1" applyBorder="1" applyAlignment="1">
      <alignment horizontal="center" vertical="top" wrapText="1"/>
    </xf>
    <xf numFmtId="0" fontId="8" fillId="19" borderId="0" xfId="0" applyFont="1" applyFill="1" applyAlignment="1">
      <alignment horizontal="left" vertical="center"/>
    </xf>
    <xf numFmtId="0" fontId="15" fillId="13" borderId="0" xfId="0" applyFont="1" applyFill="1" applyAlignment="1">
      <alignment horizontal="left" vertical="center"/>
    </xf>
    <xf numFmtId="0" fontId="1" fillId="13" borderId="0" xfId="0" applyFont="1" applyFill="1" applyAlignment="1">
      <alignment horizontal="left" vertical="center"/>
    </xf>
    <xf numFmtId="0" fontId="8" fillId="20" borderId="0" xfId="0" applyFont="1" applyFill="1" applyAlignment="1">
      <alignment horizontal="center" vertical="center"/>
    </xf>
    <xf numFmtId="0" fontId="8" fillId="13" borderId="64" xfId="0" applyFont="1" applyFill="1" applyBorder="1" applyAlignment="1">
      <alignment horizontal="center" vertical="center"/>
    </xf>
    <xf numFmtId="0" fontId="50" fillId="17" borderId="2" xfId="0" applyFont="1" applyFill="1" applyBorder="1" applyAlignment="1">
      <alignment horizontal="left" vertical="center" wrapText="1" indent="1"/>
    </xf>
    <xf numFmtId="0" fontId="50" fillId="17" borderId="4" xfId="0" applyFont="1" applyFill="1" applyBorder="1" applyAlignment="1">
      <alignment horizontal="left" vertical="center" wrapText="1" indent="1"/>
    </xf>
    <xf numFmtId="0" fontId="51" fillId="17" borderId="4" xfId="0" applyFont="1" applyFill="1" applyBorder="1" applyAlignment="1">
      <alignment horizontal="center" vertical="center"/>
    </xf>
    <xf numFmtId="0" fontId="11" fillId="17" borderId="4" xfId="0" applyFont="1" applyFill="1" applyBorder="1" applyAlignment="1" applyProtection="1">
      <alignment horizontal="left" vertical="center" wrapText="1" indent="1"/>
      <protection locked="0"/>
    </xf>
    <xf numFmtId="0" fontId="11" fillId="17" borderId="3" xfId="0" applyFont="1" applyFill="1" applyBorder="1" applyAlignment="1" applyProtection="1">
      <alignment horizontal="left" vertical="center" wrapText="1" indent="1"/>
      <protection locked="0"/>
    </xf>
    <xf numFmtId="0" fontId="50" fillId="17" borderId="8" xfId="0" applyFont="1" applyFill="1" applyBorder="1" applyAlignment="1">
      <alignment horizontal="left" vertical="center" wrapText="1" indent="1"/>
    </xf>
    <xf numFmtId="0" fontId="50" fillId="17" borderId="12" xfId="0" applyFont="1" applyFill="1" applyBorder="1" applyAlignment="1">
      <alignment horizontal="left" vertical="center" wrapText="1" indent="1"/>
    </xf>
    <xf numFmtId="0" fontId="51" fillId="17" borderId="12" xfId="0" applyFont="1" applyFill="1" applyBorder="1" applyAlignment="1">
      <alignment horizontal="center" vertical="center"/>
    </xf>
    <xf numFmtId="0" fontId="11" fillId="17" borderId="12" xfId="0" applyFont="1" applyFill="1" applyBorder="1" applyAlignment="1" applyProtection="1">
      <alignment horizontal="left" vertical="center" wrapText="1" indent="1"/>
      <protection locked="0"/>
    </xf>
    <xf numFmtId="0" fontId="11" fillId="17" borderId="9" xfId="0" applyFont="1" applyFill="1" applyBorder="1" applyAlignment="1" applyProtection="1">
      <alignment horizontal="left" vertical="center" wrapText="1" indent="1"/>
      <protection locked="0"/>
    </xf>
    <xf numFmtId="0" fontId="50" fillId="13" borderId="0" xfId="0" applyFont="1" applyFill="1" applyAlignment="1">
      <alignment vertical="center"/>
    </xf>
    <xf numFmtId="0" fontId="2" fillId="13" borderId="0" xfId="0" applyFont="1" applyFill="1" applyAlignment="1">
      <alignment horizontal="left" vertical="center"/>
    </xf>
    <xf numFmtId="0" fontId="1" fillId="13" borderId="0" xfId="0" applyFont="1" applyFill="1" applyAlignment="1">
      <alignment horizontal="center" vertical="center"/>
    </xf>
    <xf numFmtId="0" fontId="52" fillId="17" borderId="10" xfId="0" applyFont="1" applyFill="1" applyBorder="1" applyAlignment="1">
      <alignment horizontal="left" vertical="center" indent="1"/>
    </xf>
    <xf numFmtId="0" fontId="53" fillId="17" borderId="14" xfId="0" applyFont="1" applyFill="1" applyBorder="1" applyAlignment="1">
      <alignment horizontal="left" vertical="center"/>
    </xf>
    <xf numFmtId="0" fontId="50" fillId="17" borderId="14" xfId="0" applyFont="1" applyFill="1" applyBorder="1" applyAlignment="1">
      <alignment horizontal="center" vertical="center"/>
    </xf>
    <xf numFmtId="9" fontId="11" fillId="17" borderId="11" xfId="3" applyFont="1" applyFill="1" applyBorder="1" applyAlignment="1" applyProtection="1">
      <alignment horizontal="center" vertical="center"/>
      <protection locked="0"/>
    </xf>
    <xf numFmtId="9" fontId="15" fillId="13" borderId="5" xfId="3" applyFont="1" applyFill="1" applyBorder="1" applyAlignment="1">
      <alignment horizontal="center" vertical="center"/>
    </xf>
    <xf numFmtId="9" fontId="15" fillId="13" borderId="7" xfId="3" applyFont="1" applyFill="1" applyBorder="1" applyAlignment="1">
      <alignment horizontal="center" vertical="center"/>
    </xf>
    <xf numFmtId="9" fontId="15" fillId="13" borderId="13" xfId="3" applyFont="1" applyFill="1" applyBorder="1" applyAlignment="1">
      <alignment horizontal="center" vertical="center"/>
    </xf>
    <xf numFmtId="0" fontId="53" fillId="17" borderId="99" xfId="0" applyFont="1" applyFill="1" applyBorder="1" applyAlignment="1">
      <alignment vertical="center"/>
    </xf>
    <xf numFmtId="0" fontId="53" fillId="17" borderId="100" xfId="0" applyFont="1" applyFill="1" applyBorder="1" applyAlignment="1">
      <alignment horizontal="right" vertical="center" indent="1"/>
    </xf>
    <xf numFmtId="0" fontId="50" fillId="17" borderId="100" xfId="0" applyFont="1" applyFill="1" applyBorder="1" applyAlignment="1">
      <alignment horizontal="center" vertical="center"/>
    </xf>
    <xf numFmtId="9" fontId="54" fillId="17" borderId="101" xfId="3" applyFont="1" applyFill="1" applyBorder="1" applyAlignment="1" applyProtection="1">
      <alignment horizontal="center" vertical="center"/>
      <protection locked="0"/>
    </xf>
    <xf numFmtId="0" fontId="53" fillId="17" borderId="102" xfId="0" applyFont="1" applyFill="1" applyBorder="1" applyAlignment="1">
      <alignment vertical="center"/>
    </xf>
    <xf numFmtId="0" fontId="53" fillId="17" borderId="103" xfId="0" applyFont="1" applyFill="1" applyBorder="1" applyAlignment="1">
      <alignment horizontal="right" vertical="center" indent="1"/>
    </xf>
    <xf numFmtId="0" fontId="50" fillId="17" borderId="103" xfId="0" applyFont="1" applyFill="1" applyBorder="1" applyAlignment="1">
      <alignment horizontal="center" vertical="center"/>
    </xf>
    <xf numFmtId="9" fontId="54" fillId="17" borderId="104" xfId="3" applyFont="1" applyFill="1" applyBorder="1" applyAlignment="1" applyProtection="1">
      <alignment horizontal="center" vertical="center"/>
      <protection locked="0"/>
    </xf>
    <xf numFmtId="0" fontId="53" fillId="17" borderId="105" xfId="0" applyFont="1" applyFill="1" applyBorder="1" applyAlignment="1">
      <alignment vertical="center"/>
    </xf>
    <xf numFmtId="0" fontId="53" fillId="17" borderId="106" xfId="0" applyFont="1" applyFill="1" applyBorder="1" applyAlignment="1">
      <alignment horizontal="right" vertical="center" indent="1"/>
    </xf>
    <xf numFmtId="0" fontId="50" fillId="17" borderId="106" xfId="0" applyFont="1" applyFill="1" applyBorder="1" applyAlignment="1">
      <alignment horizontal="center" vertical="center"/>
    </xf>
    <xf numFmtId="9" fontId="54" fillId="17" borderId="107" xfId="3" applyFont="1" applyFill="1" applyBorder="1" applyAlignment="1" applyProtection="1">
      <alignment horizontal="center" vertical="center"/>
      <protection locked="0"/>
    </xf>
    <xf numFmtId="0" fontId="2" fillId="13" borderId="0" xfId="0" applyFont="1" applyFill="1" applyAlignment="1">
      <alignment vertical="center"/>
    </xf>
    <xf numFmtId="0" fontId="55" fillId="13" borderId="0" xfId="0" applyFont="1" applyFill="1" applyAlignment="1">
      <alignment vertical="top" wrapText="1"/>
    </xf>
    <xf numFmtId="0" fontId="53" fillId="13" borderId="0" xfId="0" applyFont="1" applyFill="1" applyAlignment="1">
      <alignment horizontal="left" vertical="center"/>
    </xf>
    <xf numFmtId="0" fontId="50" fillId="13" borderId="0" xfId="0" applyFont="1" applyFill="1" applyAlignment="1">
      <alignment horizontal="center" vertical="center"/>
    </xf>
    <xf numFmtId="0" fontId="50" fillId="17" borderId="10" xfId="0" applyFont="1" applyFill="1" applyBorder="1" applyAlignment="1">
      <alignment horizontal="left" vertical="center" indent="1"/>
    </xf>
    <xf numFmtId="0" fontId="50" fillId="17" borderId="14" xfId="0" applyFont="1" applyFill="1" applyBorder="1" applyAlignment="1">
      <alignment horizontal="left" vertical="center" indent="1"/>
    </xf>
    <xf numFmtId="0" fontId="39" fillId="17" borderId="11" xfId="0" applyFont="1" applyFill="1" applyBorder="1" applyAlignment="1" applyProtection="1">
      <alignment horizontal="left" vertical="center" wrapText="1"/>
      <protection locked="0"/>
    </xf>
    <xf numFmtId="0" fontId="39" fillId="17" borderId="11" xfId="0" applyFont="1" applyFill="1" applyBorder="1" applyAlignment="1">
      <alignment horizontal="left" vertical="center" wrapText="1"/>
    </xf>
    <xf numFmtId="0" fontId="2" fillId="13" borderId="29" xfId="0" applyFont="1" applyFill="1" applyBorder="1" applyAlignment="1">
      <alignment horizontal="left" vertical="center" indent="1"/>
    </xf>
    <xf numFmtId="0" fontId="2" fillId="13" borderId="30" xfId="0" applyFont="1" applyFill="1" applyBorder="1" applyAlignment="1">
      <alignment vertical="center"/>
    </xf>
    <xf numFmtId="0" fontId="2" fillId="13" borderId="30" xfId="0" applyFont="1" applyFill="1" applyBorder="1" applyAlignment="1">
      <alignment horizontal="left" vertical="center"/>
    </xf>
    <xf numFmtId="0" fontId="1" fillId="13" borderId="30" xfId="0" applyFont="1" applyFill="1" applyBorder="1" applyAlignment="1">
      <alignment horizontal="center" vertical="center"/>
    </xf>
    <xf numFmtId="0" fontId="49" fillId="13" borderId="30" xfId="0" applyFont="1" applyFill="1" applyBorder="1" applyAlignment="1">
      <alignment horizontal="center" vertical="top" wrapText="1"/>
    </xf>
    <xf numFmtId="0" fontId="2" fillId="20" borderId="30" xfId="0" applyFont="1" applyFill="1" applyBorder="1" applyAlignment="1">
      <alignment horizontal="center" vertical="center"/>
    </xf>
    <xf numFmtId="0" fontId="2" fillId="13" borderId="90" xfId="0" applyFont="1" applyFill="1" applyBorder="1" applyAlignment="1">
      <alignment horizontal="center" vertical="center"/>
    </xf>
    <xf numFmtId="0" fontId="2" fillId="0" borderId="0" xfId="0" applyFont="1" applyAlignment="1">
      <alignment horizontal="left" vertical="center" wrapText="1"/>
    </xf>
    <xf numFmtId="0" fontId="1" fillId="6" borderId="0" xfId="0" applyFont="1" applyFill="1" applyAlignment="1">
      <alignment vertical="center"/>
    </xf>
    <xf numFmtId="0" fontId="1" fillId="6" borderId="0" xfId="0" applyFont="1" applyFill="1" applyAlignment="1">
      <alignment horizontal="left" vertical="center" indent="1"/>
    </xf>
    <xf numFmtId="0" fontId="2" fillId="6" borderId="0" xfId="0" applyFont="1" applyFill="1" applyAlignment="1" applyProtection="1">
      <alignment horizontal="left" vertical="center" indent="1"/>
      <protection locked="0"/>
    </xf>
    <xf numFmtId="0" fontId="15" fillId="21" borderId="0" xfId="0" applyFont="1" applyFill="1" applyAlignment="1">
      <alignment horizontal="left" vertical="center" indent="1"/>
    </xf>
    <xf numFmtId="0" fontId="2" fillId="6" borderId="29" xfId="0" applyFont="1" applyFill="1" applyBorder="1" applyAlignment="1">
      <alignment vertical="center"/>
    </xf>
    <xf numFmtId="0" fontId="2" fillId="6" borderId="90" xfId="0" applyFont="1" applyFill="1" applyBorder="1" applyAlignment="1">
      <alignment vertical="center"/>
    </xf>
    <xf numFmtId="0" fontId="14" fillId="0" borderId="0" xfId="0" applyFont="1" applyAlignment="1">
      <alignment horizontal="right" vertical="center"/>
    </xf>
    <xf numFmtId="0" fontId="2" fillId="0" borderId="0" xfId="0" applyFont="1" applyAlignment="1">
      <alignment vertical="center" wrapText="1"/>
    </xf>
    <xf numFmtId="0" fontId="10" fillId="0" borderId="0" xfId="0" applyFont="1" applyAlignment="1">
      <alignment vertical="center"/>
    </xf>
    <xf numFmtId="0" fontId="56" fillId="0" borderId="0" xfId="0" applyFont="1" applyAlignment="1">
      <alignment horizontal="left" vertical="center"/>
    </xf>
    <xf numFmtId="0" fontId="56" fillId="0" borderId="0" xfId="0" applyFont="1" applyAlignment="1">
      <alignment horizontal="center" vertical="center"/>
    </xf>
    <xf numFmtId="0" fontId="57" fillId="14" borderId="0" xfId="0" applyFont="1" applyFill="1" applyAlignment="1">
      <alignment vertical="center"/>
    </xf>
    <xf numFmtId="0" fontId="22" fillId="14" borderId="0" xfId="0" applyFont="1" applyFill="1" applyAlignment="1">
      <alignment horizontal="center" vertical="center"/>
    </xf>
    <xf numFmtId="0" fontId="58" fillId="14" borderId="0" xfId="0" applyFont="1" applyFill="1" applyAlignment="1">
      <alignment horizontal="left" vertical="center"/>
    </xf>
    <xf numFmtId="0" fontId="58" fillId="14" borderId="0" xfId="0" applyFont="1" applyFill="1" applyAlignment="1">
      <alignment horizontal="center" vertical="center"/>
    </xf>
    <xf numFmtId="0" fontId="8" fillId="14" borderId="0" xfId="0" applyFont="1" applyFill="1" applyAlignment="1">
      <alignment vertical="center"/>
    </xf>
    <xf numFmtId="0" fontId="8" fillId="14" borderId="0" xfId="0" applyFont="1" applyFill="1" applyAlignment="1">
      <alignment horizontal="left" vertical="center" indent="1"/>
    </xf>
    <xf numFmtId="0" fontId="8" fillId="14" borderId="0" xfId="0" applyFont="1" applyFill="1" applyAlignment="1">
      <alignment horizontal="center" vertical="center"/>
    </xf>
    <xf numFmtId="0" fontId="8" fillId="14" borderId="0" xfId="0" applyFont="1" applyFill="1" applyAlignment="1">
      <alignment horizontal="left" vertical="center"/>
    </xf>
    <xf numFmtId="0" fontId="18" fillId="14" borderId="0" xfId="0" applyFont="1" applyFill="1" applyAlignment="1">
      <alignment vertical="center"/>
    </xf>
    <xf numFmtId="0" fontId="59" fillId="14" borderId="0" xfId="0" applyFont="1" applyFill="1" applyAlignment="1">
      <alignment horizontal="left" vertical="center"/>
    </xf>
    <xf numFmtId="0" fontId="22" fillId="14" borderId="0" xfId="0" applyFont="1" applyFill="1" applyAlignment="1">
      <alignment horizontal="left" vertical="center"/>
    </xf>
    <xf numFmtId="0" fontId="60" fillId="14" borderId="0" xfId="0" applyFont="1" applyFill="1" applyAlignment="1">
      <alignment horizontal="right" vertical="center"/>
    </xf>
    <xf numFmtId="0" fontId="22" fillId="14" borderId="0" xfId="0" applyFont="1" applyFill="1" applyAlignment="1">
      <alignment vertical="center"/>
    </xf>
    <xf numFmtId="0" fontId="21" fillId="14" borderId="0" xfId="0" applyFont="1" applyFill="1" applyAlignment="1">
      <alignment horizontal="right" vertical="center"/>
    </xf>
    <xf numFmtId="0" fontId="2" fillId="22" borderId="108" xfId="0" applyFont="1" applyFill="1" applyBorder="1" applyAlignment="1">
      <alignment vertical="center"/>
    </xf>
    <xf numFmtId="0" fontId="5" fillId="23" borderId="109" xfId="0" applyFont="1" applyFill="1" applyBorder="1" applyAlignment="1">
      <alignment horizontal="left" vertical="center" indent="1"/>
    </xf>
    <xf numFmtId="0" fontId="2" fillId="22" borderId="109" xfId="0" applyFont="1" applyFill="1" applyBorder="1" applyAlignment="1">
      <alignment horizontal="left" vertical="center"/>
    </xf>
    <xf numFmtId="0" fontId="2" fillId="22" borderId="109" xfId="0" applyFont="1" applyFill="1" applyBorder="1" applyAlignment="1">
      <alignment vertical="center"/>
    </xf>
    <xf numFmtId="0" fontId="1" fillId="22" borderId="109" xfId="0" applyFont="1" applyFill="1" applyBorder="1" applyAlignment="1">
      <alignment horizontal="left" vertical="center"/>
    </xf>
    <xf numFmtId="0" fontId="1" fillId="22" borderId="110" xfId="0" applyFont="1" applyFill="1" applyBorder="1" applyAlignment="1">
      <alignment horizontal="left" vertical="center"/>
    </xf>
    <xf numFmtId="0" fontId="2" fillId="22" borderId="111" xfId="0" applyFont="1" applyFill="1" applyBorder="1" applyAlignment="1">
      <alignment vertical="center"/>
    </xf>
    <xf numFmtId="0" fontId="61" fillId="23" borderId="0" xfId="0" applyFont="1" applyFill="1" applyAlignment="1">
      <alignment horizontal="center" vertical="center"/>
    </xf>
    <xf numFmtId="0" fontId="62" fillId="22" borderId="0" xfId="0" applyFont="1" applyFill="1" applyAlignment="1">
      <alignment horizontal="left" vertical="center"/>
    </xf>
    <xf numFmtId="0" fontId="62" fillId="22" borderId="0" xfId="0" applyFont="1" applyFill="1" applyAlignment="1">
      <alignment horizontal="left" vertical="center" indent="1"/>
    </xf>
    <xf numFmtId="0" fontId="30" fillId="22" borderId="0" xfId="0" applyFont="1" applyFill="1" applyAlignment="1">
      <alignment horizontal="left" vertical="center" indent="1"/>
    </xf>
    <xf numFmtId="0" fontId="30" fillId="22" borderId="112" xfId="0" applyFont="1" applyFill="1" applyBorder="1" applyAlignment="1">
      <alignment horizontal="left" vertical="center" indent="1"/>
    </xf>
    <xf numFmtId="0" fontId="2" fillId="22" borderId="113" xfId="0" applyFont="1" applyFill="1" applyBorder="1" applyAlignment="1">
      <alignment vertical="center"/>
    </xf>
    <xf numFmtId="0" fontId="22" fillId="22" borderId="114" xfId="0" applyFont="1" applyFill="1" applyBorder="1" applyAlignment="1">
      <alignment horizontal="left" vertical="center" indent="1"/>
    </xf>
    <xf numFmtId="0" fontId="58" fillId="22" borderId="114" xfId="0" applyFont="1" applyFill="1" applyBorder="1" applyAlignment="1">
      <alignment horizontal="left" vertical="center"/>
    </xf>
    <xf numFmtId="0" fontId="58" fillId="22" borderId="114" xfId="0" applyFont="1" applyFill="1" applyBorder="1" applyAlignment="1">
      <alignment horizontal="left" vertical="center" indent="1"/>
    </xf>
    <xf numFmtId="0" fontId="2" fillId="22" borderId="114" xfId="0" applyFont="1" applyFill="1" applyBorder="1" applyAlignment="1">
      <alignment horizontal="left" vertical="center" indent="1"/>
    </xf>
    <xf numFmtId="0" fontId="1" fillId="22" borderId="114" xfId="0" applyFont="1" applyFill="1" applyBorder="1" applyAlignment="1">
      <alignment horizontal="left" vertical="center" indent="1"/>
    </xf>
    <xf numFmtId="0" fontId="1" fillId="22" borderId="115" xfId="0" applyFont="1" applyFill="1" applyBorder="1" applyAlignment="1">
      <alignment horizontal="left" vertical="center" indent="1"/>
    </xf>
    <xf numFmtId="0" fontId="2" fillId="13" borderId="116" xfId="0" applyFont="1" applyFill="1" applyBorder="1" applyAlignment="1">
      <alignment vertical="center"/>
    </xf>
    <xf numFmtId="0" fontId="11" fillId="13" borderId="109" xfId="0" applyFont="1" applyFill="1" applyBorder="1"/>
    <xf numFmtId="0" fontId="56" fillId="13" borderId="0" xfId="0" applyFont="1" applyFill="1" applyAlignment="1">
      <alignment horizontal="left" vertical="center"/>
    </xf>
    <xf numFmtId="0" fontId="18" fillId="13" borderId="109" xfId="0" applyFont="1" applyFill="1" applyBorder="1" applyAlignment="1">
      <alignment horizontal="left" vertical="center" wrapText="1"/>
    </xf>
    <xf numFmtId="0" fontId="2" fillId="13" borderId="117" xfId="0" applyFont="1" applyFill="1" applyBorder="1" applyAlignment="1">
      <alignment vertical="center"/>
    </xf>
    <xf numFmtId="0" fontId="11" fillId="13" borderId="0" xfId="0" applyFont="1" applyFill="1"/>
    <xf numFmtId="0" fontId="18" fillId="13" borderId="0" xfId="0" applyFont="1" applyFill="1" applyAlignment="1">
      <alignment horizontal="left" vertical="center" wrapText="1"/>
    </xf>
    <xf numFmtId="0" fontId="2"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2" fillId="0" borderId="118" xfId="0" applyFont="1" applyBorder="1" applyAlignment="1">
      <alignment vertical="center"/>
    </xf>
    <xf numFmtId="0" fontId="8" fillId="19" borderId="87" xfId="0" applyFont="1" applyFill="1" applyBorder="1" applyAlignment="1">
      <alignment vertical="center"/>
    </xf>
    <xf numFmtId="0" fontId="32" fillId="19" borderId="88" xfId="0" applyFont="1" applyFill="1" applyBorder="1" applyAlignment="1">
      <alignment vertical="center"/>
    </xf>
    <xf numFmtId="0" fontId="32" fillId="19" borderId="89" xfId="0" applyFont="1" applyFill="1" applyBorder="1" applyAlignment="1">
      <alignment vertical="center"/>
    </xf>
    <xf numFmtId="0" fontId="2" fillId="0" borderId="116" xfId="0" applyFont="1" applyBorder="1" applyAlignment="1">
      <alignment vertical="center"/>
    </xf>
    <xf numFmtId="0" fontId="63" fillId="0" borderId="0" xfId="0" applyFont="1" applyAlignment="1">
      <alignment horizontal="left" vertical="center"/>
    </xf>
    <xf numFmtId="0" fontId="8" fillId="6" borderId="64" xfId="0" applyFont="1" applyFill="1" applyBorder="1" applyAlignment="1">
      <alignment horizontal="left" vertical="center"/>
    </xf>
    <xf numFmtId="0" fontId="2" fillId="0" borderId="117" xfId="0" applyFont="1" applyBorder="1" applyAlignment="1">
      <alignment vertical="center"/>
    </xf>
    <xf numFmtId="0" fontId="63" fillId="0" borderId="0" xfId="0" applyFont="1" applyAlignment="1">
      <alignment horizontal="center" vertical="center"/>
    </xf>
    <xf numFmtId="0" fontId="64" fillId="0" borderId="0" xfId="0" applyFont="1" applyAlignment="1">
      <alignment horizontal="center" vertical="center"/>
    </xf>
    <xf numFmtId="0" fontId="65" fillId="17" borderId="10" xfId="0" applyFont="1" applyFill="1" applyBorder="1" applyAlignment="1">
      <alignment vertical="center"/>
    </xf>
    <xf numFmtId="0" fontId="22" fillId="17" borderId="14" xfId="0" applyFont="1" applyFill="1" applyBorder="1" applyAlignment="1">
      <alignment vertical="center"/>
    </xf>
    <xf numFmtId="0" fontId="40" fillId="17" borderId="14" xfId="0" applyFont="1" applyFill="1" applyBorder="1" applyAlignment="1">
      <alignment vertical="center"/>
    </xf>
    <xf numFmtId="0" fontId="1" fillId="17" borderId="11" xfId="0" applyFont="1" applyFill="1" applyBorder="1" applyAlignment="1">
      <alignment horizontal="left" vertical="center" wrapText="1"/>
    </xf>
    <xf numFmtId="0" fontId="40" fillId="17" borderId="12" xfId="0" applyFont="1" applyFill="1" applyBorder="1" applyAlignment="1">
      <alignment vertical="center"/>
    </xf>
    <xf numFmtId="0" fontId="65" fillId="6" borderId="0" xfId="0" applyFont="1" applyFill="1" applyAlignment="1">
      <alignment horizontal="left" vertical="center" indent="1"/>
    </xf>
    <xf numFmtId="0" fontId="40" fillId="17" borderId="4" xfId="0" applyFont="1" applyFill="1" applyBorder="1" applyAlignment="1">
      <alignment horizontal="center" vertical="center"/>
    </xf>
    <xf numFmtId="0" fontId="11" fillId="17" borderId="3" xfId="0" applyFont="1" applyFill="1" applyBorder="1" applyAlignment="1" applyProtection="1">
      <alignment horizontal="left" vertical="center"/>
      <protection locked="0"/>
    </xf>
    <xf numFmtId="0" fontId="11" fillId="6" borderId="0" xfId="0" applyFont="1" applyFill="1" applyAlignment="1" applyProtection="1">
      <alignment horizontal="left" vertical="center"/>
      <protection locked="0"/>
    </xf>
    <xf numFmtId="0" fontId="65" fillId="17" borderId="2" xfId="0" applyFont="1" applyFill="1" applyBorder="1" applyAlignment="1">
      <alignment vertical="center"/>
    </xf>
    <xf numFmtId="0" fontId="22" fillId="17" borderId="4" xfId="0" applyFont="1" applyFill="1" applyBorder="1" applyAlignment="1">
      <alignment vertical="center"/>
    </xf>
    <xf numFmtId="0" fontId="40" fillId="17" borderId="4" xfId="0" applyFont="1" applyFill="1" applyBorder="1" applyAlignment="1">
      <alignment vertical="center"/>
    </xf>
    <xf numFmtId="0" fontId="11" fillId="17" borderId="14" xfId="0" applyFont="1" applyFill="1" applyBorder="1" applyAlignment="1">
      <alignment horizontal="left" vertical="center"/>
    </xf>
    <xf numFmtId="0" fontId="11" fillId="17" borderId="11" xfId="0" applyFont="1" applyFill="1" applyBorder="1" applyAlignment="1">
      <alignment horizontal="left" vertical="center"/>
    </xf>
    <xf numFmtId="0" fontId="27" fillId="9" borderId="2" xfId="0" applyFont="1" applyFill="1" applyBorder="1" applyAlignment="1">
      <alignment horizontal="left" vertical="center" wrapText="1" indent="1"/>
    </xf>
    <xf numFmtId="0" fontId="27" fillId="9" borderId="4" xfId="0" applyFont="1" applyFill="1" applyBorder="1" applyAlignment="1">
      <alignment horizontal="left" vertical="center" wrapText="1" indent="1"/>
    </xf>
    <xf numFmtId="0" fontId="27" fillId="9" borderId="3" xfId="0" applyFont="1" applyFill="1" applyBorder="1" applyAlignment="1">
      <alignment horizontal="left" vertical="center" wrapText="1" indent="1"/>
    </xf>
    <xf numFmtId="0" fontId="12" fillId="0" borderId="0" xfId="0" applyFont="1" applyAlignment="1">
      <alignment vertical="center"/>
    </xf>
    <xf numFmtId="0" fontId="8" fillId="6" borderId="90" xfId="0" applyFont="1" applyFill="1" applyBorder="1" applyAlignment="1">
      <alignment horizontal="left" vertical="center"/>
    </xf>
    <xf numFmtId="0" fontId="27" fillId="9" borderId="8" xfId="0" applyFont="1" applyFill="1" applyBorder="1" applyAlignment="1">
      <alignment horizontal="left" vertical="center" wrapText="1" indent="1"/>
    </xf>
    <xf numFmtId="0" fontId="27" fillId="9" borderId="12" xfId="0" applyFont="1" applyFill="1" applyBorder="1" applyAlignment="1">
      <alignment horizontal="left" vertical="center" wrapText="1" indent="1"/>
    </xf>
    <xf numFmtId="0" fontId="27" fillId="9" borderId="9" xfId="0" applyFont="1" applyFill="1" applyBorder="1" applyAlignment="1">
      <alignment horizontal="left" vertical="center" wrapText="1" indent="1"/>
    </xf>
    <xf numFmtId="0" fontId="8" fillId="22" borderId="64" xfId="0" applyFont="1" applyFill="1" applyBorder="1" applyAlignment="1">
      <alignment horizontal="left" vertical="center"/>
    </xf>
    <xf numFmtId="0" fontId="65" fillId="17" borderId="119" xfId="0" applyFont="1" applyFill="1" applyBorder="1" applyAlignment="1">
      <alignment horizontal="left" vertical="center" indent="1"/>
    </xf>
    <xf numFmtId="0" fontId="22" fillId="17" borderId="120" xfId="0" applyFont="1" applyFill="1" applyBorder="1" applyAlignment="1">
      <alignment vertical="center"/>
    </xf>
    <xf numFmtId="0" fontId="40" fillId="17" borderId="120" xfId="0" applyFont="1" applyFill="1" applyBorder="1" applyAlignment="1">
      <alignment horizontal="center" vertical="center"/>
    </xf>
    <xf numFmtId="0" fontId="65" fillId="17" borderId="94" xfId="0" applyFont="1" applyFill="1" applyBorder="1" applyAlignment="1">
      <alignment horizontal="left" vertical="center" indent="1"/>
    </xf>
    <xf numFmtId="0" fontId="22" fillId="17" borderId="12" xfId="0" applyFont="1" applyFill="1" applyBorder="1" applyAlignment="1">
      <alignment horizontal="left" vertical="center" indent="1"/>
    </xf>
    <xf numFmtId="0" fontId="1" fillId="17" borderId="6" xfId="0" applyFont="1" applyFill="1" applyBorder="1" applyAlignment="1" applyProtection="1">
      <alignment horizontal="left" vertical="center" wrapText="1"/>
      <protection locked="0"/>
    </xf>
    <xf numFmtId="0" fontId="66" fillId="22" borderId="0" xfId="0" applyFont="1" applyFill="1" applyAlignment="1">
      <alignment horizontal="left" vertical="center" wrapText="1"/>
    </xf>
    <xf numFmtId="0" fontId="65" fillId="17" borderId="96" xfId="0" applyFont="1" applyFill="1" applyBorder="1" applyAlignment="1">
      <alignment horizontal="left" vertical="center" indent="1"/>
    </xf>
    <xf numFmtId="0" fontId="22" fillId="17" borderId="14" xfId="0" applyFont="1" applyFill="1" applyBorder="1" applyAlignment="1">
      <alignment horizontal="left" vertical="center" indent="1"/>
    </xf>
    <xf numFmtId="0" fontId="27" fillId="9" borderId="121" xfId="0" applyFont="1" applyFill="1" applyBorder="1" applyAlignment="1">
      <alignment horizontal="left" vertical="center" indent="1"/>
    </xf>
    <xf numFmtId="0" fontId="27" fillId="9" borderId="122" xfId="0" applyFont="1" applyFill="1" applyBorder="1" applyAlignment="1">
      <alignment horizontal="left" vertical="center" indent="1"/>
    </xf>
    <xf numFmtId="0" fontId="27" fillId="9" borderId="123" xfId="0" applyFont="1" applyFill="1" applyBorder="1" applyAlignment="1">
      <alignment horizontal="left" vertical="center" indent="1"/>
    </xf>
    <xf numFmtId="0" fontId="65" fillId="17" borderId="10" xfId="0" applyFont="1" applyFill="1" applyBorder="1" applyAlignment="1">
      <alignment horizontal="left" vertical="center" indent="1"/>
    </xf>
    <xf numFmtId="0" fontId="65" fillId="17" borderId="14" xfId="0" applyFont="1" applyFill="1" applyBorder="1" applyAlignment="1">
      <alignment horizontal="left" vertical="center" indent="1"/>
    </xf>
    <xf numFmtId="0" fontId="2" fillId="0" borderId="0" xfId="0" applyFont="1" applyAlignment="1">
      <alignment horizontal="left" vertical="top"/>
    </xf>
    <xf numFmtId="0" fontId="2" fillId="0" borderId="0" xfId="0" applyFont="1" applyAlignment="1">
      <alignment horizontal="left" vertical="top" indent="1"/>
    </xf>
    <xf numFmtId="0" fontId="65" fillId="17" borderId="2" xfId="0" applyFont="1" applyFill="1" applyBorder="1" applyAlignment="1">
      <alignment horizontal="left" vertical="center" indent="1"/>
    </xf>
    <xf numFmtId="0" fontId="65" fillId="17" borderId="4" xfId="0" applyFont="1" applyFill="1" applyBorder="1" applyAlignment="1">
      <alignment horizontal="left" vertical="center" indent="1"/>
    </xf>
    <xf numFmtId="0" fontId="4" fillId="0" borderId="0" xfId="0" applyFont="1" applyAlignment="1">
      <alignment horizontal="left" vertical="top" wrapText="1"/>
    </xf>
    <xf numFmtId="0" fontId="67" fillId="0" borderId="10" xfId="0" applyFont="1" applyBorder="1" applyAlignment="1">
      <alignment horizontal="left" vertical="center" indent="1"/>
    </xf>
    <xf numFmtId="0" fontId="67" fillId="0" borderId="14" xfId="0" applyFont="1" applyBorder="1" applyAlignment="1">
      <alignment horizontal="left" vertical="center" indent="1"/>
    </xf>
    <xf numFmtId="0" fontId="68" fillId="0" borderId="14" xfId="0" applyFont="1" applyBorder="1" applyAlignment="1">
      <alignment horizontal="center" vertical="center"/>
    </xf>
    <xf numFmtId="0" fontId="68" fillId="0" borderId="14" xfId="0" applyFont="1" applyBorder="1" applyAlignment="1">
      <alignment vertical="center"/>
    </xf>
    <xf numFmtId="0" fontId="4" fillId="0" borderId="12" xfId="0" applyFont="1" applyBorder="1" applyAlignment="1">
      <alignment horizontal="left" vertical="top" wrapText="1"/>
    </xf>
    <xf numFmtId="0" fontId="2" fillId="22" borderId="63" xfId="0" applyFont="1" applyFill="1" applyBorder="1" applyAlignment="1">
      <alignment horizontal="left" vertical="center" indent="1"/>
    </xf>
    <xf numFmtId="0" fontId="69" fillId="22" borderId="0" xfId="0" applyFont="1" applyFill="1" applyAlignment="1">
      <alignment horizontal="left" vertical="center"/>
    </xf>
    <xf numFmtId="0" fontId="46" fillId="22" borderId="0" xfId="0" applyFont="1" applyFill="1" applyAlignment="1">
      <alignment horizontal="left" vertical="center"/>
    </xf>
    <xf numFmtId="0" fontId="46" fillId="22" borderId="0" xfId="0" applyFont="1" applyFill="1" applyAlignment="1">
      <alignment horizontal="left" vertical="center" wrapText="1"/>
    </xf>
    <xf numFmtId="0" fontId="66" fillId="22" borderId="0" xfId="0" applyFont="1" applyFill="1" applyAlignment="1">
      <alignment horizontal="center" vertical="center" wrapText="1"/>
    </xf>
    <xf numFmtId="0" fontId="27" fillId="0" borderId="2" xfId="0" applyFont="1" applyBorder="1" applyAlignment="1">
      <alignment horizontal="left" vertical="center" wrapText="1" indent="1"/>
    </xf>
    <xf numFmtId="0" fontId="27" fillId="0" borderId="4" xfId="0" applyFont="1" applyBorder="1" applyAlignment="1">
      <alignment horizontal="left" vertical="center" wrapText="1" indent="1"/>
    </xf>
    <xf numFmtId="0" fontId="27" fillId="0" borderId="3" xfId="0" applyFont="1" applyBorder="1" applyAlignment="1">
      <alignment horizontal="left" vertical="center" wrapText="1" indent="1"/>
    </xf>
    <xf numFmtId="0" fontId="70" fillId="17" borderId="10" xfId="0" applyFont="1" applyFill="1" applyBorder="1" applyAlignment="1">
      <alignment horizontal="left" vertical="center"/>
    </xf>
    <xf numFmtId="0" fontId="66" fillId="17" borderId="14" xfId="0" applyFont="1" applyFill="1" applyBorder="1" applyAlignment="1">
      <alignment horizontal="left" vertical="center" wrapText="1"/>
    </xf>
    <xf numFmtId="0" fontId="66" fillId="17" borderId="11" xfId="0" applyFont="1" applyFill="1" applyBorder="1" applyAlignment="1">
      <alignment horizontal="left" vertical="center" wrapText="1"/>
    </xf>
    <xf numFmtId="0" fontId="27" fillId="0" borderId="8" xfId="0" applyFont="1" applyBorder="1" applyAlignment="1">
      <alignment horizontal="left" vertical="center" wrapText="1" indent="1"/>
    </xf>
    <xf numFmtId="0" fontId="27" fillId="0" borderId="12" xfId="0" applyFont="1" applyBorder="1" applyAlignment="1">
      <alignment horizontal="left" vertical="center" wrapText="1" indent="1"/>
    </xf>
    <xf numFmtId="0" fontId="27" fillId="0" borderId="9" xfId="0" applyFont="1" applyBorder="1" applyAlignment="1">
      <alignment horizontal="left" vertical="center" wrapText="1" indent="1"/>
    </xf>
    <xf numFmtId="0" fontId="66" fillId="24" borderId="10" xfId="0" applyFont="1" applyFill="1" applyBorder="1" applyAlignment="1">
      <alignment horizontal="left" vertical="center" wrapText="1"/>
    </xf>
    <xf numFmtId="0" fontId="66" fillId="24" borderId="14" xfId="0" applyFont="1" applyFill="1" applyBorder="1" applyAlignment="1">
      <alignment horizontal="left" vertical="center" wrapText="1"/>
    </xf>
    <xf numFmtId="0" fontId="66" fillId="24" borderId="11" xfId="0" applyFont="1" applyFill="1" applyBorder="1" applyAlignment="1">
      <alignment horizontal="left" vertical="center"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22" borderId="29" xfId="0" applyFont="1" applyFill="1" applyBorder="1" applyAlignment="1">
      <alignment horizontal="left" vertical="center" indent="1"/>
    </xf>
    <xf numFmtId="0" fontId="2" fillId="22" borderId="30" xfId="0" applyFont="1" applyFill="1" applyBorder="1" applyAlignment="1">
      <alignment horizontal="left" vertical="center"/>
    </xf>
    <xf numFmtId="0" fontId="2" fillId="22" borderId="30" xfId="0" applyFont="1" applyFill="1" applyBorder="1" applyAlignment="1">
      <alignment horizontal="center" vertical="center"/>
    </xf>
    <xf numFmtId="0" fontId="2" fillId="22" borderId="30" xfId="0" applyFont="1" applyFill="1" applyBorder="1" applyAlignment="1">
      <alignment vertical="center"/>
    </xf>
    <xf numFmtId="0" fontId="8" fillId="22" borderId="90" xfId="0" applyFont="1" applyFill="1" applyBorder="1" applyAlignment="1">
      <alignment horizontal="left" vertical="center"/>
    </xf>
    <xf numFmtId="0" fontId="2" fillId="0" borderId="88" xfId="0" applyFont="1" applyBorder="1" applyAlignment="1">
      <alignment vertical="center"/>
    </xf>
    <xf numFmtId="0" fontId="2" fillId="0" borderId="12" xfId="0" applyFont="1" applyBorder="1" applyAlignment="1">
      <alignment horizontal="left" vertical="top" wrapText="1"/>
    </xf>
    <xf numFmtId="0" fontId="8" fillId="25" borderId="87" xfId="0" applyFont="1" applyFill="1" applyBorder="1" applyAlignment="1">
      <alignment horizontal="left" vertical="center"/>
    </xf>
    <xf numFmtId="0" fontId="8" fillId="25" borderId="88" xfId="0" applyFont="1" applyFill="1" applyBorder="1" applyAlignment="1">
      <alignment horizontal="left" vertical="center"/>
    </xf>
    <xf numFmtId="0" fontId="32" fillId="25" borderId="89" xfId="0" applyFont="1" applyFill="1" applyBorder="1" applyAlignment="1">
      <alignment horizontal="left" vertical="center"/>
    </xf>
    <xf numFmtId="0" fontId="2" fillId="22" borderId="0" xfId="0" applyFont="1" applyFill="1" applyAlignment="1">
      <alignment vertical="center"/>
    </xf>
    <xf numFmtId="0" fontId="2" fillId="22" borderId="0" xfId="0" applyFont="1" applyFill="1" applyAlignment="1">
      <alignment horizontal="left" vertical="center"/>
    </xf>
    <xf numFmtId="0" fontId="1" fillId="22" borderId="0" xfId="0" applyFont="1" applyFill="1" applyAlignment="1">
      <alignment horizontal="center" vertical="center"/>
    </xf>
    <xf numFmtId="0" fontId="1" fillId="22" borderId="0" xfId="0" applyFont="1" applyFill="1" applyAlignment="1">
      <alignment horizontal="left" vertical="center"/>
    </xf>
    <xf numFmtId="0" fontId="1" fillId="22" borderId="64" xfId="0" applyFont="1" applyFill="1" applyBorder="1" applyAlignment="1">
      <alignment horizontal="left" vertical="center"/>
    </xf>
    <xf numFmtId="0" fontId="71" fillId="25" borderId="10" xfId="0" applyFont="1" applyFill="1" applyBorder="1" applyAlignment="1">
      <alignment horizontal="left" vertical="center" indent="1"/>
    </xf>
    <xf numFmtId="0" fontId="71" fillId="25" borderId="14" xfId="0" applyFont="1" applyFill="1" applyBorder="1" applyAlignment="1">
      <alignment horizontal="left" vertical="center" indent="1"/>
    </xf>
    <xf numFmtId="0" fontId="71" fillId="25" borderId="11" xfId="0" applyFont="1" applyFill="1" applyBorder="1" applyAlignment="1">
      <alignment horizontal="left" vertical="center" indent="1"/>
    </xf>
    <xf numFmtId="0" fontId="63" fillId="0" borderId="0" xfId="0" applyFont="1" applyAlignment="1">
      <alignment horizontal="center" vertical="top"/>
    </xf>
    <xf numFmtId="0" fontId="72" fillId="16" borderId="15" xfId="0" applyFont="1" applyFill="1" applyBorder="1" applyAlignment="1">
      <alignment vertical="center"/>
    </xf>
    <xf numFmtId="0" fontId="13" fillId="17" borderId="10" xfId="0" applyFont="1" applyFill="1" applyBorder="1" applyAlignment="1" applyProtection="1">
      <alignment horizontal="center" vertical="center"/>
      <protection locked="0"/>
    </xf>
    <xf numFmtId="0" fontId="13" fillId="17" borderId="11" xfId="0" applyFont="1" applyFill="1" applyBorder="1" applyAlignment="1" applyProtection="1">
      <alignment horizontal="center" vertical="center"/>
      <protection locked="0"/>
    </xf>
    <xf numFmtId="0" fontId="72" fillId="9" borderId="15" xfId="0" applyFont="1" applyFill="1" applyBorder="1" applyAlignment="1">
      <alignment vertical="center"/>
    </xf>
    <xf numFmtId="0" fontId="72" fillId="9" borderId="15" xfId="0" applyFont="1" applyFill="1" applyBorder="1" applyAlignment="1">
      <alignment horizontal="right" vertical="center"/>
    </xf>
    <xf numFmtId="0" fontId="13" fillId="16" borderId="15" xfId="0" applyFont="1" applyFill="1" applyBorder="1" applyAlignment="1">
      <alignment horizontal="right" vertical="center"/>
    </xf>
    <xf numFmtId="0" fontId="13" fillId="9" borderId="15" xfId="0" applyFont="1" applyFill="1" applyBorder="1" applyAlignment="1">
      <alignment horizontal="right" vertical="center"/>
    </xf>
    <xf numFmtId="0" fontId="26" fillId="26" borderId="2" xfId="0" applyFont="1" applyFill="1" applyBorder="1" applyAlignment="1">
      <alignment horizontal="left" vertical="center" indent="1"/>
    </xf>
    <xf numFmtId="0" fontId="26" fillId="26" borderId="4" xfId="0" applyFont="1" applyFill="1" applyBorder="1" applyAlignment="1">
      <alignment horizontal="left" vertical="center" indent="1"/>
    </xf>
    <xf numFmtId="0" fontId="26" fillId="26" borderId="3" xfId="0" applyFont="1" applyFill="1" applyBorder="1" applyAlignment="1">
      <alignment horizontal="left" vertical="center" indent="1"/>
    </xf>
    <xf numFmtId="0" fontId="27" fillId="12" borderId="1" xfId="0" applyFont="1" applyFill="1" applyBorder="1" applyAlignment="1">
      <alignment horizontal="left" vertical="center" indent="1"/>
    </xf>
    <xf numFmtId="0" fontId="27" fillId="12" borderId="0" xfId="0" applyFont="1" applyFill="1" applyAlignment="1">
      <alignment horizontal="left" vertical="center" indent="1"/>
    </xf>
    <xf numFmtId="0" fontId="27" fillId="12" borderId="6" xfId="0" applyFont="1" applyFill="1" applyBorder="1" applyAlignment="1">
      <alignment horizontal="left" vertical="center" indent="1"/>
    </xf>
    <xf numFmtId="0" fontId="1" fillId="22" borderId="30" xfId="0" applyFont="1" applyFill="1" applyBorder="1" applyAlignment="1">
      <alignment horizontal="center" vertical="center"/>
    </xf>
    <xf numFmtId="0" fontId="1" fillId="22" borderId="30" xfId="0" applyFont="1" applyFill="1" applyBorder="1" applyAlignment="1">
      <alignment horizontal="left" vertical="center"/>
    </xf>
    <xf numFmtId="0" fontId="1" fillId="22" borderId="90" xfId="0" applyFont="1" applyFill="1" applyBorder="1" applyAlignment="1">
      <alignment horizontal="left" vertical="center"/>
    </xf>
    <xf numFmtId="0" fontId="27" fillId="12" borderId="1" xfId="0" applyFont="1" applyFill="1" applyBorder="1" applyAlignment="1">
      <alignment horizontal="left" vertical="center" wrapText="1" indent="1"/>
    </xf>
    <xf numFmtId="0" fontId="27" fillId="12" borderId="0" xfId="0" applyFont="1" applyFill="1" applyAlignment="1">
      <alignment horizontal="left" vertical="center" wrapText="1" indent="1"/>
    </xf>
    <xf numFmtId="0" fontId="27" fillId="12" borderId="6" xfId="0" applyFont="1" applyFill="1" applyBorder="1" applyAlignment="1">
      <alignment horizontal="left" vertical="center" wrapText="1" indent="1"/>
    </xf>
    <xf numFmtId="0" fontId="73" fillId="22" borderId="124" xfId="0" applyFont="1" applyFill="1" applyBorder="1" applyAlignment="1">
      <alignment horizontal="center" vertical="center"/>
    </xf>
    <xf numFmtId="0" fontId="73" fillId="22" borderId="125" xfId="0" applyFont="1" applyFill="1" applyBorder="1" applyAlignment="1">
      <alignment horizontal="center" vertical="center"/>
    </xf>
    <xf numFmtId="0" fontId="38" fillId="25" borderId="125" xfId="0" applyFont="1" applyFill="1" applyBorder="1" applyAlignment="1">
      <alignment horizontal="center" vertical="center"/>
    </xf>
    <xf numFmtId="0" fontId="73" fillId="22" borderId="126" xfId="0" applyFont="1" applyFill="1" applyBorder="1" applyAlignment="1">
      <alignment horizontal="center" vertical="center"/>
    </xf>
    <xf numFmtId="0" fontId="27" fillId="12" borderId="8" xfId="0" applyFont="1" applyFill="1" applyBorder="1" applyAlignment="1">
      <alignment horizontal="left" vertical="center" wrapText="1" indent="1"/>
    </xf>
    <xf numFmtId="0" fontId="27" fillId="12" borderId="12" xfId="0" applyFont="1" applyFill="1" applyBorder="1" applyAlignment="1">
      <alignment horizontal="left" vertical="center" wrapText="1" indent="1"/>
    </xf>
    <xf numFmtId="0" fontId="27" fillId="12" borderId="9" xfId="0" applyFont="1" applyFill="1" applyBorder="1" applyAlignment="1">
      <alignment horizontal="left" vertical="center" wrapText="1" indent="1"/>
    </xf>
    <xf numFmtId="0" fontId="2" fillId="6" borderId="8" xfId="0" applyFont="1" applyFill="1" applyBorder="1" applyAlignment="1">
      <alignment vertical="center"/>
    </xf>
    <xf numFmtId="0" fontId="2" fillId="6" borderId="12" xfId="0" applyFont="1" applyFill="1" applyBorder="1" applyAlignment="1">
      <alignment vertical="center"/>
    </xf>
    <xf numFmtId="0" fontId="2" fillId="6" borderId="9" xfId="0" applyFont="1" applyFill="1" applyBorder="1" applyAlignment="1">
      <alignment vertical="center"/>
    </xf>
    <xf numFmtId="0" fontId="2" fillId="0" borderId="127" xfId="0" applyFont="1" applyBorder="1" applyAlignment="1">
      <alignment vertical="center"/>
    </xf>
    <xf numFmtId="0" fontId="3" fillId="0" borderId="128" xfId="0" applyFont="1" applyBorder="1" applyAlignment="1">
      <alignment horizontal="center" vertical="center"/>
    </xf>
    <xf numFmtId="0" fontId="56" fillId="0" borderId="128" xfId="0" applyFont="1" applyBorder="1" applyAlignment="1">
      <alignment horizontal="left" vertical="center"/>
    </xf>
    <xf numFmtId="0" fontId="56" fillId="0" borderId="128" xfId="0" applyFont="1" applyBorder="1" applyAlignment="1">
      <alignment horizontal="center" vertical="center"/>
    </xf>
    <xf numFmtId="0" fontId="2" fillId="0" borderId="128" xfId="0" applyFont="1" applyBorder="1" applyAlignment="1">
      <alignment vertical="center"/>
    </xf>
    <xf numFmtId="0" fontId="2" fillId="0" borderId="128" xfId="0" applyFont="1" applyBorder="1" applyAlignment="1">
      <alignment horizontal="left" vertical="center" indent="1"/>
    </xf>
    <xf numFmtId="0" fontId="2" fillId="0" borderId="128" xfId="0" applyFont="1" applyBorder="1" applyAlignment="1">
      <alignment horizontal="left" vertical="center"/>
    </xf>
    <xf numFmtId="0" fontId="1" fillId="0" borderId="128" xfId="0" applyFont="1" applyBorder="1" applyAlignment="1">
      <alignment horizontal="center" vertical="center"/>
    </xf>
    <xf numFmtId="0" fontId="1" fillId="0" borderId="128" xfId="0" applyFont="1" applyBorder="1" applyAlignment="1">
      <alignment horizontal="left" vertical="center"/>
    </xf>
    <xf numFmtId="0" fontId="2" fillId="0" borderId="129" xfId="0" applyFont="1" applyBorder="1" applyAlignment="1">
      <alignment vertical="center"/>
    </xf>
    <xf numFmtId="0" fontId="2" fillId="0" borderId="63" xfId="0" applyFont="1" applyBorder="1" applyAlignment="1">
      <alignment vertical="center"/>
    </xf>
    <xf numFmtId="0" fontId="2" fillId="0" borderId="64" xfId="0" applyFont="1" applyBorder="1" applyAlignment="1">
      <alignment vertical="center"/>
    </xf>
    <xf numFmtId="0" fontId="1" fillId="6" borderId="2"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3" xfId="0" applyFont="1" applyFill="1" applyBorder="1" applyAlignment="1">
      <alignment horizontal="center" vertical="center"/>
    </xf>
    <xf numFmtId="0" fontId="2" fillId="0" borderId="1" xfId="0" applyFont="1" applyBorder="1" applyAlignment="1">
      <alignment horizontal="left" vertical="center" indent="1"/>
    </xf>
    <xf numFmtId="0" fontId="27" fillId="0" borderId="0" xfId="0" applyFont="1" applyAlignment="1">
      <alignment vertical="top" wrapText="1"/>
    </xf>
    <xf numFmtId="0" fontId="27" fillId="0" borderId="6" xfId="0" applyFont="1" applyBorder="1" applyAlignment="1">
      <alignment vertical="top" wrapText="1"/>
    </xf>
    <xf numFmtId="0" fontId="74" fillId="9" borderId="2" xfId="0" applyFont="1" applyFill="1" applyBorder="1" applyAlignment="1">
      <alignment horizontal="left" vertical="center" wrapText="1" indent="1"/>
    </xf>
    <xf numFmtId="0" fontId="74" fillId="9" borderId="4" xfId="0" applyFont="1" applyFill="1" applyBorder="1" applyAlignment="1">
      <alignment horizontal="left" vertical="center" wrapText="1" indent="1"/>
    </xf>
    <xf numFmtId="0" fontId="74" fillId="9" borderId="3" xfId="0" applyFont="1" applyFill="1" applyBorder="1" applyAlignment="1">
      <alignment horizontal="left" vertical="center" wrapText="1" indent="1"/>
    </xf>
    <xf numFmtId="0" fontId="1" fillId="13" borderId="15" xfId="0" applyFont="1" applyFill="1" applyBorder="1" applyAlignment="1">
      <alignment horizontal="center" vertical="center"/>
    </xf>
    <xf numFmtId="0" fontId="27" fillId="0" borderId="0" xfId="0" applyFont="1" applyAlignment="1">
      <alignment horizontal="left" vertical="top" indent="1"/>
    </xf>
    <xf numFmtId="0" fontId="13" fillId="0" borderId="0" xfId="0" applyFont="1" applyAlignment="1">
      <alignment horizontal="left" vertical="top"/>
    </xf>
    <xf numFmtId="0" fontId="27" fillId="0" borderId="0" xfId="0" applyFont="1" applyAlignment="1">
      <alignment horizontal="left" vertical="top" wrapText="1"/>
    </xf>
    <xf numFmtId="0" fontId="27" fillId="0" borderId="6" xfId="0" applyFont="1" applyBorder="1" applyAlignment="1">
      <alignment horizontal="left" vertical="top" wrapText="1"/>
    </xf>
    <xf numFmtId="0" fontId="74" fillId="9" borderId="8" xfId="0" applyFont="1" applyFill="1" applyBorder="1" applyAlignment="1">
      <alignment horizontal="left" vertical="center" wrapText="1" indent="1"/>
    </xf>
    <xf numFmtId="0" fontId="74" fillId="9" borderId="12" xfId="0" applyFont="1" applyFill="1" applyBorder="1" applyAlignment="1">
      <alignment horizontal="left" vertical="center" wrapText="1" indent="1"/>
    </xf>
    <xf numFmtId="0" fontId="74" fillId="9" borderId="9" xfId="0" applyFont="1" applyFill="1" applyBorder="1" applyAlignment="1">
      <alignment horizontal="left" vertical="center" wrapText="1" indent="1"/>
    </xf>
    <xf numFmtId="0" fontId="13" fillId="0" borderId="0" xfId="0" applyFont="1" applyAlignment="1">
      <alignment horizontal="left" vertical="top" indent="1"/>
    </xf>
    <xf numFmtId="0" fontId="4" fillId="17" borderId="15" xfId="0" applyFont="1" applyFill="1" applyBorder="1" applyAlignment="1">
      <alignment horizontal="center" vertical="center"/>
    </xf>
    <xf numFmtId="0" fontId="18" fillId="0" borderId="0" xfId="0" applyFont="1" applyAlignment="1">
      <alignment horizontal="left" vertical="center" indent="1"/>
    </xf>
    <xf numFmtId="0" fontId="58" fillId="0" borderId="0" xfId="0" applyFont="1" applyAlignment="1">
      <alignment horizontal="center" vertical="center"/>
    </xf>
    <xf numFmtId="0" fontId="10" fillId="0" borderId="0" xfId="0" applyFont="1" applyAlignment="1">
      <alignment horizontal="left" vertical="center"/>
    </xf>
    <xf numFmtId="0" fontId="4" fillId="14" borderId="15" xfId="0" applyFont="1" applyFill="1" applyBorder="1" applyAlignment="1">
      <alignment horizontal="center" vertical="center"/>
    </xf>
    <xf numFmtId="0" fontId="75" fillId="14" borderId="15" xfId="0" applyFont="1" applyFill="1" applyBorder="1" applyAlignment="1">
      <alignment horizontal="center" vertical="center"/>
    </xf>
    <xf numFmtId="0" fontId="27" fillId="0" borderId="0" xfId="0" applyFont="1" applyAlignment="1">
      <alignment horizontal="left" vertical="top" wrapText="1" indent="1"/>
    </xf>
    <xf numFmtId="0" fontId="76" fillId="26" borderId="4" xfId="0" applyFont="1" applyFill="1" applyBorder="1" applyAlignment="1">
      <alignment horizontal="left" vertical="center" indent="1"/>
    </xf>
    <xf numFmtId="0" fontId="27" fillId="26" borderId="4" xfId="0" applyFont="1" applyFill="1" applyBorder="1" applyAlignment="1">
      <alignment horizontal="left" vertical="center" indent="1"/>
    </xf>
    <xf numFmtId="0" fontId="27" fillId="26" borderId="3" xfId="0" applyFont="1" applyFill="1" applyBorder="1" applyAlignment="1">
      <alignment horizontal="left" vertical="center" indent="1"/>
    </xf>
    <xf numFmtId="0" fontId="74" fillId="12" borderId="1" xfId="0" applyFont="1" applyFill="1" applyBorder="1" applyAlignment="1">
      <alignment horizontal="left" vertical="center" wrapText="1" indent="1"/>
    </xf>
    <xf numFmtId="0" fontId="74" fillId="12" borderId="0" xfId="0" applyFont="1" applyFill="1" applyAlignment="1">
      <alignment horizontal="left" vertical="center" wrapText="1" indent="1"/>
    </xf>
    <xf numFmtId="0" fontId="74" fillId="12" borderId="6" xfId="0" applyFont="1" applyFill="1" applyBorder="1" applyAlignment="1">
      <alignment horizontal="left" vertical="center" wrapText="1" indent="1"/>
    </xf>
    <xf numFmtId="0" fontId="77" fillId="12" borderId="15" xfId="0" applyFont="1" applyFill="1" applyBorder="1" applyAlignment="1">
      <alignment horizontal="center" vertical="center"/>
    </xf>
    <xf numFmtId="0" fontId="2" fillId="0" borderId="12" xfId="0" applyFont="1" applyBorder="1" applyAlignment="1">
      <alignment vertical="center"/>
    </xf>
    <xf numFmtId="0" fontId="2" fillId="0" borderId="12" xfId="0" applyFont="1" applyBorder="1" applyAlignment="1">
      <alignment horizontal="left" vertical="center"/>
    </xf>
    <xf numFmtId="0" fontId="1" fillId="0" borderId="12" xfId="0" applyFont="1" applyBorder="1" applyAlignment="1">
      <alignment horizontal="center" vertical="center"/>
    </xf>
    <xf numFmtId="0" fontId="1" fillId="0" borderId="12" xfId="0" applyFont="1" applyBorder="1" applyAlignment="1">
      <alignment horizontal="left" vertical="center"/>
    </xf>
    <xf numFmtId="0" fontId="78" fillId="2" borderId="1" xfId="0" applyFont="1" applyFill="1" applyBorder="1" applyAlignment="1">
      <alignment horizontal="left" vertical="center" wrapText="1" indent="1"/>
    </xf>
    <xf numFmtId="0" fontId="78" fillId="2" borderId="0" xfId="0" applyFont="1" applyFill="1" applyAlignment="1">
      <alignment horizontal="left" vertical="center" wrapText="1" indent="1"/>
    </xf>
    <xf numFmtId="0" fontId="78" fillId="2" borderId="6" xfId="0" applyFont="1" applyFill="1" applyBorder="1" applyAlignment="1">
      <alignment horizontal="left" vertical="center" wrapText="1" indent="1"/>
    </xf>
    <xf numFmtId="0" fontId="78" fillId="2" borderId="8" xfId="0" applyFont="1" applyFill="1" applyBorder="1" applyAlignment="1">
      <alignment horizontal="left" vertical="center" wrapText="1" indent="1"/>
    </xf>
    <xf numFmtId="0" fontId="78" fillId="2" borderId="12" xfId="0" applyFont="1" applyFill="1" applyBorder="1" applyAlignment="1">
      <alignment horizontal="left" vertical="center" wrapText="1" indent="1"/>
    </xf>
    <xf numFmtId="0" fontId="78" fillId="2" borderId="9" xfId="0" applyFont="1" applyFill="1" applyBorder="1" applyAlignment="1">
      <alignment horizontal="left" vertical="center" wrapText="1" indent="1"/>
    </xf>
    <xf numFmtId="0" fontId="2" fillId="0" borderId="29" xfId="0" applyFont="1" applyBorder="1" applyAlignment="1">
      <alignment vertical="center"/>
    </xf>
    <xf numFmtId="0" fontId="3" fillId="0" borderId="30" xfId="0" applyFont="1" applyBorder="1" applyAlignment="1">
      <alignment horizontal="center" vertical="center"/>
    </xf>
    <xf numFmtId="0" fontId="10" fillId="0" borderId="30" xfId="0" applyFont="1" applyBorder="1" applyAlignment="1">
      <alignment vertical="center"/>
    </xf>
    <xf numFmtId="0" fontId="2" fillId="0" borderId="30" xfId="0" applyFont="1" applyBorder="1" applyAlignment="1">
      <alignment vertical="center"/>
    </xf>
    <xf numFmtId="0" fontId="2" fillId="0" borderId="30" xfId="0" applyFont="1" applyBorder="1" applyAlignment="1">
      <alignment horizontal="left" vertical="center" indent="1"/>
    </xf>
    <xf numFmtId="0" fontId="2" fillId="0" borderId="30" xfId="0" applyFont="1" applyBorder="1" applyAlignment="1">
      <alignment horizontal="left" vertical="center"/>
    </xf>
    <xf numFmtId="0" fontId="1" fillId="0" borderId="30" xfId="0" applyFont="1" applyBorder="1" applyAlignment="1">
      <alignment horizontal="center" vertical="center"/>
    </xf>
    <xf numFmtId="0" fontId="1" fillId="0" borderId="30" xfId="0" applyFont="1" applyBorder="1" applyAlignment="1">
      <alignment horizontal="left" vertical="center"/>
    </xf>
    <xf numFmtId="0" fontId="2" fillId="0" borderId="90" xfId="0" applyFont="1" applyBorder="1" applyAlignment="1">
      <alignment vertical="center"/>
    </xf>
    <xf numFmtId="0" fontId="10" fillId="0" borderId="130" xfId="0" applyFont="1" applyBorder="1" applyAlignment="1">
      <alignment vertical="center"/>
    </xf>
    <xf numFmtId="0" fontId="11" fillId="0" borderId="109" xfId="0" applyFont="1" applyBorder="1" applyAlignment="1">
      <alignment horizontal="center" vertical="center"/>
    </xf>
    <xf numFmtId="0" fontId="11" fillId="0" borderId="109" xfId="0" applyFont="1" applyBorder="1" applyAlignment="1">
      <alignment horizontal="left" vertical="center"/>
    </xf>
    <xf numFmtId="0" fontId="10" fillId="0" borderId="109" xfId="0" applyFont="1" applyBorder="1" applyAlignment="1">
      <alignment vertical="center"/>
    </xf>
    <xf numFmtId="0" fontId="10" fillId="0" borderId="109" xfId="0" applyFont="1" applyBorder="1" applyAlignment="1">
      <alignment horizontal="left" vertical="center"/>
    </xf>
    <xf numFmtId="0" fontId="10" fillId="0" borderId="131" xfId="0" applyFont="1" applyBorder="1" applyAlignment="1">
      <alignment vertical="center"/>
    </xf>
    <xf numFmtId="0" fontId="10" fillId="0" borderId="116" xfId="0" applyFont="1" applyBorder="1" applyAlignment="1">
      <alignment vertical="center"/>
    </xf>
    <xf numFmtId="0" fontId="10" fillId="0" borderId="0" xfId="0" applyFont="1" applyAlignment="1">
      <alignment horizontal="left" vertical="center" wrapText="1"/>
    </xf>
    <xf numFmtId="0" fontId="10" fillId="0" borderId="117" xfId="0" applyFont="1" applyBorder="1" applyAlignment="1">
      <alignment vertical="center"/>
    </xf>
    <xf numFmtId="0" fontId="18" fillId="0" borderId="0" xfId="0" applyFont="1" applyAlignment="1">
      <alignment vertical="center"/>
    </xf>
    <xf numFmtId="0" fontId="10"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horizontal="center" vertical="center" wrapText="1"/>
    </xf>
    <xf numFmtId="0" fontId="10" fillId="0" borderId="8" xfId="0" applyFont="1" applyBorder="1" applyAlignment="1">
      <alignment vertical="center"/>
    </xf>
    <xf numFmtId="0" fontId="10" fillId="0" borderId="12" xfId="0" applyFont="1" applyBorder="1" applyAlignment="1">
      <alignment vertical="center"/>
    </xf>
    <xf numFmtId="0" fontId="10" fillId="0" borderId="9" xfId="0" applyFont="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8" fillId="15" borderId="0" xfId="0" applyFont="1" applyFill="1" applyAlignment="1">
      <alignment horizontal="center" vertical="center"/>
    </xf>
    <xf numFmtId="0" fontId="8" fillId="15" borderId="6" xfId="0" applyFont="1" applyFill="1" applyBorder="1" applyAlignment="1">
      <alignment horizontal="center" vertical="center"/>
    </xf>
    <xf numFmtId="0" fontId="8" fillId="15" borderId="15" xfId="0" applyFont="1" applyFill="1" applyBorder="1" applyAlignment="1">
      <alignment horizontal="center" vertical="center" wrapText="1"/>
    </xf>
    <xf numFmtId="0" fontId="54" fillId="26" borderId="2" xfId="0" applyFont="1" applyFill="1" applyBorder="1" applyAlignment="1">
      <alignment horizontal="left" vertical="center" indent="1"/>
    </xf>
    <xf numFmtId="0" fontId="10" fillId="26" borderId="4" xfId="0" applyFont="1" applyFill="1" applyBorder="1" applyAlignment="1">
      <alignment horizontal="left" vertical="center" indent="1"/>
    </xf>
    <xf numFmtId="0" fontId="74" fillId="26" borderId="4" xfId="0" applyFont="1" applyFill="1" applyBorder="1" applyAlignment="1">
      <alignment horizontal="left" wrapText="1" indent="1"/>
    </xf>
    <xf numFmtId="0" fontId="10" fillId="26" borderId="3" xfId="0" applyFont="1" applyFill="1" applyBorder="1" applyAlignment="1">
      <alignment horizontal="left" vertical="center" indent="1"/>
    </xf>
    <xf numFmtId="0" fontId="8" fillId="15" borderId="12" xfId="0" applyFont="1" applyFill="1" applyBorder="1" applyAlignment="1">
      <alignment horizontal="center" vertical="center"/>
    </xf>
    <xf numFmtId="0" fontId="8" fillId="15" borderId="9" xfId="0" applyFont="1" applyFill="1" applyBorder="1" applyAlignment="1">
      <alignment horizontal="center" vertical="center"/>
    </xf>
    <xf numFmtId="0" fontId="18" fillId="22" borderId="15" xfId="0" applyFont="1" applyFill="1" applyBorder="1" applyAlignment="1">
      <alignment horizontal="center" vertical="center" wrapText="1"/>
    </xf>
    <xf numFmtId="0" fontId="79" fillId="0" borderId="10" xfId="0" applyFont="1" applyBorder="1" applyAlignment="1">
      <alignment horizontal="left" vertical="center" indent="1"/>
    </xf>
    <xf numFmtId="0" fontId="79" fillId="0" borderId="11" xfId="0" applyFont="1" applyBorder="1" applyAlignment="1">
      <alignment horizontal="left" vertical="center" indent="1"/>
    </xf>
    <xf numFmtId="9" fontId="79" fillId="0" borderId="15" xfId="3" applyFont="1" applyBorder="1" applyAlignment="1">
      <alignment horizontal="center" vertical="center"/>
    </xf>
    <xf numFmtId="0" fontId="79" fillId="0" borderId="5" xfId="0" applyFont="1" applyBorder="1" applyAlignment="1">
      <alignment horizontal="left" vertical="center" indent="1"/>
    </xf>
    <xf numFmtId="0" fontId="79" fillId="0" borderId="2" xfId="0" applyFont="1" applyBorder="1" applyAlignment="1">
      <alignment horizontal="left" vertical="center" indent="1"/>
    </xf>
    <xf numFmtId="9" fontId="80" fillId="0" borderId="5" xfId="3" applyFont="1" applyBorder="1" applyAlignment="1">
      <alignment vertical="center"/>
    </xf>
    <xf numFmtId="0" fontId="80" fillId="6" borderId="7" xfId="0" applyFont="1" applyFill="1" applyBorder="1" applyAlignment="1">
      <alignment horizontal="left" vertical="center" indent="2"/>
    </xf>
    <xf numFmtId="0" fontId="80" fillId="6" borderId="1" xfId="0" applyFont="1" applyFill="1" applyBorder="1" applyAlignment="1">
      <alignment horizontal="left" vertical="center" indent="2"/>
    </xf>
    <xf numFmtId="9" fontId="79" fillId="6" borderId="7" xfId="3" applyFont="1" applyFill="1" applyBorder="1" applyAlignment="1">
      <alignment horizontal="center" vertical="center"/>
    </xf>
    <xf numFmtId="0" fontId="74" fillId="12" borderId="8" xfId="0" applyFont="1" applyFill="1" applyBorder="1" applyAlignment="1">
      <alignment horizontal="left" vertical="center" wrapText="1" indent="1"/>
    </xf>
    <xf numFmtId="0" fontId="74" fillId="12" borderId="12" xfId="0" applyFont="1" applyFill="1" applyBorder="1" applyAlignment="1">
      <alignment horizontal="left" vertical="center" wrapText="1" indent="1"/>
    </xf>
    <xf numFmtId="0" fontId="74" fillId="12" borderId="9" xfId="0" applyFont="1" applyFill="1" applyBorder="1" applyAlignment="1">
      <alignment horizontal="left" vertical="center" wrapText="1" indent="1"/>
    </xf>
    <xf numFmtId="0" fontId="80" fillId="0" borderId="7" xfId="0" applyFont="1" applyBorder="1" applyAlignment="1">
      <alignment horizontal="left" vertical="center" wrapText="1" indent="2"/>
    </xf>
    <xf numFmtId="0" fontId="80" fillId="0" borderId="1" xfId="0" applyFont="1" applyBorder="1" applyAlignment="1">
      <alignment horizontal="left" vertical="center" wrapText="1" indent="2"/>
    </xf>
    <xf numFmtId="9" fontId="79" fillId="0" borderId="7" xfId="3" applyFont="1" applyBorder="1" applyAlignment="1">
      <alignment horizontal="center" vertical="center"/>
    </xf>
    <xf numFmtId="0" fontId="8" fillId="15" borderId="2" xfId="0" applyFont="1" applyFill="1" applyBorder="1" applyAlignment="1">
      <alignment horizontal="center" vertical="center"/>
    </xf>
    <xf numFmtId="0" fontId="8" fillId="15" borderId="4" xfId="0" applyFont="1" applyFill="1" applyBorder="1" applyAlignment="1">
      <alignment horizontal="center" vertical="center"/>
    </xf>
    <xf numFmtId="0" fontId="8" fillId="15" borderId="3" xfId="0" applyFont="1" applyFill="1" applyBorder="1" applyAlignment="1">
      <alignment horizontal="center" vertical="center"/>
    </xf>
    <xf numFmtId="0" fontId="2" fillId="6" borderId="1" xfId="0" applyFont="1" applyFill="1" applyBorder="1" applyAlignment="1">
      <alignment horizontal="left" vertical="center" indent="1"/>
    </xf>
    <xf numFmtId="0" fontId="2" fillId="6" borderId="0" xfId="0" applyFont="1" applyFill="1" applyAlignment="1">
      <alignment horizontal="left" vertical="center"/>
    </xf>
    <xf numFmtId="0" fontId="2" fillId="6" borderId="6" xfId="0" applyFont="1" applyFill="1" applyBorder="1" applyAlignment="1">
      <alignment vertical="center"/>
    </xf>
    <xf numFmtId="0" fontId="80" fillId="6" borderId="13" xfId="0" applyFont="1" applyFill="1" applyBorder="1" applyAlignment="1">
      <alignment horizontal="left" vertical="center" indent="2"/>
    </xf>
    <xf numFmtId="0" fontId="80" fillId="6" borderId="8" xfId="0" applyFont="1" applyFill="1" applyBorder="1" applyAlignment="1">
      <alignment horizontal="left" vertical="center" indent="2"/>
    </xf>
    <xf numFmtId="9" fontId="79" fillId="6" borderId="13" xfId="3" applyFont="1" applyFill="1" applyBorder="1" applyAlignment="1">
      <alignment horizontal="center" vertical="center"/>
    </xf>
    <xf numFmtId="0" fontId="81" fillId="6" borderId="132" xfId="0" applyFont="1" applyFill="1" applyBorder="1" applyAlignment="1">
      <alignment horizontal="center" vertical="center" wrapText="1"/>
    </xf>
    <xf numFmtId="0" fontId="81" fillId="6" borderId="133" xfId="0" applyFont="1" applyFill="1" applyBorder="1" applyAlignment="1">
      <alignment horizontal="center" vertical="center" wrapText="1"/>
    </xf>
    <xf numFmtId="0" fontId="81" fillId="6" borderId="134" xfId="0" applyFont="1" applyFill="1" applyBorder="1" applyAlignment="1">
      <alignment horizontal="center" vertical="center" wrapText="1"/>
    </xf>
    <xf numFmtId="9" fontId="79" fillId="0" borderId="5" xfId="3" applyFont="1" applyBorder="1" applyAlignment="1">
      <alignment horizontal="center" vertical="center"/>
    </xf>
    <xf numFmtId="0" fontId="82" fillId="6" borderId="135" xfId="0" applyFont="1" applyFill="1" applyBorder="1" applyAlignment="1">
      <alignment horizontal="center" vertical="center" wrapText="1"/>
    </xf>
    <xf numFmtId="0" fontId="82" fillId="6" borderId="136" xfId="0" applyFont="1" applyFill="1" applyBorder="1" applyAlignment="1">
      <alignment horizontal="center" vertical="center" wrapText="1"/>
    </xf>
    <xf numFmtId="0" fontId="81" fillId="6" borderId="135" xfId="0" applyFont="1" applyFill="1" applyBorder="1" applyAlignment="1">
      <alignment horizontal="center" vertical="center" wrapText="1"/>
    </xf>
    <xf numFmtId="0" fontId="81" fillId="6" borderId="137" xfId="0" applyFont="1" applyFill="1" applyBorder="1" applyAlignment="1">
      <alignment horizontal="center" vertical="center" wrapText="1"/>
    </xf>
    <xf numFmtId="2" fontId="2" fillId="17" borderId="132" xfId="0" applyNumberFormat="1" applyFont="1" applyFill="1" applyBorder="1" applyAlignment="1">
      <alignment horizontal="center" vertical="center"/>
    </xf>
    <xf numFmtId="2" fontId="2" fillId="17" borderId="133" xfId="0" applyNumberFormat="1" applyFont="1" applyFill="1" applyBorder="1" applyAlignment="1">
      <alignment horizontal="center" vertical="center"/>
    </xf>
    <xf numFmtId="2" fontId="2" fillId="17" borderId="134" xfId="0" applyNumberFormat="1" applyFont="1" applyFill="1" applyBorder="1" applyAlignment="1">
      <alignment horizontal="center" vertical="center"/>
    </xf>
    <xf numFmtId="0" fontId="1" fillId="17" borderId="138" xfId="0" applyFont="1" applyFill="1" applyBorder="1" applyAlignment="1">
      <alignment vertical="center"/>
    </xf>
    <xf numFmtId="0" fontId="1" fillId="17" borderId="139" xfId="0" applyFont="1" applyFill="1" applyBorder="1" applyAlignment="1">
      <alignment vertical="center"/>
    </xf>
    <xf numFmtId="0" fontId="80" fillId="0" borderId="13" xfId="0" applyFont="1" applyBorder="1" applyAlignment="1">
      <alignment horizontal="left" vertical="center" indent="2"/>
    </xf>
    <xf numFmtId="0" fontId="80" fillId="0" borderId="8" xfId="0" applyFont="1" applyBorder="1" applyAlignment="1">
      <alignment horizontal="left" vertical="center" indent="2"/>
    </xf>
    <xf numFmtId="9" fontId="79" fillId="0" borderId="13" xfId="3" applyFont="1" applyBorder="1" applyAlignment="1">
      <alignment horizontal="center" vertical="center"/>
    </xf>
    <xf numFmtId="2" fontId="2" fillId="17" borderId="138" xfId="0" applyNumberFormat="1" applyFont="1" applyFill="1" applyBorder="1" applyAlignment="1">
      <alignment horizontal="center" vertical="center"/>
    </xf>
    <xf numFmtId="2" fontId="2" fillId="17" borderId="0" xfId="0" applyNumberFormat="1" applyFont="1" applyFill="1" applyAlignment="1">
      <alignment horizontal="center" vertical="center"/>
    </xf>
    <xf numFmtId="2" fontId="2" fillId="17" borderId="139" xfId="0" applyNumberFormat="1" applyFont="1" applyFill="1" applyBorder="1" applyAlignment="1">
      <alignment horizontal="center" vertical="center"/>
    </xf>
    <xf numFmtId="0" fontId="3" fillId="0" borderId="0" xfId="0" applyFont="1" applyAlignment="1">
      <alignment horizontal="left" vertical="center"/>
    </xf>
    <xf numFmtId="0" fontId="83" fillId="0" borderId="0" xfId="0" applyFont="1" applyAlignment="1">
      <alignment horizontal="left" vertical="center"/>
    </xf>
    <xf numFmtId="0" fontId="18" fillId="0" borderId="0" xfId="0" applyFont="1" applyAlignment="1">
      <alignment horizontal="left" vertical="center"/>
    </xf>
    <xf numFmtId="2" fontId="75" fillId="17" borderId="138" xfId="0" applyNumberFormat="1" applyFont="1" applyFill="1" applyBorder="1" applyAlignment="1">
      <alignment horizontal="center" vertical="center"/>
    </xf>
    <xf numFmtId="2" fontId="75" fillId="17" borderId="0" xfId="0" applyNumberFormat="1" applyFont="1" applyFill="1" applyAlignment="1">
      <alignment horizontal="center" vertical="center"/>
    </xf>
    <xf numFmtId="2" fontId="75" fillId="17" borderId="139" xfId="0" applyNumberFormat="1" applyFont="1" applyFill="1" applyBorder="1" applyAlignment="1">
      <alignment horizontal="center" vertical="center"/>
    </xf>
    <xf numFmtId="0" fontId="77" fillId="6" borderId="138" xfId="0" applyFont="1" applyFill="1" applyBorder="1" applyAlignment="1">
      <alignment vertical="center"/>
    </xf>
    <xf numFmtId="0" fontId="77" fillId="6" borderId="139" xfId="0" applyFont="1" applyFill="1" applyBorder="1" applyAlignment="1">
      <alignment vertical="center"/>
    </xf>
    <xf numFmtId="0" fontId="22" fillId="0" borderId="0" xfId="0" applyFont="1" applyAlignment="1">
      <alignment horizontal="left" vertical="center"/>
    </xf>
    <xf numFmtId="0" fontId="22" fillId="0" borderId="0" xfId="0" applyFont="1" applyAlignment="1">
      <alignment horizontal="center" vertical="center"/>
    </xf>
    <xf numFmtId="0" fontId="2" fillId="0" borderId="116" xfId="0" applyFont="1" applyBorder="1" applyAlignment="1">
      <alignment horizontal="left" vertical="center"/>
    </xf>
    <xf numFmtId="2" fontId="2" fillId="17" borderId="135" xfId="0" applyNumberFormat="1" applyFont="1" applyFill="1" applyBorder="1" applyAlignment="1">
      <alignment horizontal="center" vertical="center"/>
    </xf>
    <xf numFmtId="2" fontId="2" fillId="17" borderId="136" xfId="0" applyNumberFormat="1" applyFont="1" applyFill="1" applyBorder="1" applyAlignment="1">
      <alignment horizontal="center" vertical="center"/>
    </xf>
    <xf numFmtId="2" fontId="2" fillId="17" borderId="137" xfId="0" applyNumberFormat="1" applyFont="1" applyFill="1" applyBorder="1" applyAlignment="1">
      <alignment horizontal="center" vertical="center"/>
    </xf>
    <xf numFmtId="0" fontId="1" fillId="17" borderId="135" xfId="0" applyFont="1" applyFill="1" applyBorder="1" applyAlignment="1">
      <alignment vertical="center"/>
    </xf>
    <xf numFmtId="0" fontId="1" fillId="17" borderId="137" xfId="0" applyFont="1" applyFill="1" applyBorder="1" applyAlignment="1">
      <alignment vertical="center"/>
    </xf>
    <xf numFmtId="2" fontId="75" fillId="17" borderId="135" xfId="0" applyNumberFormat="1" applyFont="1" applyFill="1" applyBorder="1" applyAlignment="1">
      <alignment horizontal="center" vertical="center"/>
    </xf>
    <xf numFmtId="2" fontId="75" fillId="17" borderId="136" xfId="0" applyNumberFormat="1" applyFont="1" applyFill="1" applyBorder="1" applyAlignment="1">
      <alignment horizontal="center" vertical="center"/>
    </xf>
    <xf numFmtId="2" fontId="75" fillId="17" borderId="136" xfId="0" applyNumberFormat="1" applyFont="1" applyFill="1" applyBorder="1" applyAlignment="1">
      <alignment vertical="center"/>
    </xf>
    <xf numFmtId="0" fontId="77" fillId="6" borderId="135" xfId="0" applyFont="1" applyFill="1" applyBorder="1" applyAlignment="1">
      <alignment vertical="center"/>
    </xf>
    <xf numFmtId="0" fontId="77" fillId="6" borderId="137" xfId="0" applyFont="1" applyFill="1" applyBorder="1" applyAlignment="1">
      <alignment vertical="center"/>
    </xf>
    <xf numFmtId="0" fontId="84" fillId="6" borderId="133" xfId="0" applyFont="1" applyFill="1" applyBorder="1" applyAlignment="1">
      <alignment horizontal="right" vertical="center"/>
    </xf>
    <xf numFmtId="0" fontId="84" fillId="6" borderId="6" xfId="0" applyFont="1" applyFill="1" applyBorder="1" applyAlignment="1">
      <alignment horizontal="right" vertical="center"/>
    </xf>
    <xf numFmtId="0" fontId="2" fillId="6" borderId="8" xfId="0" applyFont="1" applyFill="1" applyBorder="1" applyAlignment="1">
      <alignment horizontal="left" vertical="center" indent="1"/>
    </xf>
    <xf numFmtId="0" fontId="84" fillId="6" borderId="12" xfId="0" applyFont="1" applyFill="1" applyBorder="1" applyAlignment="1">
      <alignment horizontal="right" vertical="center"/>
    </xf>
    <xf numFmtId="0" fontId="84" fillId="6" borderId="9" xfId="0" applyFont="1" applyFill="1" applyBorder="1" applyAlignment="1">
      <alignment horizontal="right" vertical="center"/>
    </xf>
    <xf numFmtId="0" fontId="2" fillId="0" borderId="127" xfId="0" applyFont="1" applyBorder="1" applyAlignment="1">
      <alignment horizontal="left" vertical="center"/>
    </xf>
    <xf numFmtId="0" fontId="85" fillId="22" borderId="0" xfId="0" applyFont="1" applyFill="1" applyAlignment="1">
      <alignment horizontal="left" vertical="center"/>
    </xf>
    <xf numFmtId="0" fontId="27" fillId="0" borderId="49" xfId="0" applyFont="1" applyBorder="1" applyAlignment="1" quotePrefix="1">
      <alignment horizontal="left" vertical="center"/>
    </xf>
    <xf numFmtId="0" fontId="27" fillId="0" borderId="42" xfId="0" applyFont="1" applyBorder="1" applyAlignment="1" quotePrefix="1">
      <alignment horizontal="lef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9">
    <dxf>
      <font>
        <b val="1"/>
        <i val="0"/>
        <color theme="5"/>
      </font>
      <fill>
        <patternFill patternType="none"/>
      </fill>
    </dxf>
    <dxf>
      <font>
        <b val="1"/>
        <i val="0"/>
        <color theme="5"/>
      </font>
    </dxf>
    <dxf>
      <font>
        <b val="1"/>
        <i val="0"/>
        <color theme="2"/>
      </font>
      <fill>
        <patternFill patternType="solid">
          <bgColor theme="2"/>
        </patternFill>
      </fill>
    </dxf>
    <dxf>
      <font>
        <b val="1"/>
        <i val="0"/>
        <color rgb="FF0046D2"/>
      </font>
    </dxf>
    <dxf>
      <font>
        <b val="1"/>
        <i val="0"/>
        <color rgb="FF008000"/>
      </font>
    </dxf>
    <dxf>
      <font>
        <b val="1"/>
        <i val="0"/>
        <color auto="1"/>
      </font>
      <fill>
        <patternFill patternType="solid">
          <bgColor theme="5" tint="0.799981688894314"/>
        </patternFill>
      </fill>
    </dxf>
    <dxf>
      <font>
        <b val="1"/>
        <i val="0"/>
        <color theme="5"/>
      </font>
    </dxf>
    <dxf>
      <font>
        <color theme="2" tint="-0.249946592608417"/>
      </font>
      <fill>
        <patternFill patternType="solid">
          <bgColor theme="0" tint="-0.14996795556505"/>
        </patternFill>
      </fill>
    </dxf>
    <dxf>
      <font>
        <color theme="1"/>
      </font>
      <fill>
        <patternFill patternType="solid">
          <bgColor theme="0"/>
        </patternFill>
      </fill>
    </dxf>
    <dxf>
      <font>
        <b val="1"/>
        <i val="0"/>
        <color theme="0"/>
      </font>
      <fill>
        <patternFill patternType="solid">
          <bgColor rgb="FFFF0000"/>
        </patternFill>
      </fill>
    </dxf>
    <dxf>
      <fill>
        <patternFill patternType="solid">
          <bgColor theme="4" tint="0.799981688894314"/>
        </patternFill>
      </fill>
    </dxf>
    <dxf>
      <font>
        <b val="1"/>
        <i val="0"/>
        <color rgb="FF008000"/>
      </font>
      <fill>
        <patternFill patternType="solid">
          <bgColor theme="9" tint="0.799981688894314"/>
        </patternFill>
      </fill>
    </dxf>
    <dxf>
      <font>
        <color rgb="FF008000"/>
      </font>
      <fill>
        <patternFill patternType="solid">
          <bgColor theme="9" tint="0.799981688894314"/>
        </patternFill>
      </fill>
    </dxf>
    <dxf>
      <font>
        <color rgb="FFFF0000"/>
      </font>
    </dxf>
    <dxf>
      <font>
        <color theme="2" tint="-0.249946592608417"/>
      </font>
    </dxf>
    <dxf>
      <fill>
        <patternFill patternType="solid">
          <bgColor theme="2"/>
        </patternFill>
      </fill>
    </dxf>
    <dxf>
      <font>
        <color rgb="FF008000"/>
      </font>
      <fill>
        <patternFill patternType="solid">
          <bgColor theme="2"/>
        </patternFill>
      </fill>
    </dxf>
    <dxf>
      <fill>
        <patternFill patternType="solid">
          <bgColor theme="9" tint="0.799981688894314"/>
        </patternFill>
      </fill>
    </dxf>
    <dxf>
      <font>
        <color rgb="FF008000"/>
      </font>
      <fill>
        <patternFill patternType="solid">
          <bgColor theme="2"/>
        </patternFill>
      </fill>
    </dxf>
  </dxfs>
  <tableStyles count="0" defaultTableStyle="TableStyleMedium2" defaultPivotStyle="PivotStyleLight16"/>
  <colors>
    <mruColors>
      <color rgb="000046D2"/>
      <color rgb="00CCCCFF"/>
      <color rgb="00008000"/>
      <color rgb="00FFCCCC"/>
      <color rgb="00FF9933"/>
      <color rgb="00F3A1E7"/>
      <color rgb="00F1AE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7.png"/><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xdr:cNvPicPr>
          <a:picLocks noChangeAspect="1"/>
        </xdr:cNvPicPr>
      </xdr:nvPicPr>
      <xdr:blipFill>
        <a:blip r:embed="rId1"/>
        <a:stretch>
          <a:fillRect/>
        </a:stretch>
      </xdr:blipFill>
      <xdr:spPr>
        <a:xfrm>
          <a:off x="497840" y="12106910"/>
          <a:ext cx="9248775" cy="1400175"/>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xdr:cNvPicPr>
          <a:picLocks noChangeAspect="1"/>
        </xdr:cNvPicPr>
      </xdr:nvPicPr>
      <xdr:blipFill>
        <a:blip r:embed="rId2">
          <a:extLst>
            <a:ext uri="{96DAC541-7B7A-43D3-8B79-37D633B846F1}">
              <asvg:svgBlip xmlns:asvg="http://schemas.microsoft.com/office/drawing/2016/SVG/main" r:embed="rId3"/>
            </a:ext>
          </a:extLst>
        </a:blip>
        <a:stretch>
          <a:fillRect/>
        </a:stretch>
      </xdr:blipFill>
      <xdr:spPr>
        <a:xfrm>
          <a:off x="314325" y="1771650"/>
          <a:ext cx="662305" cy="6464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1269856</xdr:colOff>
      <xdr:row>0</xdr:row>
      <xdr:rowOff>173629</xdr:rowOff>
    </xdr:from>
    <xdr:to>
      <xdr:col>20</xdr:col>
      <xdr:colOff>20902</xdr:colOff>
      <xdr:row>3</xdr:row>
      <xdr:rowOff>166549</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2316460" y="173355"/>
          <a:ext cx="1443355" cy="694055"/>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xdr:cNvPicPr>
          <a:picLocks noChangeAspect="1"/>
        </xdr:cNvPicPr>
      </xdr:nvPicPr>
      <xdr:blipFill>
        <a:blip r:embed="rId2">
          <a:extLst>
            <a:ext uri="{96DAC541-7B7A-43D3-8B79-37D633B846F1}">
              <asvg:svgBlip xmlns:asvg="http://schemas.microsoft.com/office/drawing/2016/SVG/main" r:embed="rId3"/>
            </a:ext>
          </a:extLst>
        </a:blip>
        <a:stretch>
          <a:fillRect/>
        </a:stretch>
      </xdr:blipFill>
      <xdr:spPr>
        <a:xfrm>
          <a:off x="220980" y="10250805"/>
          <a:ext cx="939800" cy="857885"/>
        </a:xfrm>
        <a:prstGeom prst="rect">
          <a:avLst/>
        </a:prstGeom>
      </xdr:spPr>
    </xdr:pic>
    <xdr:clientData/>
  </xdr:twoCellAnchor>
  <xdr:twoCellAnchor editAs="absolute">
    <xdr:from>
      <xdr:col>1</xdr:col>
      <xdr:colOff>7150</xdr:colOff>
      <xdr:row>1</xdr:row>
      <xdr:rowOff>0</xdr:rowOff>
    </xdr:from>
    <xdr:to>
      <xdr:col>2</xdr:col>
      <xdr:colOff>540540</xdr:colOff>
      <xdr:row>4</xdr:row>
      <xdr:rowOff>90960</xdr:rowOff>
    </xdr:to>
    <xdr:pic>
      <xdr:nvPicPr>
        <xdr:cNvPr id="5" name="Picture 4"/>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255905" y="190500"/>
          <a:ext cx="782320" cy="79184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4056995" y="175260"/>
          <a:ext cx="1996440" cy="936625"/>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7" name="Picture 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48920" y="175260"/>
          <a:ext cx="1257300" cy="1238885"/>
        </a:xfrm>
        <a:prstGeom prst="rect">
          <a:avLst/>
        </a:prstGeom>
      </xdr:spPr>
    </xdr:pic>
    <xdr:clientData/>
  </xdr:twoCellAnchor>
  <xdr:twoCellAnchor>
    <xdr:from>
      <xdr:col>3</xdr:col>
      <xdr:colOff>0</xdr:colOff>
      <xdr:row>118</xdr:row>
      <xdr:rowOff>9</xdr:rowOff>
    </xdr:from>
    <xdr:to>
      <xdr:col>7</xdr:col>
      <xdr:colOff>237369</xdr:colOff>
      <xdr:row>118</xdr:row>
      <xdr:rowOff>306924</xdr:rowOff>
    </xdr:to>
    <xdr:sp>
      <xdr:nvSpPr>
        <xdr:cNvPr id="12" name="TextBox 11"/>
        <xdr:cNvSpPr txBox="1"/>
      </xdr:nvSpPr>
      <xdr:spPr>
        <a:xfrm>
          <a:off x="3009900" y="7987030"/>
          <a:ext cx="143319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endParaRPr lang="en-US" sz="1100" b="1">
            <a:ln>
              <a:noFill/>
            </a:ln>
            <a:latin typeface="Arial Narrow" panose="020B0606020202030204" pitchFamily="34" charset="0"/>
          </a:endParaRPr>
        </a:p>
      </xdr:txBody>
    </xdr:sp>
    <xdr:clientData/>
  </xdr:twoCellAnchor>
  <xdr:twoCellAnchor>
    <xdr:from>
      <xdr:col>3</xdr:col>
      <xdr:colOff>275167</xdr:colOff>
      <xdr:row>118</xdr:row>
      <xdr:rowOff>306921</xdr:rowOff>
    </xdr:from>
    <xdr:to>
      <xdr:col>11</xdr:col>
      <xdr:colOff>173114</xdr:colOff>
      <xdr:row>118</xdr:row>
      <xdr:rowOff>740839</xdr:rowOff>
    </xdr:to>
    <xdr:sp>
      <xdr:nvSpPr>
        <xdr:cNvPr id="13" name="TextBox 12"/>
        <xdr:cNvSpPr txBox="1"/>
      </xdr:nvSpPr>
      <xdr:spPr>
        <a:xfrm>
          <a:off x="3284855" y="8293735"/>
          <a:ext cx="2290445" cy="43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endParaRPr lang="en-US" sz="1100" b="1">
            <a:ln>
              <a:noFill/>
            </a:ln>
            <a:latin typeface="Arial Narrow" panose="020B0606020202030204" pitchFamily="34" charset="0"/>
          </a:endParaRPr>
        </a:p>
        <a:p>
          <a:pPr algn="ctr"/>
          <a:r>
            <a:rPr lang="en-US" sz="1100" b="0">
              <a:ln>
                <a:noFill/>
              </a:ln>
              <a:latin typeface="Arial Narrow" panose="020B0606020202030204" pitchFamily="34" charset="0"/>
            </a:rPr>
            <a:t>Teacher I</a:t>
          </a:r>
          <a:endParaRPr lang="en-US" sz="1100" b="0">
            <a:ln>
              <a:noFill/>
            </a:ln>
            <a:latin typeface="Arial Narrow" panose="020B0606020202030204" pitchFamily="34" charset="0"/>
          </a:endParaRPr>
        </a:p>
      </xdr:txBody>
    </xdr:sp>
    <xdr:clientData/>
  </xdr:twoCellAnchor>
  <xdr:twoCellAnchor>
    <xdr:from>
      <xdr:col>17</xdr:col>
      <xdr:colOff>262319</xdr:colOff>
      <xdr:row>118</xdr:row>
      <xdr:rowOff>5291</xdr:rowOff>
    </xdr:from>
    <xdr:to>
      <xdr:col>22</xdr:col>
      <xdr:colOff>191259</xdr:colOff>
      <xdr:row>118</xdr:row>
      <xdr:rowOff>312206</xdr:rowOff>
    </xdr:to>
    <xdr:sp>
      <xdr:nvSpPr>
        <xdr:cNvPr id="14" name="TextBox 13"/>
        <xdr:cNvSpPr txBox="1"/>
      </xdr:nvSpPr>
      <xdr:spPr>
        <a:xfrm>
          <a:off x="7926070" y="7992110"/>
          <a:ext cx="142430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endParaRPr lang="en-US" sz="1100" b="1">
            <a:ln>
              <a:noFill/>
            </a:ln>
            <a:latin typeface="Arial Narrow" panose="020B0606020202030204" pitchFamily="34" charset="0"/>
          </a:endParaRPr>
        </a:p>
      </xdr:txBody>
    </xdr:sp>
    <xdr:clientData/>
  </xdr:twoCellAnchor>
  <xdr:twoCellAnchor>
    <xdr:from>
      <xdr:col>18</xdr:col>
      <xdr:colOff>229059</xdr:colOff>
      <xdr:row>118</xdr:row>
      <xdr:rowOff>328090</xdr:rowOff>
    </xdr:from>
    <xdr:to>
      <xdr:col>25</xdr:col>
      <xdr:colOff>207891</xdr:colOff>
      <xdr:row>118</xdr:row>
      <xdr:rowOff>825499</xdr:rowOff>
    </xdr:to>
    <xdr:sp>
      <xdr:nvSpPr>
        <xdr:cNvPr id="15" name="TextBox 14"/>
        <xdr:cNvSpPr txBox="1"/>
      </xdr:nvSpPr>
      <xdr:spPr>
        <a:xfrm>
          <a:off x="8191500" y="8314690"/>
          <a:ext cx="2072640" cy="497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endParaRPr lang="en-US" sz="1100" b="0">
            <a:ln>
              <a:noFill/>
            </a:ln>
            <a:latin typeface="Arial Narrow" panose="020B0606020202030204" pitchFamily="34" charset="0"/>
          </a:endParaRPr>
        </a:p>
      </xdr:txBody>
    </xdr:sp>
    <xdr:clientData/>
  </xdr:twoCellAnchor>
  <xdr:twoCellAnchor>
    <xdr:from>
      <xdr:col>34</xdr:col>
      <xdr:colOff>253995</xdr:colOff>
      <xdr:row>118</xdr:row>
      <xdr:rowOff>0</xdr:rowOff>
    </xdr:from>
    <xdr:to>
      <xdr:col>37</xdr:col>
      <xdr:colOff>337150</xdr:colOff>
      <xdr:row>118</xdr:row>
      <xdr:rowOff>306915</xdr:rowOff>
    </xdr:to>
    <xdr:sp>
      <xdr:nvSpPr>
        <xdr:cNvPr id="16" name="TextBox 15"/>
        <xdr:cNvSpPr txBox="1"/>
      </xdr:nvSpPr>
      <xdr:spPr>
        <a:xfrm>
          <a:off x="13779500" y="7987030"/>
          <a:ext cx="144716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endParaRPr lang="en-US" sz="1100" b="1">
            <a:ln>
              <a:noFill/>
            </a:ln>
            <a:latin typeface="Arial Narrow" panose="020B0606020202030204" pitchFamily="34" charset="0"/>
          </a:endParaRPr>
        </a:p>
      </xdr:txBody>
    </xdr:sp>
    <xdr:clientData/>
  </xdr:twoCellAnchor>
  <xdr:twoCellAnchor>
    <xdr:from>
      <xdr:col>35</xdr:col>
      <xdr:colOff>66520</xdr:colOff>
      <xdr:row>118</xdr:row>
      <xdr:rowOff>322802</xdr:rowOff>
    </xdr:from>
    <xdr:to>
      <xdr:col>39</xdr:col>
      <xdr:colOff>63495</xdr:colOff>
      <xdr:row>119</xdr:row>
      <xdr:rowOff>0</xdr:rowOff>
    </xdr:to>
    <xdr:sp>
      <xdr:nvSpPr>
        <xdr:cNvPr id="17" name="TextBox 16"/>
        <xdr:cNvSpPr txBox="1"/>
      </xdr:nvSpPr>
      <xdr:spPr>
        <a:xfrm>
          <a:off x="14046835" y="8309610"/>
          <a:ext cx="2089785"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endParaRPr lang="en-US" sz="1100" b="0">
            <a:ln>
              <a:noFill/>
            </a:ln>
            <a:latin typeface="Arial Narrow" panose="020B0606020202030204" pitchFamily="3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4056995" y="175260"/>
          <a:ext cx="1996440" cy="936625"/>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48920" y="175260"/>
          <a:ext cx="1257300" cy="1238885"/>
        </a:xfrm>
        <a:prstGeom prst="rect">
          <a:avLst/>
        </a:prstGeom>
      </xdr:spPr>
    </xdr:pic>
    <xdr:clientData/>
  </xdr:twoCellAnchor>
  <xdr:twoCellAnchor>
    <xdr:from>
      <xdr:col>3</xdr:col>
      <xdr:colOff>0</xdr:colOff>
      <xdr:row>118</xdr:row>
      <xdr:rowOff>9</xdr:rowOff>
    </xdr:from>
    <xdr:to>
      <xdr:col>7</xdr:col>
      <xdr:colOff>245907</xdr:colOff>
      <xdr:row>118</xdr:row>
      <xdr:rowOff>306924</xdr:rowOff>
    </xdr:to>
    <xdr:sp>
      <xdr:nvSpPr>
        <xdr:cNvPr id="4" name="TextBox 3"/>
        <xdr:cNvSpPr txBox="1"/>
      </xdr:nvSpPr>
      <xdr:spPr>
        <a:xfrm>
          <a:off x="3009900" y="8115300"/>
          <a:ext cx="144208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endParaRPr lang="en-US" sz="1100" b="1">
            <a:ln>
              <a:noFill/>
            </a:ln>
            <a:latin typeface="Arial Narrow" panose="020B0606020202030204" pitchFamily="34" charset="0"/>
          </a:endParaRPr>
        </a:p>
      </xdr:txBody>
    </xdr:sp>
    <xdr:clientData/>
  </xdr:twoCellAnchor>
  <xdr:twoCellAnchor>
    <xdr:from>
      <xdr:col>3</xdr:col>
      <xdr:colOff>275167</xdr:colOff>
      <xdr:row>118</xdr:row>
      <xdr:rowOff>306921</xdr:rowOff>
    </xdr:from>
    <xdr:to>
      <xdr:col>11</xdr:col>
      <xdr:colOff>190189</xdr:colOff>
      <xdr:row>1048575</xdr:row>
      <xdr:rowOff>83427</xdr:rowOff>
    </xdr:to>
    <xdr:sp>
      <xdr:nvSpPr>
        <xdr:cNvPr id="5" name="TextBox 4"/>
        <xdr:cNvSpPr txBox="1"/>
      </xdr:nvSpPr>
      <xdr:spPr>
        <a:xfrm>
          <a:off x="3284855" y="8422005"/>
          <a:ext cx="2307590" cy="461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endParaRPr lang="en-US" sz="1100" b="1">
            <a:ln>
              <a:noFill/>
            </a:ln>
            <a:latin typeface="Arial Narrow" panose="020B0606020202030204" pitchFamily="34" charset="0"/>
          </a:endParaRPr>
        </a:p>
        <a:p>
          <a:pPr algn="ctr"/>
          <a:r>
            <a:rPr lang="en-US" sz="1100" b="0">
              <a:ln>
                <a:noFill/>
              </a:ln>
              <a:latin typeface="Arial Narrow" panose="020B0606020202030204" pitchFamily="34" charset="0"/>
            </a:rPr>
            <a:t>Teacher I</a:t>
          </a:r>
          <a:endParaRPr lang="en-US" sz="1100" b="0">
            <a:ln>
              <a:noFill/>
            </a:ln>
            <a:latin typeface="Arial Narrow" panose="020B0606020202030204" pitchFamily="34" charset="0"/>
          </a:endParaRPr>
        </a:p>
      </xdr:txBody>
    </xdr:sp>
    <xdr:clientData/>
  </xdr:twoCellAnchor>
  <xdr:twoCellAnchor>
    <xdr:from>
      <xdr:col>17</xdr:col>
      <xdr:colOff>284198</xdr:colOff>
      <xdr:row>118</xdr:row>
      <xdr:rowOff>5291</xdr:rowOff>
    </xdr:from>
    <xdr:to>
      <xdr:col>22</xdr:col>
      <xdr:colOff>223810</xdr:colOff>
      <xdr:row>118</xdr:row>
      <xdr:rowOff>312206</xdr:rowOff>
    </xdr:to>
    <xdr:sp>
      <xdr:nvSpPr>
        <xdr:cNvPr id="6" name="TextBox 5"/>
        <xdr:cNvSpPr txBox="1"/>
      </xdr:nvSpPr>
      <xdr:spPr>
        <a:xfrm>
          <a:off x="7947660" y="8120380"/>
          <a:ext cx="143510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endParaRPr lang="en-US" sz="1100" b="1">
            <a:ln>
              <a:noFill/>
            </a:ln>
            <a:latin typeface="Arial Narrow" panose="020B0606020202030204" pitchFamily="34" charset="0"/>
          </a:endParaRPr>
        </a:p>
      </xdr:txBody>
    </xdr:sp>
    <xdr:clientData/>
  </xdr:twoCellAnchor>
  <xdr:twoCellAnchor>
    <xdr:from>
      <xdr:col>18</xdr:col>
      <xdr:colOff>253071</xdr:colOff>
      <xdr:row>118</xdr:row>
      <xdr:rowOff>328090</xdr:rowOff>
    </xdr:from>
    <xdr:to>
      <xdr:col>25</xdr:col>
      <xdr:colOff>246845</xdr:colOff>
      <xdr:row>1048575</xdr:row>
      <xdr:rowOff>168087</xdr:rowOff>
    </xdr:to>
    <xdr:sp>
      <xdr:nvSpPr>
        <xdr:cNvPr id="7" name="TextBox 6"/>
        <xdr:cNvSpPr txBox="1"/>
      </xdr:nvSpPr>
      <xdr:spPr>
        <a:xfrm>
          <a:off x="8215630" y="8442960"/>
          <a:ext cx="2087245" cy="440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endParaRPr lang="en-US" sz="1100" b="0">
            <a:ln>
              <a:noFill/>
            </a:ln>
            <a:latin typeface="Arial Narrow" panose="020B0606020202030204" pitchFamily="34" charset="0"/>
          </a:endParaRPr>
        </a:p>
      </xdr:txBody>
    </xdr:sp>
    <xdr:clientData/>
  </xdr:twoCellAnchor>
  <xdr:twoCellAnchor>
    <xdr:from>
      <xdr:col>30</xdr:col>
      <xdr:colOff>149402</xdr:colOff>
      <xdr:row>118</xdr:row>
      <xdr:rowOff>0</xdr:rowOff>
    </xdr:from>
    <xdr:to>
      <xdr:col>34</xdr:col>
      <xdr:colOff>81544</xdr:colOff>
      <xdr:row>118</xdr:row>
      <xdr:rowOff>306915</xdr:rowOff>
    </xdr:to>
    <xdr:sp>
      <xdr:nvSpPr>
        <xdr:cNvPr id="8" name="TextBox 7"/>
        <xdr:cNvSpPr txBox="1"/>
      </xdr:nvSpPr>
      <xdr:spPr>
        <a:xfrm>
          <a:off x="12167870" y="8115300"/>
          <a:ext cx="143954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endParaRPr lang="en-US" sz="1100" b="1">
            <a:ln>
              <a:noFill/>
            </a:ln>
            <a:latin typeface="Arial Narrow" panose="020B0606020202030204" pitchFamily="34" charset="0"/>
          </a:endParaRPr>
        </a:p>
      </xdr:txBody>
    </xdr:sp>
    <xdr:clientData/>
  </xdr:twoCellAnchor>
  <xdr:twoCellAnchor>
    <xdr:from>
      <xdr:col>31</xdr:col>
      <xdr:colOff>118276</xdr:colOff>
      <xdr:row>118</xdr:row>
      <xdr:rowOff>255252</xdr:rowOff>
    </xdr:from>
    <xdr:to>
      <xdr:col>36</xdr:col>
      <xdr:colOff>97108</xdr:colOff>
      <xdr:row>119</xdr:row>
      <xdr:rowOff>0</xdr:rowOff>
    </xdr:to>
    <xdr:sp>
      <xdr:nvSpPr>
        <xdr:cNvPr id="9" name="TextBox 8"/>
        <xdr:cNvSpPr txBox="1"/>
      </xdr:nvSpPr>
      <xdr:spPr>
        <a:xfrm>
          <a:off x="12435840" y="8369935"/>
          <a:ext cx="2096135" cy="513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endParaRPr lang="en-US" sz="1100" b="0">
            <a:ln>
              <a:noFill/>
            </a:ln>
            <a:latin typeface="Arial Narrow" panose="020B0606020202030204" pitchFamily="34" charset="0"/>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4056995" y="175260"/>
          <a:ext cx="1996440" cy="936625"/>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48920" y="175260"/>
          <a:ext cx="1257300" cy="1238885"/>
        </a:xfrm>
        <a:prstGeom prst="rect">
          <a:avLst/>
        </a:prstGeom>
      </xdr:spPr>
    </xdr:pic>
    <xdr:clientData/>
  </xdr:twoCellAnchor>
  <xdr:twoCellAnchor>
    <xdr:from>
      <xdr:col>3</xdr:col>
      <xdr:colOff>0</xdr:colOff>
      <xdr:row>118</xdr:row>
      <xdr:rowOff>9</xdr:rowOff>
    </xdr:from>
    <xdr:to>
      <xdr:col>7</xdr:col>
      <xdr:colOff>245907</xdr:colOff>
      <xdr:row>118</xdr:row>
      <xdr:rowOff>306924</xdr:rowOff>
    </xdr:to>
    <xdr:sp>
      <xdr:nvSpPr>
        <xdr:cNvPr id="4" name="TextBox 3"/>
        <xdr:cNvSpPr txBox="1"/>
      </xdr:nvSpPr>
      <xdr:spPr>
        <a:xfrm>
          <a:off x="3009900" y="8115300"/>
          <a:ext cx="144208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endParaRPr lang="en-US" sz="1100" b="1">
            <a:ln>
              <a:noFill/>
            </a:ln>
            <a:latin typeface="Arial Narrow" panose="020B0606020202030204" pitchFamily="34" charset="0"/>
          </a:endParaRPr>
        </a:p>
      </xdr:txBody>
    </xdr:sp>
    <xdr:clientData/>
  </xdr:twoCellAnchor>
  <xdr:twoCellAnchor>
    <xdr:from>
      <xdr:col>3</xdr:col>
      <xdr:colOff>275167</xdr:colOff>
      <xdr:row>118</xdr:row>
      <xdr:rowOff>306921</xdr:rowOff>
    </xdr:from>
    <xdr:to>
      <xdr:col>11</xdr:col>
      <xdr:colOff>190189</xdr:colOff>
      <xdr:row>1048575</xdr:row>
      <xdr:rowOff>83427</xdr:rowOff>
    </xdr:to>
    <xdr:sp>
      <xdr:nvSpPr>
        <xdr:cNvPr id="5" name="TextBox 4"/>
        <xdr:cNvSpPr txBox="1"/>
      </xdr:nvSpPr>
      <xdr:spPr>
        <a:xfrm>
          <a:off x="3284855" y="8422005"/>
          <a:ext cx="2307590" cy="506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endParaRPr lang="en-US" sz="1100" b="1">
            <a:ln>
              <a:noFill/>
            </a:ln>
            <a:latin typeface="Arial Narrow" panose="020B0606020202030204" pitchFamily="34" charset="0"/>
          </a:endParaRPr>
        </a:p>
        <a:p>
          <a:pPr algn="ctr"/>
          <a:r>
            <a:rPr lang="en-US" sz="1100" b="0">
              <a:ln>
                <a:noFill/>
              </a:ln>
              <a:latin typeface="Arial Narrow" panose="020B0606020202030204" pitchFamily="34" charset="0"/>
            </a:rPr>
            <a:t>Teacher I</a:t>
          </a:r>
          <a:endParaRPr lang="en-US" sz="1100" b="0">
            <a:ln>
              <a:noFill/>
            </a:ln>
            <a:latin typeface="Arial Narrow" panose="020B0606020202030204" pitchFamily="34" charset="0"/>
          </a:endParaRPr>
        </a:p>
      </xdr:txBody>
    </xdr:sp>
    <xdr:clientData/>
  </xdr:twoCellAnchor>
  <xdr:twoCellAnchor>
    <xdr:from>
      <xdr:col>17</xdr:col>
      <xdr:colOff>284198</xdr:colOff>
      <xdr:row>118</xdr:row>
      <xdr:rowOff>5291</xdr:rowOff>
    </xdr:from>
    <xdr:to>
      <xdr:col>22</xdr:col>
      <xdr:colOff>223810</xdr:colOff>
      <xdr:row>118</xdr:row>
      <xdr:rowOff>312206</xdr:rowOff>
    </xdr:to>
    <xdr:sp>
      <xdr:nvSpPr>
        <xdr:cNvPr id="6" name="TextBox 5"/>
        <xdr:cNvSpPr txBox="1"/>
      </xdr:nvSpPr>
      <xdr:spPr>
        <a:xfrm>
          <a:off x="7947660" y="8120380"/>
          <a:ext cx="143510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endParaRPr lang="en-US" sz="1100" b="1">
            <a:ln>
              <a:noFill/>
            </a:ln>
            <a:latin typeface="Arial Narrow" panose="020B0606020202030204" pitchFamily="34" charset="0"/>
          </a:endParaRPr>
        </a:p>
      </xdr:txBody>
    </xdr:sp>
    <xdr:clientData/>
  </xdr:twoCellAnchor>
  <xdr:twoCellAnchor>
    <xdr:from>
      <xdr:col>18</xdr:col>
      <xdr:colOff>253071</xdr:colOff>
      <xdr:row>118</xdr:row>
      <xdr:rowOff>328090</xdr:rowOff>
    </xdr:from>
    <xdr:to>
      <xdr:col>25</xdr:col>
      <xdr:colOff>246845</xdr:colOff>
      <xdr:row>1048575</xdr:row>
      <xdr:rowOff>168087</xdr:rowOff>
    </xdr:to>
    <xdr:sp>
      <xdr:nvSpPr>
        <xdr:cNvPr id="7" name="TextBox 6"/>
        <xdr:cNvSpPr txBox="1"/>
      </xdr:nvSpPr>
      <xdr:spPr>
        <a:xfrm>
          <a:off x="8215630" y="8442960"/>
          <a:ext cx="2087245" cy="48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endParaRPr lang="en-US" sz="1100" b="0">
            <a:ln>
              <a:noFill/>
            </a:ln>
            <a:latin typeface="Arial Narrow" panose="020B0606020202030204" pitchFamily="34" charset="0"/>
          </a:endParaRPr>
        </a:p>
      </xdr:txBody>
    </xdr:sp>
    <xdr:clientData/>
  </xdr:twoCellAnchor>
  <xdr:twoCellAnchor>
    <xdr:from>
      <xdr:col>30</xdr:col>
      <xdr:colOff>156875</xdr:colOff>
      <xdr:row>118</xdr:row>
      <xdr:rowOff>0</xdr:rowOff>
    </xdr:from>
    <xdr:to>
      <xdr:col>34</xdr:col>
      <xdr:colOff>89017</xdr:colOff>
      <xdr:row>118</xdr:row>
      <xdr:rowOff>306915</xdr:rowOff>
    </xdr:to>
    <xdr:sp>
      <xdr:nvSpPr>
        <xdr:cNvPr id="8" name="TextBox 7"/>
        <xdr:cNvSpPr txBox="1"/>
      </xdr:nvSpPr>
      <xdr:spPr>
        <a:xfrm>
          <a:off x="12175490" y="8115300"/>
          <a:ext cx="143954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endParaRPr lang="en-US" sz="1100" b="1">
            <a:ln>
              <a:noFill/>
            </a:ln>
            <a:latin typeface="Arial Narrow" panose="020B0606020202030204" pitchFamily="34" charset="0"/>
          </a:endParaRPr>
        </a:p>
      </xdr:txBody>
    </xdr:sp>
    <xdr:clientData/>
  </xdr:twoCellAnchor>
  <xdr:twoCellAnchor>
    <xdr:from>
      <xdr:col>31</xdr:col>
      <xdr:colOff>125749</xdr:colOff>
      <xdr:row>118</xdr:row>
      <xdr:rowOff>277665</xdr:rowOff>
    </xdr:from>
    <xdr:to>
      <xdr:col>36</xdr:col>
      <xdr:colOff>112059</xdr:colOff>
      <xdr:row>118</xdr:row>
      <xdr:rowOff>717179</xdr:rowOff>
    </xdr:to>
    <xdr:sp>
      <xdr:nvSpPr>
        <xdr:cNvPr id="9" name="TextBox 8"/>
        <xdr:cNvSpPr txBox="1"/>
      </xdr:nvSpPr>
      <xdr:spPr>
        <a:xfrm>
          <a:off x="12443460" y="8392795"/>
          <a:ext cx="2103755" cy="43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endParaRPr lang="en-US" sz="1100" b="0">
            <a:ln>
              <a:noFill/>
            </a:ln>
            <a:latin typeface="Arial Narrow" panose="020B0606020202030204" pitchFamily="34" charset="0"/>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185910" y="175260"/>
          <a:ext cx="1289050" cy="671830"/>
        </a:xfrm>
        <a:prstGeom prst="rect">
          <a:avLst/>
        </a:prstGeom>
      </xdr:spPr>
    </xdr:pic>
    <xdr:clientData/>
  </xdr:twoCellAnchor>
  <xdr:twoCellAnchor editAs="absolute">
    <xdr:from>
      <xdr:col>1</xdr:col>
      <xdr:colOff>0</xdr:colOff>
      <xdr:row>1</xdr:row>
      <xdr:rowOff>0</xdr:rowOff>
    </xdr:from>
    <xdr:to>
      <xdr:col>2</xdr:col>
      <xdr:colOff>1008540</xdr:colOff>
      <xdr:row>6</xdr:row>
      <xdr:rowOff>139860</xdr:rowOff>
    </xdr:to>
    <xdr:pic>
      <xdr:nvPicPr>
        <xdr:cNvPr id="6" name="Picture 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48920" y="175260"/>
          <a:ext cx="1257300" cy="1259840"/>
        </a:xfrm>
        <a:prstGeom prst="rect">
          <a:avLst/>
        </a:prstGeom>
      </xdr:spPr>
    </xdr:pic>
    <xdr:clientData/>
  </xdr:twoCellAnchor>
  <xdr:twoCellAnchor>
    <xdr:from>
      <xdr:col>3</xdr:col>
      <xdr:colOff>0</xdr:colOff>
      <xdr:row>124</xdr:row>
      <xdr:rowOff>190521</xdr:rowOff>
    </xdr:from>
    <xdr:to>
      <xdr:col>3</xdr:col>
      <xdr:colOff>1471083</xdr:colOff>
      <xdr:row>124</xdr:row>
      <xdr:rowOff>497436</xdr:rowOff>
    </xdr:to>
    <xdr:sp>
      <xdr:nvSpPr>
        <xdr:cNvPr id="4" name="TextBox 3"/>
        <xdr:cNvSpPr txBox="1"/>
      </xdr:nvSpPr>
      <xdr:spPr>
        <a:xfrm>
          <a:off x="1569720" y="9698355"/>
          <a:ext cx="147066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PREPARED BY:</a:t>
          </a:r>
          <a:endParaRPr lang="en-US" sz="1100" b="1">
            <a:ln>
              <a:noFill/>
            </a:ln>
            <a:latin typeface="Arial Narrow" panose="020B0606020202030204" pitchFamily="34" charset="0"/>
          </a:endParaRPr>
        </a:p>
      </xdr:txBody>
    </xdr:sp>
    <xdr:clientData/>
  </xdr:twoCellAnchor>
  <xdr:twoCellAnchor>
    <xdr:from>
      <xdr:col>3</xdr:col>
      <xdr:colOff>275167</xdr:colOff>
      <xdr:row>124</xdr:row>
      <xdr:rowOff>497433</xdr:rowOff>
    </xdr:from>
    <xdr:to>
      <xdr:col>4</xdr:col>
      <xdr:colOff>340431</xdr:colOff>
      <xdr:row>124</xdr:row>
      <xdr:rowOff>931351</xdr:rowOff>
    </xdr:to>
    <xdr:sp>
      <xdr:nvSpPr>
        <xdr:cNvPr id="7" name="TextBox 6"/>
        <xdr:cNvSpPr txBox="1"/>
      </xdr:nvSpPr>
      <xdr:spPr>
        <a:xfrm>
          <a:off x="1844675" y="10005060"/>
          <a:ext cx="2322195" cy="43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KAREN P. GONZAGA LPT, MAED</a:t>
          </a:r>
          <a:endParaRPr lang="en-US" sz="1100" b="1">
            <a:ln>
              <a:noFill/>
            </a:ln>
            <a:latin typeface="Arial Narrow" panose="020B0606020202030204" pitchFamily="34" charset="0"/>
          </a:endParaRPr>
        </a:p>
        <a:p>
          <a:pPr algn="ctr"/>
          <a:r>
            <a:rPr lang="en-US" sz="1100" b="0">
              <a:ln>
                <a:noFill/>
              </a:ln>
              <a:latin typeface="Arial Narrow" panose="020B0606020202030204" pitchFamily="34" charset="0"/>
            </a:rPr>
            <a:t>Teacher I</a:t>
          </a:r>
          <a:endParaRPr lang="en-US" sz="1100" b="0">
            <a:ln>
              <a:noFill/>
            </a:ln>
            <a:latin typeface="Arial Narrow" panose="020B0606020202030204" pitchFamily="34" charset="0"/>
          </a:endParaRPr>
        </a:p>
      </xdr:txBody>
    </xdr:sp>
    <xdr:clientData/>
  </xdr:twoCellAnchor>
  <xdr:twoCellAnchor>
    <xdr:from>
      <xdr:col>5</xdr:col>
      <xdr:colOff>493540</xdr:colOff>
      <xdr:row>124</xdr:row>
      <xdr:rowOff>195803</xdr:rowOff>
    </xdr:from>
    <xdr:to>
      <xdr:col>6</xdr:col>
      <xdr:colOff>871012</xdr:colOff>
      <xdr:row>124</xdr:row>
      <xdr:rowOff>502718</xdr:rowOff>
    </xdr:to>
    <xdr:sp>
      <xdr:nvSpPr>
        <xdr:cNvPr id="8" name="TextBox 7"/>
        <xdr:cNvSpPr txBox="1"/>
      </xdr:nvSpPr>
      <xdr:spPr>
        <a:xfrm>
          <a:off x="5391785" y="9703435"/>
          <a:ext cx="144907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CHECKED BY:</a:t>
          </a:r>
          <a:endParaRPr lang="en-US" sz="1100" b="1">
            <a:ln>
              <a:noFill/>
            </a:ln>
            <a:latin typeface="Arial Narrow" panose="020B0606020202030204" pitchFamily="34" charset="0"/>
          </a:endParaRPr>
        </a:p>
      </xdr:txBody>
    </xdr:sp>
    <xdr:clientData/>
  </xdr:twoCellAnchor>
  <xdr:twoCellAnchor>
    <xdr:from>
      <xdr:col>5</xdr:col>
      <xdr:colOff>399346</xdr:colOff>
      <xdr:row>124</xdr:row>
      <xdr:rowOff>518603</xdr:rowOff>
    </xdr:from>
    <xdr:to>
      <xdr:col>7</xdr:col>
      <xdr:colOff>349955</xdr:colOff>
      <xdr:row>124</xdr:row>
      <xdr:rowOff>931351</xdr:rowOff>
    </xdr:to>
    <xdr:sp>
      <xdr:nvSpPr>
        <xdr:cNvPr id="9" name="TextBox 8"/>
        <xdr:cNvSpPr txBox="1"/>
      </xdr:nvSpPr>
      <xdr:spPr>
        <a:xfrm>
          <a:off x="5297170" y="10026015"/>
          <a:ext cx="2094865"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BRYAN ANTHONY O. SARIO</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Head Teacher II</a:t>
          </a:r>
          <a:endParaRPr lang="en-US" sz="1100" b="0">
            <a:ln>
              <a:noFill/>
            </a:ln>
            <a:latin typeface="Arial Narrow" panose="020B0606020202030204" pitchFamily="34" charset="0"/>
          </a:endParaRPr>
        </a:p>
      </xdr:txBody>
    </xdr:sp>
    <xdr:clientData/>
  </xdr:twoCellAnchor>
  <xdr:twoCellAnchor>
    <xdr:from>
      <xdr:col>7</xdr:col>
      <xdr:colOff>864305</xdr:colOff>
      <xdr:row>124</xdr:row>
      <xdr:rowOff>190512</xdr:rowOff>
    </xdr:from>
    <xdr:to>
      <xdr:col>8</xdr:col>
      <xdr:colOff>843844</xdr:colOff>
      <xdr:row>124</xdr:row>
      <xdr:rowOff>497427</xdr:rowOff>
    </xdr:to>
    <xdr:sp>
      <xdr:nvSpPr>
        <xdr:cNvPr id="10" name="TextBox 9"/>
        <xdr:cNvSpPr txBox="1"/>
      </xdr:nvSpPr>
      <xdr:spPr>
        <a:xfrm flipH="1">
          <a:off x="7906385" y="9698355"/>
          <a:ext cx="1050925"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NOTED BY:</a:t>
          </a:r>
          <a:endParaRPr lang="en-US" sz="1100" b="1">
            <a:ln>
              <a:noFill/>
            </a:ln>
            <a:latin typeface="Arial Narrow" panose="020B0606020202030204" pitchFamily="34" charset="0"/>
          </a:endParaRPr>
        </a:p>
      </xdr:txBody>
    </xdr:sp>
    <xdr:clientData/>
  </xdr:twoCellAnchor>
  <xdr:twoCellAnchor>
    <xdr:from>
      <xdr:col>8</xdr:col>
      <xdr:colOff>151694</xdr:colOff>
      <xdr:row>124</xdr:row>
      <xdr:rowOff>513314</xdr:rowOff>
    </xdr:from>
    <xdr:to>
      <xdr:col>9</xdr:col>
      <xdr:colOff>480483</xdr:colOff>
      <xdr:row>124</xdr:row>
      <xdr:rowOff>926062</xdr:rowOff>
    </xdr:to>
    <xdr:sp>
      <xdr:nvSpPr>
        <xdr:cNvPr id="11" name="TextBox 10"/>
        <xdr:cNvSpPr txBox="1"/>
      </xdr:nvSpPr>
      <xdr:spPr>
        <a:xfrm>
          <a:off x="8265160" y="10020935"/>
          <a:ext cx="140081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latin typeface="Arial Narrow" panose="020B0606020202030204" pitchFamily="34" charset="0"/>
            </a:rPr>
            <a:t>SUSAN D. SAMSON</a:t>
          </a:r>
          <a:endParaRPr lang="en-US" sz="1100" b="1">
            <a:ln>
              <a:noFill/>
            </a:ln>
            <a:latin typeface="Arial Narrow" panose="020B0606020202030204" pitchFamily="34" charset="0"/>
          </a:endParaRPr>
        </a:p>
        <a:p>
          <a:r>
            <a:rPr lang="en-US" sz="1100" b="1" baseline="0">
              <a:ln>
                <a:noFill/>
              </a:ln>
              <a:latin typeface="Arial Narrow" panose="020B0606020202030204" pitchFamily="34" charset="0"/>
            </a:rPr>
            <a:t>          </a:t>
          </a:r>
          <a:r>
            <a:rPr lang="en-US" sz="1100" b="0">
              <a:ln>
                <a:noFill/>
              </a:ln>
              <a:latin typeface="Arial Narrow" panose="020B0606020202030204" pitchFamily="34" charset="0"/>
            </a:rPr>
            <a:t>Principal I</a:t>
          </a:r>
          <a:endParaRPr lang="en-US" sz="1100" b="0">
            <a:ln>
              <a:noFill/>
            </a:ln>
            <a:latin typeface="Arial Narrow" panose="020B060602020203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C00000"/>
    <pageSetUpPr fitToPage="1"/>
  </sheetPr>
  <dimension ref="A1:AB169"/>
  <sheetViews>
    <sheetView showGridLines="0" zoomScale="73" zoomScaleNormal="73" workbookViewId="0">
      <pane ySplit="3" topLeftCell="A26" activePane="bottomLeft" state="frozen"/>
      <selection/>
      <selection pane="bottomLeft" activeCell="V28" sqref="V28"/>
    </sheetView>
  </sheetViews>
  <sheetFormatPr defaultColWidth="0" defaultRowHeight="15.6" zeroHeight="1"/>
  <cols>
    <col min="1" max="2" width="3.62962962962963" style="2" customWidth="1"/>
    <col min="3" max="3" width="3.62962962962963" style="12" customWidth="1"/>
    <col min="4" max="4" width="3.62962962962963" style="599" customWidth="1"/>
    <col min="5" max="5" width="25.6296296296296" style="600" customWidth="1"/>
    <col min="6" max="6" width="3.62962962962963" style="600" customWidth="1"/>
    <col min="7" max="9" width="12.1759259259259" style="600" customWidth="1"/>
    <col min="10" max="12" width="3.62962962962963" style="2" customWidth="1"/>
    <col min="13" max="13" width="3.62962962962963" style="181" customWidth="1"/>
    <col min="14" max="17" width="3.62962962962963" style="2" customWidth="1"/>
    <col min="18" max="18" width="3.62962962962963" style="4" customWidth="1"/>
    <col min="19" max="20" width="3.62962962962963" style="17" customWidth="1"/>
    <col min="21" max="25" width="3.62962962962963" style="15" customWidth="1"/>
    <col min="26" max="28" width="3.62962962962963" style="2" customWidth="1"/>
    <col min="29" max="33" width="9.17592592592593" style="2" hidden="1" customWidth="1"/>
    <col min="34" max="44" width="0" style="2" hidden="1" customWidth="1"/>
    <col min="45" max="16384" width="9.17592592592593" style="2" hidden="1"/>
  </cols>
  <sheetData>
    <row r="1" ht="14.4" spans="1:28">
      <c r="A1" s="601"/>
      <c r="B1" s="601"/>
      <c r="C1" s="602"/>
      <c r="D1" s="603"/>
      <c r="E1" s="604"/>
      <c r="F1" s="604"/>
      <c r="G1" s="604"/>
      <c r="H1" s="604"/>
      <c r="I1" s="604"/>
      <c r="J1" s="605"/>
      <c r="K1" s="605"/>
      <c r="L1" s="605"/>
      <c r="M1" s="606"/>
      <c r="N1" s="605"/>
      <c r="O1" s="605"/>
      <c r="P1" s="605"/>
      <c r="Q1" s="605"/>
      <c r="R1" s="605"/>
      <c r="S1" s="607"/>
      <c r="T1" s="605"/>
      <c r="U1" s="608"/>
      <c r="V1" s="608"/>
      <c r="W1" s="608"/>
      <c r="X1" s="608"/>
      <c r="Y1" s="608"/>
      <c r="Z1" s="608"/>
      <c r="AA1" s="608"/>
      <c r="AB1" s="608"/>
    </row>
    <row r="2" ht="14.4" spans="1:28">
      <c r="A2" s="419"/>
      <c r="B2" s="609" t="s">
        <v>0</v>
      </c>
      <c r="C2" s="602"/>
      <c r="D2" s="603"/>
      <c r="E2" s="604"/>
      <c r="F2" s="604"/>
      <c r="G2" s="604"/>
      <c r="H2" s="604"/>
      <c r="I2" s="604"/>
      <c r="J2" s="605"/>
      <c r="K2" s="605"/>
      <c r="L2" s="605"/>
      <c r="M2" s="606"/>
      <c r="N2" s="605"/>
      <c r="O2" s="605"/>
      <c r="P2" s="605"/>
      <c r="Q2" s="605"/>
      <c r="R2" s="605"/>
      <c r="S2" s="607"/>
      <c r="T2" s="605"/>
      <c r="U2" s="608"/>
      <c r="V2" s="608"/>
      <c r="W2" s="608"/>
      <c r="X2" s="608"/>
      <c r="Y2" s="608"/>
      <c r="Z2" s="608"/>
      <c r="AA2" s="608"/>
      <c r="AB2" s="608"/>
    </row>
    <row r="3" ht="25.2" spans="1:28">
      <c r="A3" s="419"/>
      <c r="B3" s="610" t="s">
        <v>1</v>
      </c>
      <c r="C3" s="602"/>
      <c r="D3" s="603"/>
      <c r="E3" s="604"/>
      <c r="F3" s="604"/>
      <c r="G3" s="604"/>
      <c r="H3" s="604"/>
      <c r="I3" s="604"/>
      <c r="J3" s="605"/>
      <c r="K3" s="605"/>
      <c r="L3" s="605"/>
      <c r="M3" s="606"/>
      <c r="N3" s="605"/>
      <c r="O3" s="605"/>
      <c r="P3" s="605"/>
      <c r="Q3" s="605"/>
      <c r="R3" s="611"/>
      <c r="S3" s="607"/>
      <c r="T3" s="605"/>
      <c r="U3" s="608"/>
      <c r="V3" s="608"/>
      <c r="W3" s="608"/>
      <c r="X3" s="608"/>
      <c r="Y3" s="608"/>
      <c r="Z3" s="608"/>
      <c r="AA3" s="612"/>
      <c r="AB3" s="608"/>
    </row>
    <row r="4" ht="14.4" spans="1:28">
      <c r="A4" s="419"/>
      <c r="B4" s="613"/>
      <c r="C4" s="420"/>
      <c r="D4" s="420"/>
      <c r="E4" s="420"/>
      <c r="F4" s="420"/>
      <c r="G4" s="420"/>
      <c r="H4" s="420"/>
      <c r="I4" s="420"/>
      <c r="J4" s="605"/>
      <c r="K4" s="605"/>
      <c r="L4" s="605"/>
      <c r="M4" s="606"/>
      <c r="N4" s="605"/>
      <c r="O4" s="605"/>
      <c r="P4" s="605"/>
      <c r="Q4" s="605"/>
      <c r="R4" s="611"/>
      <c r="S4" s="607"/>
      <c r="T4" s="605"/>
      <c r="U4" s="608"/>
      <c r="V4" s="608"/>
      <c r="W4" s="608"/>
      <c r="X4" s="608"/>
      <c r="Y4" s="608"/>
      <c r="Z4" s="608"/>
      <c r="AA4" s="614"/>
      <c r="AB4" s="608"/>
    </row>
    <row r="5"/>
    <row r="6" ht="14.4" spans="1:28">
      <c r="B6" s="615"/>
      <c r="C6" s="616"/>
      <c r="D6" s="617"/>
      <c r="E6" s="618"/>
      <c r="F6" s="618"/>
      <c r="G6" s="618"/>
      <c r="H6" s="618"/>
      <c r="I6" s="618"/>
      <c r="J6" s="618"/>
      <c r="K6" s="619"/>
      <c r="L6" s="619"/>
      <c r="M6" s="619"/>
      <c r="N6" s="619"/>
      <c r="O6" s="619"/>
      <c r="P6" s="619"/>
      <c r="Q6" s="619"/>
      <c r="R6" s="619"/>
      <c r="S6" s="619"/>
      <c r="T6" s="619"/>
      <c r="U6" s="619"/>
      <c r="V6" s="619"/>
      <c r="W6" s="619"/>
      <c r="X6" s="619"/>
      <c r="Y6" s="619"/>
      <c r="Z6" s="619"/>
      <c r="AA6" s="620"/>
    </row>
    <row r="7" ht="23.4" spans="1:28">
      <c r="B7" s="621"/>
      <c r="C7" s="622">
        <v>1</v>
      </c>
      <c r="D7" s="623" t="s">
        <v>2</v>
      </c>
      <c r="E7" s="624"/>
      <c r="F7" s="624"/>
      <c r="G7" s="624"/>
      <c r="H7" s="624"/>
      <c r="I7" s="624"/>
      <c r="J7" s="624"/>
      <c r="K7" s="625"/>
      <c r="L7" s="625"/>
      <c r="M7" s="625"/>
      <c r="N7" s="625"/>
      <c r="O7" s="625"/>
      <c r="P7" s="625"/>
      <c r="Q7" s="625"/>
      <c r="R7" s="625"/>
      <c r="S7" s="625"/>
      <c r="T7" s="625"/>
      <c r="U7" s="625"/>
      <c r="V7" s="625"/>
      <c r="W7" s="625"/>
      <c r="X7" s="625"/>
      <c r="Y7" s="625"/>
      <c r="Z7" s="625"/>
      <c r="AA7" s="626"/>
    </row>
    <row r="8" ht="15.15" spans="1:28">
      <c r="B8" s="627"/>
      <c r="C8" s="628"/>
      <c r="D8" s="629"/>
      <c r="E8" s="630"/>
      <c r="F8" s="630"/>
      <c r="G8" s="630"/>
      <c r="H8" s="630"/>
      <c r="I8" s="630"/>
      <c r="J8" s="631"/>
      <c r="K8" s="632"/>
      <c r="L8" s="632"/>
      <c r="M8" s="632"/>
      <c r="N8" s="632"/>
      <c r="O8" s="632"/>
      <c r="P8" s="632"/>
      <c r="Q8" s="632"/>
      <c r="R8" s="632"/>
      <c r="S8" s="632"/>
      <c r="T8" s="632"/>
      <c r="U8" s="632"/>
      <c r="V8" s="632"/>
      <c r="W8" s="632"/>
      <c r="X8" s="632"/>
      <c r="Y8" s="632"/>
      <c r="Z8" s="632"/>
      <c r="AA8" s="633"/>
    </row>
    <row r="9" ht="16.5" customHeight="1" spans="1:28">
      <c r="B9" s="634"/>
      <c r="C9" s="635"/>
      <c r="D9" s="636"/>
      <c r="E9" s="637" t="s">
        <v>3</v>
      </c>
      <c r="F9" s="637"/>
      <c r="G9" s="637"/>
      <c r="H9" s="637"/>
      <c r="I9" s="637"/>
      <c r="J9" s="637"/>
      <c r="K9" s="574"/>
      <c r="L9" s="574"/>
      <c r="M9" s="574"/>
      <c r="N9" s="574"/>
      <c r="O9" s="574"/>
      <c r="P9" s="574"/>
      <c r="Q9" s="574"/>
      <c r="R9" s="574"/>
      <c r="S9" s="574"/>
      <c r="T9" s="574"/>
      <c r="U9" s="574"/>
      <c r="V9" s="574"/>
      <c r="W9" s="574"/>
      <c r="X9" s="574"/>
      <c r="Y9" s="574"/>
      <c r="Z9" s="574"/>
      <c r="AA9" s="638"/>
    </row>
    <row r="10" ht="17.25" customHeight="1" spans="1:28">
      <c r="B10" s="634"/>
      <c r="C10" s="639"/>
      <c r="D10" s="574"/>
      <c r="E10" s="640"/>
      <c r="F10" s="640"/>
      <c r="G10" s="640"/>
      <c r="H10" s="640"/>
      <c r="I10" s="640"/>
      <c r="J10" s="640"/>
      <c r="K10" s="574"/>
      <c r="L10" s="64"/>
      <c r="M10" s="641"/>
      <c r="N10" s="641"/>
      <c r="O10" s="641"/>
      <c r="P10" s="641"/>
      <c r="Q10" s="641"/>
      <c r="R10" s="641"/>
      <c r="S10" s="642"/>
      <c r="T10" s="642"/>
      <c r="U10" s="643"/>
      <c r="V10" s="643"/>
      <c r="W10" s="643"/>
      <c r="X10" s="643"/>
      <c r="Y10" s="643"/>
      <c r="Z10" s="26"/>
      <c r="AA10" s="638"/>
    </row>
    <row r="11" ht="16.5" customHeight="1" spans="1:28">
      <c r="B11" s="634"/>
      <c r="C11" s="574"/>
      <c r="D11" s="636"/>
      <c r="E11" s="640"/>
      <c r="F11" s="640"/>
      <c r="G11" s="640"/>
      <c r="H11" s="640"/>
      <c r="I11" s="640"/>
      <c r="J11" s="640"/>
      <c r="K11" s="574"/>
      <c r="L11" s="644"/>
      <c r="M11" s="645" t="s">
        <v>4</v>
      </c>
      <c r="N11" s="646"/>
      <c r="O11" s="646"/>
      <c r="P11" s="646"/>
      <c r="Q11" s="646"/>
      <c r="R11" s="646"/>
      <c r="S11" s="646"/>
      <c r="T11" s="646"/>
      <c r="U11" s="646"/>
      <c r="V11" s="646"/>
      <c r="W11" s="646"/>
      <c r="X11" s="646"/>
      <c r="Y11" s="647"/>
      <c r="Z11" s="104"/>
      <c r="AA11" s="638"/>
    </row>
    <row r="12" spans="1:28">
      <c r="B12" s="648"/>
      <c r="C12" s="649" t="s">
        <v>4</v>
      </c>
      <c r="L12" s="644"/>
      <c r="M12" s="436"/>
      <c r="N12" s="437"/>
      <c r="O12" s="437"/>
      <c r="P12" s="437"/>
      <c r="Q12" s="437"/>
      <c r="R12" s="437"/>
      <c r="S12" s="438"/>
      <c r="T12" s="438"/>
      <c r="U12" s="437"/>
      <c r="V12" s="437"/>
      <c r="W12" s="437"/>
      <c r="X12" s="437"/>
      <c r="Y12" s="650"/>
      <c r="Z12" s="104"/>
      <c r="AA12" s="651"/>
    </row>
    <row r="13" spans="1:28">
      <c r="B13" s="648"/>
      <c r="C13" s="652">
        <v>1</v>
      </c>
      <c r="D13" s="4" t="s">
        <v>5</v>
      </c>
      <c r="E13" s="2"/>
      <c r="F13" s="2"/>
      <c r="G13" s="2"/>
      <c r="H13" s="2"/>
      <c r="I13" s="2"/>
      <c r="K13" s="653" t="s">
        <v>6</v>
      </c>
      <c r="L13" s="644"/>
      <c r="M13" s="444"/>
      <c r="N13" s="654" t="s">
        <v>7</v>
      </c>
      <c r="O13" s="655"/>
      <c r="P13" s="655"/>
      <c r="Q13" s="655"/>
      <c r="R13" s="655"/>
      <c r="S13" s="447" t="s">
        <v>8</v>
      </c>
      <c r="T13" s="656"/>
      <c r="U13" s="656"/>
      <c r="V13" s="656"/>
      <c r="W13" s="656"/>
      <c r="X13" s="657"/>
      <c r="Y13" s="650"/>
      <c r="Z13" s="104"/>
      <c r="AA13" s="651"/>
    </row>
    <row r="14" spans="1:28">
      <c r="B14" s="648"/>
      <c r="C14" s="652">
        <v>2</v>
      </c>
      <c r="D14" s="4" t="s">
        <v>9</v>
      </c>
      <c r="E14" s="2"/>
      <c r="F14" s="2"/>
      <c r="G14" s="2"/>
      <c r="H14" s="2"/>
      <c r="I14" s="2"/>
      <c r="K14" s="653" t="s">
        <v>6</v>
      </c>
      <c r="L14" s="644"/>
      <c r="M14" s="444"/>
      <c r="N14" s="654" t="s">
        <v>10</v>
      </c>
      <c r="O14" s="655"/>
      <c r="P14" s="655"/>
      <c r="Q14" s="655"/>
      <c r="R14" s="655"/>
      <c r="S14" s="447" t="s">
        <v>8</v>
      </c>
      <c r="T14" s="658"/>
      <c r="U14" s="658"/>
      <c r="V14" s="658"/>
      <c r="W14" s="658"/>
      <c r="X14" s="657"/>
      <c r="Y14" s="650"/>
      <c r="Z14" s="104"/>
      <c r="AA14" s="651"/>
    </row>
    <row r="15" spans="1:28">
      <c r="B15" s="648"/>
      <c r="C15" s="652"/>
      <c r="D15" s="4"/>
      <c r="E15" s="2"/>
      <c r="F15" s="2"/>
      <c r="G15" s="2"/>
      <c r="H15" s="2"/>
      <c r="I15" s="2"/>
      <c r="K15" s="653"/>
      <c r="L15" s="644"/>
      <c r="M15" s="444"/>
      <c r="N15" s="659"/>
      <c r="O15" s="460"/>
      <c r="P15" s="460"/>
      <c r="Q15" s="460"/>
      <c r="R15" s="460"/>
      <c r="S15" s="461"/>
      <c r="T15" s="461"/>
      <c r="U15" s="462"/>
      <c r="V15" s="462"/>
      <c r="W15" s="462"/>
      <c r="X15" s="462"/>
      <c r="Y15" s="650"/>
      <c r="Z15" s="104"/>
      <c r="AA15" s="651"/>
    </row>
    <row r="16" spans="1:28">
      <c r="B16" s="648"/>
      <c r="C16" s="652">
        <v>3</v>
      </c>
      <c r="D16" s="4" t="s">
        <v>11</v>
      </c>
      <c r="E16" s="2"/>
      <c r="F16" s="2"/>
      <c r="G16" s="2"/>
      <c r="H16" s="2"/>
      <c r="I16" s="2"/>
      <c r="K16" s="653" t="s">
        <v>6</v>
      </c>
      <c r="L16" s="644"/>
      <c r="M16" s="444"/>
      <c r="N16" s="654" t="s">
        <v>12</v>
      </c>
      <c r="O16" s="655"/>
      <c r="P16" s="655"/>
      <c r="Q16" s="655"/>
      <c r="R16" s="655"/>
      <c r="S16" s="447" t="s">
        <v>8</v>
      </c>
      <c r="T16" s="660"/>
      <c r="U16" s="661"/>
      <c r="V16" s="662"/>
      <c r="W16" s="662"/>
      <c r="X16" s="662"/>
      <c r="Y16" s="650"/>
      <c r="Z16" s="104"/>
      <c r="AA16" s="651"/>
    </row>
    <row r="17" spans="2:27">
      <c r="B17" s="648"/>
      <c r="C17" s="652">
        <v>4</v>
      </c>
      <c r="D17" s="4" t="s">
        <v>13</v>
      </c>
      <c r="E17" s="2"/>
      <c r="F17" s="2"/>
      <c r="G17" s="2"/>
      <c r="H17" s="2"/>
      <c r="I17" s="2"/>
      <c r="K17" s="653" t="s">
        <v>6</v>
      </c>
      <c r="L17" s="644"/>
      <c r="M17" s="444"/>
      <c r="N17" s="663" t="s">
        <v>14</v>
      </c>
      <c r="O17" s="664"/>
      <c r="P17" s="664"/>
      <c r="Q17" s="664"/>
      <c r="R17" s="664"/>
      <c r="S17" s="660" t="s">
        <v>8</v>
      </c>
      <c r="T17" s="665"/>
      <c r="U17" s="665"/>
      <c r="V17" s="665"/>
      <c r="W17" s="665"/>
      <c r="X17" s="657"/>
      <c r="Y17" s="650"/>
      <c r="Z17" s="104"/>
      <c r="AA17" s="651"/>
    </row>
    <row r="18" spans="2:27">
      <c r="B18" s="648"/>
      <c r="C18" s="652">
        <v>5</v>
      </c>
      <c r="D18" s="4" t="s">
        <v>15</v>
      </c>
      <c r="E18" s="2"/>
      <c r="F18" s="2"/>
      <c r="G18" s="2"/>
      <c r="H18" s="2"/>
      <c r="I18" s="2"/>
      <c r="K18" s="653" t="s">
        <v>6</v>
      </c>
      <c r="L18" s="644"/>
      <c r="M18" s="444"/>
      <c r="N18" s="654" t="s">
        <v>16</v>
      </c>
      <c r="O18" s="655"/>
      <c r="P18" s="655"/>
      <c r="Q18" s="655"/>
      <c r="R18" s="655"/>
      <c r="S18" s="447" t="s">
        <v>8</v>
      </c>
      <c r="T18" s="666" t="s">
        <v>17</v>
      </c>
      <c r="U18" s="666"/>
      <c r="V18" s="666"/>
      <c r="W18" s="666"/>
      <c r="X18" s="667"/>
      <c r="Y18" s="650"/>
      <c r="Z18" s="104"/>
      <c r="AA18" s="651"/>
    </row>
    <row r="19" spans="2:27">
      <c r="B19" s="648"/>
      <c r="D19" s="668" t="s">
        <v>18</v>
      </c>
      <c r="E19" s="669"/>
      <c r="F19" s="669"/>
      <c r="G19" s="669"/>
      <c r="H19" s="669"/>
      <c r="I19" s="669"/>
      <c r="J19" s="670"/>
      <c r="K19" s="671"/>
      <c r="L19" s="644"/>
      <c r="M19" s="477"/>
      <c r="N19" s="478"/>
      <c r="O19" s="478"/>
      <c r="P19" s="478"/>
      <c r="Q19" s="478"/>
      <c r="R19" s="479"/>
      <c r="S19" s="480"/>
      <c r="T19" s="480"/>
      <c r="U19" s="479"/>
      <c r="V19" s="479"/>
      <c r="W19" s="479"/>
      <c r="X19" s="479"/>
      <c r="Y19" s="672"/>
      <c r="Z19" s="104"/>
      <c r="AA19" s="651"/>
    </row>
    <row r="20" spans="2:27">
      <c r="B20" s="648"/>
      <c r="D20" s="673"/>
      <c r="E20" s="674"/>
      <c r="F20" s="674"/>
      <c r="G20" s="674"/>
      <c r="H20" s="674"/>
      <c r="I20" s="674"/>
      <c r="J20" s="675"/>
      <c r="K20" s="671"/>
      <c r="L20" s="76"/>
      <c r="M20" s="2"/>
      <c r="Z20" s="104"/>
      <c r="AA20" s="651"/>
    </row>
    <row r="21" ht="16.5" customHeight="1" spans="2:27">
      <c r="B21" s="648"/>
      <c r="C21" s="2"/>
      <c r="K21" s="671"/>
      <c r="L21" s="644"/>
      <c r="M21" s="645" t="s">
        <v>19</v>
      </c>
      <c r="N21" s="646"/>
      <c r="O21" s="646"/>
      <c r="P21" s="646"/>
      <c r="Q21" s="646"/>
      <c r="R21" s="646"/>
      <c r="S21" s="646"/>
      <c r="T21" s="646"/>
      <c r="U21" s="646"/>
      <c r="V21" s="646"/>
      <c r="W21" s="646"/>
      <c r="X21" s="646"/>
      <c r="Y21" s="647"/>
      <c r="Z21" s="104"/>
      <c r="AA21" s="651"/>
    </row>
    <row r="22" spans="2:27">
      <c r="B22" s="648"/>
      <c r="C22" s="649" t="s">
        <v>19</v>
      </c>
      <c r="K22" s="671"/>
      <c r="L22" s="644"/>
      <c r="M22" s="436"/>
      <c r="N22" s="437"/>
      <c r="O22" s="437"/>
      <c r="P22" s="437"/>
      <c r="Q22" s="437"/>
      <c r="R22" s="438"/>
      <c r="S22" s="438"/>
      <c r="T22" s="437"/>
      <c r="U22" s="437"/>
      <c r="V22" s="437"/>
      <c r="W22" s="437"/>
      <c r="X22" s="437"/>
      <c r="Y22" s="676"/>
      <c r="Z22" s="104"/>
      <c r="AA22" s="651"/>
    </row>
    <row r="23" spans="2:27">
      <c r="B23" s="648"/>
      <c r="C23" s="652">
        <v>6</v>
      </c>
      <c r="D23" s="4" t="s">
        <v>20</v>
      </c>
      <c r="E23" s="181"/>
      <c r="F23" s="181"/>
      <c r="G23" s="181"/>
      <c r="H23" s="181"/>
      <c r="I23" s="181"/>
      <c r="J23" s="181"/>
      <c r="K23" s="653" t="s">
        <v>6</v>
      </c>
      <c r="L23" s="644"/>
      <c r="M23" s="444"/>
      <c r="N23" s="677" t="s">
        <v>21</v>
      </c>
      <c r="O23" s="678"/>
      <c r="P23" s="678"/>
      <c r="Q23" s="678"/>
      <c r="R23" s="678"/>
      <c r="S23" s="679" t="s">
        <v>8</v>
      </c>
      <c r="T23" s="656"/>
      <c r="U23" s="656"/>
      <c r="V23" s="656"/>
      <c r="W23" s="656"/>
      <c r="X23" s="657"/>
      <c r="Y23" s="676"/>
      <c r="Z23" s="104"/>
      <c r="AA23" s="651"/>
    </row>
    <row r="24" ht="16.5" customHeight="1" spans="2:27">
      <c r="B24" s="648"/>
      <c r="C24" s="652">
        <v>7</v>
      </c>
      <c r="D24" s="4" t="s">
        <v>22</v>
      </c>
      <c r="E24" s="181"/>
      <c r="F24" s="181"/>
      <c r="G24" s="181"/>
      <c r="H24" s="181"/>
      <c r="I24" s="181"/>
      <c r="J24" s="181"/>
      <c r="K24" s="653" t="s">
        <v>6</v>
      </c>
      <c r="L24" s="644"/>
      <c r="M24" s="444"/>
      <c r="N24" s="680" t="s">
        <v>23</v>
      </c>
      <c r="O24" s="681"/>
      <c r="P24" s="681"/>
      <c r="Q24" s="681"/>
      <c r="R24" s="681"/>
      <c r="S24" s="490" t="s">
        <v>8</v>
      </c>
      <c r="T24" s="511"/>
      <c r="U24" s="682"/>
      <c r="V24" s="683"/>
      <c r="W24" s="683"/>
      <c r="X24" s="683"/>
      <c r="Y24" s="676"/>
      <c r="Z24" s="104"/>
      <c r="AA24" s="651"/>
    </row>
    <row r="25" spans="2:27">
      <c r="B25" s="648"/>
      <c r="C25" s="652">
        <v>8</v>
      </c>
      <c r="D25" s="4" t="s">
        <v>24</v>
      </c>
      <c r="E25" s="181"/>
      <c r="F25" s="181"/>
      <c r="G25" s="181"/>
      <c r="H25" s="181"/>
      <c r="I25" s="181"/>
      <c r="J25" s="181"/>
      <c r="K25" s="653" t="s">
        <v>6</v>
      </c>
      <c r="L25" s="644"/>
      <c r="M25" s="444"/>
      <c r="N25" s="684" t="s">
        <v>25</v>
      </c>
      <c r="O25" s="685"/>
      <c r="P25" s="685"/>
      <c r="Q25" s="685"/>
      <c r="R25" s="685"/>
      <c r="S25" s="447" t="s">
        <v>8</v>
      </c>
      <c r="T25" s="656"/>
      <c r="U25" s="656"/>
      <c r="V25" s="656"/>
      <c r="W25" s="656"/>
      <c r="X25" s="657"/>
      <c r="Y25" s="676"/>
      <c r="Z25" s="104"/>
      <c r="AA25" s="651"/>
    </row>
    <row r="26" spans="2:27">
      <c r="B26" s="648"/>
      <c r="C26" s="652"/>
      <c r="D26" s="686" t="s">
        <v>26</v>
      </c>
      <c r="E26" s="687"/>
      <c r="F26" s="687"/>
      <c r="G26" s="687"/>
      <c r="H26" s="687"/>
      <c r="I26" s="687"/>
      <c r="J26" s="688"/>
      <c r="K26" s="653"/>
      <c r="L26" s="644"/>
      <c r="M26" s="444"/>
      <c r="N26" s="498"/>
      <c r="O26" s="498"/>
      <c r="P26" s="498"/>
      <c r="Q26" s="498"/>
      <c r="R26" s="499"/>
      <c r="S26" s="500"/>
      <c r="T26" s="500"/>
      <c r="U26" s="442"/>
      <c r="V26" s="442"/>
      <c r="W26" s="442"/>
      <c r="X26" s="442"/>
      <c r="Y26" s="676"/>
      <c r="Z26" s="104"/>
      <c r="AA26" s="651"/>
    </row>
    <row r="27" spans="2:27">
      <c r="B27" s="648"/>
      <c r="C27" s="652">
        <v>9</v>
      </c>
      <c r="D27" s="4" t="s">
        <v>27</v>
      </c>
      <c r="E27" s="181"/>
      <c r="F27" s="181"/>
      <c r="G27" s="181"/>
      <c r="H27" s="181"/>
      <c r="I27" s="181"/>
      <c r="J27" s="181"/>
      <c r="K27" s="653" t="s">
        <v>6</v>
      </c>
      <c r="L27" s="644"/>
      <c r="M27" s="436"/>
      <c r="N27" s="689" t="s">
        <v>28</v>
      </c>
      <c r="O27" s="690"/>
      <c r="P27" s="690"/>
      <c r="Q27" s="690"/>
      <c r="R27" s="690"/>
      <c r="S27" s="447" t="s">
        <v>8</v>
      </c>
      <c r="T27" s="656"/>
      <c r="U27" s="656"/>
      <c r="V27" s="656"/>
      <c r="W27" s="656"/>
      <c r="X27" s="657"/>
      <c r="Y27" s="676"/>
      <c r="Z27" s="104"/>
      <c r="AA27" s="651"/>
    </row>
    <row r="28" spans="2:27">
      <c r="B28" s="648"/>
      <c r="C28" s="652">
        <v>10</v>
      </c>
      <c r="D28" s="4" t="s">
        <v>29</v>
      </c>
      <c r="E28" s="181"/>
      <c r="F28" s="181"/>
      <c r="G28" s="181"/>
      <c r="H28" s="181"/>
      <c r="I28" s="181"/>
      <c r="J28" s="181"/>
      <c r="K28" s="653" t="s">
        <v>6</v>
      </c>
      <c r="L28" s="644"/>
      <c r="M28" s="436"/>
      <c r="N28" s="689" t="s">
        <v>30</v>
      </c>
      <c r="O28" s="690"/>
      <c r="P28" s="690"/>
      <c r="Q28" s="690"/>
      <c r="R28" s="690"/>
      <c r="S28" s="511" t="s">
        <v>8</v>
      </c>
      <c r="T28" s="656"/>
      <c r="U28" s="656"/>
      <c r="V28" s="656"/>
      <c r="W28" s="656"/>
      <c r="X28" s="657"/>
      <c r="Y28" s="676"/>
      <c r="Z28" s="104"/>
      <c r="AA28" s="651"/>
    </row>
    <row r="29" spans="2:27">
      <c r="B29" s="648"/>
      <c r="C29" s="652">
        <v>11</v>
      </c>
      <c r="D29" s="691" t="s">
        <v>31</v>
      </c>
      <c r="E29" s="692"/>
      <c r="F29" s="692"/>
      <c r="G29" s="692"/>
      <c r="H29" s="692"/>
      <c r="I29" s="692"/>
      <c r="J29" s="181"/>
      <c r="K29" s="653" t="s">
        <v>6</v>
      </c>
      <c r="L29" s="644"/>
      <c r="M29" s="436"/>
      <c r="N29" s="693" t="s">
        <v>32</v>
      </c>
      <c r="O29" s="694"/>
      <c r="P29" s="694"/>
      <c r="Q29" s="694"/>
      <c r="R29" s="694"/>
      <c r="S29" s="660" t="s">
        <v>8</v>
      </c>
      <c r="T29" s="665"/>
      <c r="U29" s="665"/>
      <c r="V29" s="665"/>
      <c r="W29" s="665"/>
      <c r="X29" s="657"/>
      <c r="Y29" s="676"/>
      <c r="Z29" s="104"/>
      <c r="AA29" s="651"/>
    </row>
    <row r="30" ht="15.5" customHeight="1" spans="2:27">
      <c r="B30" s="648"/>
      <c r="C30" s="652">
        <v>12</v>
      </c>
      <c r="D30" s="695" t="s">
        <v>33</v>
      </c>
      <c r="E30" s="695"/>
      <c r="F30" s="695"/>
      <c r="G30" s="695"/>
      <c r="H30" s="695"/>
      <c r="I30" s="695"/>
      <c r="J30" s="695"/>
      <c r="K30" s="653" t="s">
        <v>6</v>
      </c>
      <c r="L30" s="644"/>
      <c r="M30" s="436"/>
      <c r="N30" s="696" t="s">
        <v>34</v>
      </c>
      <c r="O30" s="697"/>
      <c r="P30" s="697"/>
      <c r="Q30" s="697"/>
      <c r="R30" s="697"/>
      <c r="S30" s="698" t="s">
        <v>8</v>
      </c>
      <c r="T30" s="699"/>
      <c r="U30" s="699"/>
      <c r="V30" s="699"/>
      <c r="W30" s="699"/>
      <c r="X30" s="657"/>
      <c r="Y30" s="676"/>
      <c r="Z30" s="104"/>
      <c r="AA30" s="651"/>
    </row>
    <row r="31" spans="2:27">
      <c r="B31" s="648"/>
      <c r="C31" s="652"/>
      <c r="D31" s="700"/>
      <c r="E31" s="700"/>
      <c r="F31" s="700"/>
      <c r="G31" s="700"/>
      <c r="H31" s="700"/>
      <c r="I31" s="700"/>
      <c r="J31" s="700"/>
      <c r="K31" s="653"/>
      <c r="L31" s="644"/>
      <c r="M31" s="701"/>
      <c r="N31" s="702"/>
      <c r="O31" s="703"/>
      <c r="P31" s="703"/>
      <c r="Q31" s="703"/>
      <c r="R31" s="704"/>
      <c r="S31" s="705"/>
      <c r="T31" s="683"/>
      <c r="U31" s="683"/>
      <c r="V31" s="683"/>
      <c r="W31" s="683"/>
      <c r="X31" s="683"/>
      <c r="Y31" s="676"/>
      <c r="Z31" s="104"/>
      <c r="AA31" s="651"/>
    </row>
    <row r="32" ht="16.5" customHeight="1" spans="2:27">
      <c r="B32" s="648"/>
      <c r="C32" s="652"/>
      <c r="D32" s="706" t="s">
        <v>35</v>
      </c>
      <c r="E32" s="707"/>
      <c r="F32" s="707"/>
      <c r="G32" s="707"/>
      <c r="H32" s="707"/>
      <c r="I32" s="707"/>
      <c r="J32" s="708"/>
      <c r="K32" s="653"/>
      <c r="L32" s="644"/>
      <c r="M32" s="701"/>
      <c r="N32" s="689" t="s">
        <v>36</v>
      </c>
      <c r="O32" s="655"/>
      <c r="P32" s="655"/>
      <c r="Q32" s="655"/>
      <c r="R32" s="655"/>
      <c r="S32" s="447" t="s">
        <v>8</v>
      </c>
      <c r="T32" s="447"/>
      <c r="U32" s="657"/>
      <c r="V32" s="709" t="s">
        <v>37</v>
      </c>
      <c r="W32" s="710"/>
      <c r="X32" s="711"/>
      <c r="Y32" s="676"/>
      <c r="Z32" s="104"/>
      <c r="AA32" s="651"/>
    </row>
    <row r="33" spans="2:27">
      <c r="B33" s="648"/>
      <c r="C33" s="652"/>
      <c r="D33" s="712"/>
      <c r="E33" s="713"/>
      <c r="F33" s="713"/>
      <c r="G33" s="713"/>
      <c r="H33" s="713"/>
      <c r="I33" s="713"/>
      <c r="J33" s="714"/>
      <c r="K33" s="653"/>
      <c r="L33" s="644"/>
      <c r="M33" s="701"/>
      <c r="N33" s="689" t="s">
        <v>38</v>
      </c>
      <c r="O33" s="655"/>
      <c r="P33" s="655"/>
      <c r="Q33" s="655"/>
      <c r="R33" s="655"/>
      <c r="S33" s="447" t="s">
        <v>8</v>
      </c>
      <c r="T33" s="447"/>
      <c r="U33" s="657"/>
      <c r="V33" s="715"/>
      <c r="W33" s="716"/>
      <c r="X33" s="717"/>
      <c r="Y33" s="676"/>
      <c r="Z33" s="104"/>
      <c r="AA33" s="651"/>
    </row>
    <row r="34" spans="2:27">
      <c r="B34" s="648"/>
      <c r="C34" s="652">
        <v>13</v>
      </c>
      <c r="D34" s="718" t="s">
        <v>39</v>
      </c>
      <c r="E34" s="718"/>
      <c r="F34" s="718"/>
      <c r="G34" s="718"/>
      <c r="H34" s="718"/>
      <c r="I34" s="718"/>
      <c r="J34" s="718"/>
      <c r="K34" s="653" t="s">
        <v>6</v>
      </c>
      <c r="L34" s="644"/>
      <c r="M34" s="701"/>
      <c r="N34" s="689" t="s">
        <v>40</v>
      </c>
      <c r="O34" s="655"/>
      <c r="P34" s="655"/>
      <c r="Q34" s="655"/>
      <c r="R34" s="655"/>
      <c r="S34" s="447" t="s">
        <v>8</v>
      </c>
      <c r="T34" s="447"/>
      <c r="U34" s="657"/>
      <c r="V34" s="683"/>
      <c r="W34" s="683"/>
      <c r="X34" s="683"/>
      <c r="Y34" s="676"/>
      <c r="Z34" s="104"/>
      <c r="AA34" s="651"/>
    </row>
    <row r="35" ht="16.35" spans="2:27">
      <c r="B35" s="648"/>
      <c r="C35" s="652"/>
      <c r="D35" s="719"/>
      <c r="E35" s="719"/>
      <c r="F35" s="719"/>
      <c r="G35" s="719"/>
      <c r="H35" s="719"/>
      <c r="I35" s="719"/>
      <c r="J35" s="719"/>
      <c r="K35" s="671"/>
      <c r="L35" s="644"/>
      <c r="M35" s="720"/>
      <c r="N35" s="721"/>
      <c r="O35" s="721"/>
      <c r="P35" s="721"/>
      <c r="Q35" s="721"/>
      <c r="R35" s="722"/>
      <c r="S35" s="722"/>
      <c r="T35" s="723"/>
      <c r="U35" s="721"/>
      <c r="V35" s="721"/>
      <c r="W35" s="721"/>
      <c r="X35" s="721"/>
      <c r="Y35" s="724"/>
      <c r="Z35" s="104"/>
      <c r="AA35" s="651"/>
    </row>
    <row r="36" spans="2:27">
      <c r="B36" s="648"/>
      <c r="C36" s="652"/>
      <c r="D36" s="719"/>
      <c r="E36" s="719"/>
      <c r="F36" s="719"/>
      <c r="G36" s="719"/>
      <c r="H36" s="719"/>
      <c r="I36" s="719"/>
      <c r="J36" s="719"/>
      <c r="K36" s="671"/>
      <c r="L36" s="76"/>
      <c r="M36" s="725"/>
      <c r="N36" s="725"/>
      <c r="O36" s="725"/>
      <c r="P36" s="725"/>
      <c r="Q36" s="725"/>
      <c r="R36" s="725"/>
      <c r="S36" s="725"/>
      <c r="T36" s="725"/>
      <c r="U36" s="725"/>
      <c r="V36" s="725"/>
      <c r="W36" s="725"/>
      <c r="X36" s="725"/>
      <c r="Y36" s="725"/>
      <c r="Z36" s="104"/>
      <c r="AA36" s="651"/>
    </row>
    <row r="37" spans="2:27">
      <c r="B37" s="648"/>
      <c r="C37" s="652">
        <v>14</v>
      </c>
      <c r="D37" s="719" t="s">
        <v>41</v>
      </c>
      <c r="E37" s="719"/>
      <c r="F37" s="719"/>
      <c r="G37" s="719"/>
      <c r="H37" s="719"/>
      <c r="I37" s="719"/>
      <c r="J37" s="719"/>
      <c r="K37" s="671"/>
      <c r="L37" s="76"/>
      <c r="M37" s="2"/>
      <c r="R37" s="2"/>
      <c r="S37" s="2"/>
      <c r="T37" s="2"/>
      <c r="U37" s="2"/>
      <c r="V37" s="2"/>
      <c r="W37" s="2"/>
      <c r="X37" s="2"/>
      <c r="Y37" s="2"/>
      <c r="Z37" s="104"/>
      <c r="AA37" s="651"/>
    </row>
    <row r="38" spans="2:27">
      <c r="B38" s="648"/>
      <c r="C38" s="652"/>
      <c r="D38" s="719"/>
      <c r="E38" s="719"/>
      <c r="F38" s="719"/>
      <c r="G38" s="719"/>
      <c r="H38" s="719"/>
      <c r="I38" s="719"/>
      <c r="J38" s="719"/>
      <c r="K38" s="671"/>
      <c r="L38" s="76"/>
      <c r="M38" s="2"/>
      <c r="R38" s="2"/>
      <c r="S38" s="2"/>
      <c r="T38" s="2"/>
      <c r="U38" s="2"/>
      <c r="V38" s="2"/>
      <c r="W38" s="2"/>
      <c r="X38" s="2"/>
      <c r="Y38" s="2"/>
      <c r="Z38" s="104"/>
      <c r="AA38" s="651"/>
    </row>
    <row r="39" spans="2:27">
      <c r="B39" s="648"/>
      <c r="C39" s="652"/>
      <c r="D39" s="719"/>
      <c r="E39" s="719"/>
      <c r="F39" s="719"/>
      <c r="G39" s="719"/>
      <c r="H39" s="719"/>
      <c r="I39" s="719"/>
      <c r="J39" s="719"/>
      <c r="K39" s="671"/>
      <c r="L39" s="76"/>
      <c r="M39" s="2"/>
      <c r="R39" s="2"/>
      <c r="S39" s="2"/>
      <c r="T39" s="2"/>
      <c r="U39" s="2"/>
      <c r="V39" s="2"/>
      <c r="W39" s="2"/>
      <c r="X39" s="2"/>
      <c r="Y39" s="2"/>
      <c r="Z39" s="104"/>
      <c r="AA39" s="651"/>
    </row>
    <row r="40" spans="2:27">
      <c r="B40" s="648"/>
      <c r="C40" s="652"/>
      <c r="D40" s="726"/>
      <c r="E40" s="726"/>
      <c r="F40" s="726"/>
      <c r="G40" s="726"/>
      <c r="H40" s="726"/>
      <c r="I40" s="726"/>
      <c r="J40" s="726"/>
      <c r="K40" s="671"/>
      <c r="L40" s="76"/>
      <c r="M40" s="2"/>
      <c r="R40" s="2"/>
      <c r="S40" s="2"/>
      <c r="T40" s="2"/>
      <c r="U40" s="2"/>
      <c r="V40" s="2"/>
      <c r="W40" s="2"/>
      <c r="X40" s="2"/>
      <c r="Y40" s="2"/>
      <c r="Z40" s="104"/>
      <c r="AA40" s="651"/>
    </row>
    <row r="41" spans="2:27">
      <c r="B41" s="648"/>
      <c r="D41" s="668" t="s">
        <v>42</v>
      </c>
      <c r="E41" s="669"/>
      <c r="F41" s="669"/>
      <c r="G41" s="669"/>
      <c r="H41" s="669"/>
      <c r="I41" s="669"/>
      <c r="J41" s="670"/>
      <c r="K41" s="671"/>
      <c r="L41" s="76"/>
      <c r="M41" s="2"/>
      <c r="R41" s="2"/>
      <c r="S41" s="2"/>
      <c r="T41" s="2"/>
      <c r="U41" s="2"/>
      <c r="V41" s="2"/>
      <c r="W41" s="2"/>
      <c r="X41" s="2"/>
      <c r="Y41" s="2"/>
      <c r="Z41" s="104"/>
      <c r="AA41" s="651"/>
    </row>
    <row r="42" ht="18" customHeight="1" spans="2:27">
      <c r="B42" s="648"/>
      <c r="C42" s="2"/>
      <c r="D42" s="673"/>
      <c r="E42" s="674"/>
      <c r="F42" s="674"/>
      <c r="G42" s="674"/>
      <c r="H42" s="674"/>
      <c r="I42" s="674"/>
      <c r="J42" s="675"/>
      <c r="K42" s="671"/>
      <c r="L42" s="644"/>
      <c r="M42" s="727" t="s">
        <v>43</v>
      </c>
      <c r="N42" s="728"/>
      <c r="O42" s="728"/>
      <c r="P42" s="728"/>
      <c r="Q42" s="728"/>
      <c r="R42" s="728"/>
      <c r="S42" s="728"/>
      <c r="T42" s="728"/>
      <c r="U42" s="728"/>
      <c r="V42" s="728"/>
      <c r="W42" s="728"/>
      <c r="X42" s="728"/>
      <c r="Y42" s="729"/>
      <c r="Z42" s="104"/>
      <c r="AA42" s="651"/>
    </row>
    <row r="43" ht="16.5" customHeight="1" spans="2:27">
      <c r="B43" s="648"/>
      <c r="D43" s="4"/>
      <c r="E43" s="2"/>
      <c r="F43" s="2"/>
      <c r="G43" s="2"/>
      <c r="H43" s="2"/>
      <c r="I43" s="2"/>
      <c r="K43" s="671"/>
      <c r="L43" s="644"/>
      <c r="M43" s="701"/>
      <c r="N43" s="730"/>
      <c r="O43" s="730"/>
      <c r="P43" s="730"/>
      <c r="Q43" s="730"/>
      <c r="R43" s="731"/>
      <c r="S43" s="732"/>
      <c r="T43" s="732"/>
      <c r="U43" s="733"/>
      <c r="V43" s="733"/>
      <c r="W43" s="733"/>
      <c r="X43" s="733"/>
      <c r="Y43" s="734"/>
      <c r="Z43" s="104"/>
      <c r="AA43" s="651"/>
    </row>
    <row r="44" ht="16.5" customHeight="1" spans="2:27">
      <c r="B44" s="648"/>
      <c r="C44" s="649" t="s">
        <v>43</v>
      </c>
      <c r="K44" s="671"/>
      <c r="L44" s="644"/>
      <c r="M44" s="701"/>
      <c r="N44" s="735" t="s">
        <v>44</v>
      </c>
      <c r="O44" s="736"/>
      <c r="P44" s="736"/>
      <c r="Q44" s="736"/>
      <c r="R44" s="737"/>
      <c r="S44" s="732"/>
      <c r="T44" s="735" t="s">
        <v>45</v>
      </c>
      <c r="U44" s="736"/>
      <c r="V44" s="736"/>
      <c r="W44" s="736"/>
      <c r="X44" s="737"/>
      <c r="Y44" s="734"/>
      <c r="Z44" s="104"/>
      <c r="AA44" s="651"/>
    </row>
    <row r="45" ht="16.5" customHeight="1" spans="2:27">
      <c r="B45" s="648"/>
      <c r="C45" s="738">
        <v>15</v>
      </c>
      <c r="D45" s="719" t="s">
        <v>46</v>
      </c>
      <c r="E45" s="719"/>
      <c r="F45" s="719"/>
      <c r="G45" s="719"/>
      <c r="H45" s="719"/>
      <c r="I45" s="719"/>
      <c r="J45" s="719"/>
      <c r="K45" s="653" t="s">
        <v>6</v>
      </c>
      <c r="L45" s="644"/>
      <c r="M45" s="701"/>
      <c r="N45" s="739">
        <v>1</v>
      </c>
      <c r="O45" s="740" t="s">
        <v>47</v>
      </c>
      <c r="P45" s="741"/>
      <c r="Q45" s="740" t="s">
        <v>48</v>
      </c>
      <c r="R45" s="741"/>
      <c r="S45" s="732"/>
      <c r="T45" s="742">
        <v>1</v>
      </c>
      <c r="U45" s="740" t="s">
        <v>47</v>
      </c>
      <c r="V45" s="741"/>
      <c r="W45" s="740" t="s">
        <v>48</v>
      </c>
      <c r="X45" s="741"/>
      <c r="Y45" s="734"/>
      <c r="Z45" s="104"/>
      <c r="AA45" s="651"/>
    </row>
    <row r="46" ht="16.5" customHeight="1" spans="2:27">
      <c r="B46" s="648"/>
      <c r="C46" s="671"/>
      <c r="D46" s="719"/>
      <c r="E46" s="719"/>
      <c r="F46" s="719"/>
      <c r="G46" s="719"/>
      <c r="H46" s="719"/>
      <c r="I46" s="719"/>
      <c r="J46" s="719"/>
      <c r="K46" s="671"/>
      <c r="L46" s="644"/>
      <c r="M46" s="701"/>
      <c r="N46" s="739">
        <v>2</v>
      </c>
      <c r="O46" s="740"/>
      <c r="P46" s="741"/>
      <c r="Q46" s="740"/>
      <c r="R46" s="741"/>
      <c r="S46" s="732"/>
      <c r="T46" s="742">
        <v>2</v>
      </c>
      <c r="U46" s="740"/>
      <c r="V46" s="741"/>
      <c r="W46" s="740"/>
      <c r="X46" s="741"/>
      <c r="Y46" s="734"/>
      <c r="Z46" s="104"/>
      <c r="AA46" s="651"/>
    </row>
    <row r="47" ht="16.5" customHeight="1" spans="2:27">
      <c r="B47" s="648"/>
      <c r="C47" s="652">
        <v>16</v>
      </c>
      <c r="D47" s="719" t="s">
        <v>49</v>
      </c>
      <c r="E47" s="719"/>
      <c r="F47" s="719"/>
      <c r="G47" s="719"/>
      <c r="H47" s="719"/>
      <c r="I47" s="719"/>
      <c r="J47" s="719"/>
      <c r="K47" s="653" t="s">
        <v>6</v>
      </c>
      <c r="L47" s="644"/>
      <c r="M47" s="701"/>
      <c r="N47" s="739">
        <v>3</v>
      </c>
      <c r="O47" s="740"/>
      <c r="P47" s="741"/>
      <c r="Q47" s="740"/>
      <c r="R47" s="741"/>
      <c r="S47" s="732"/>
      <c r="T47" s="743">
        <v>3</v>
      </c>
      <c r="U47" s="740"/>
      <c r="V47" s="741"/>
      <c r="W47" s="740"/>
      <c r="X47" s="741"/>
      <c r="Y47" s="734"/>
      <c r="Z47" s="104"/>
      <c r="AA47" s="651"/>
    </row>
    <row r="48" ht="16.5" customHeight="1" spans="2:27">
      <c r="B48" s="648"/>
      <c r="D48" s="719"/>
      <c r="E48" s="719"/>
      <c r="F48" s="719"/>
      <c r="G48" s="719"/>
      <c r="H48" s="719"/>
      <c r="I48" s="719"/>
      <c r="J48" s="719"/>
      <c r="K48" s="671"/>
      <c r="L48" s="644"/>
      <c r="M48" s="701"/>
      <c r="N48" s="744" t="s">
        <v>50</v>
      </c>
      <c r="O48" s="740"/>
      <c r="P48" s="741"/>
      <c r="Q48" s="740"/>
      <c r="R48" s="741"/>
      <c r="S48" s="732"/>
      <c r="T48" s="745" t="s">
        <v>50</v>
      </c>
      <c r="U48" s="740"/>
      <c r="V48" s="741"/>
      <c r="W48" s="740"/>
      <c r="X48" s="741"/>
      <c r="Y48" s="734"/>
      <c r="Z48" s="104"/>
      <c r="AA48" s="651"/>
    </row>
    <row r="49" spans="2:27">
      <c r="B49" s="648"/>
      <c r="D49" s="746" t="s">
        <v>51</v>
      </c>
      <c r="E49" s="747"/>
      <c r="F49" s="747"/>
      <c r="G49" s="747"/>
      <c r="H49" s="747"/>
      <c r="I49" s="747"/>
      <c r="J49" s="748"/>
      <c r="K49" s="671"/>
      <c r="L49" s="644"/>
      <c r="M49" s="701"/>
      <c r="N49" s="739">
        <v>50</v>
      </c>
      <c r="O49" s="740"/>
      <c r="P49" s="741"/>
      <c r="Q49" s="740"/>
      <c r="R49" s="741"/>
      <c r="S49" s="732"/>
      <c r="T49" s="742">
        <v>50</v>
      </c>
      <c r="U49" s="740"/>
      <c r="V49" s="741"/>
      <c r="W49" s="740"/>
      <c r="X49" s="741"/>
      <c r="Y49" s="734"/>
      <c r="Z49" s="104"/>
      <c r="AA49" s="651"/>
    </row>
    <row r="50" ht="17.25" customHeight="1" spans="2:27">
      <c r="B50" s="648"/>
      <c r="D50" s="749" t="s">
        <v>52</v>
      </c>
      <c r="E50" s="750"/>
      <c r="F50" s="750"/>
      <c r="G50" s="750"/>
      <c r="H50" s="750"/>
      <c r="I50" s="750"/>
      <c r="J50" s="751"/>
      <c r="K50" s="671"/>
      <c r="L50" s="76"/>
      <c r="M50" s="720"/>
      <c r="N50" s="723"/>
      <c r="O50" s="723"/>
      <c r="P50" s="723"/>
      <c r="Q50" s="723"/>
      <c r="R50" s="721"/>
      <c r="S50" s="752"/>
      <c r="T50" s="752"/>
      <c r="U50" s="753"/>
      <c r="V50" s="753"/>
      <c r="W50" s="753"/>
      <c r="X50" s="753"/>
      <c r="Y50" s="754"/>
      <c r="Z50" s="104"/>
      <c r="AA50" s="651"/>
    </row>
    <row r="51" ht="14.4" spans="2:27">
      <c r="B51" s="648"/>
      <c r="C51" s="2"/>
      <c r="D51" s="755" t="s">
        <v>53</v>
      </c>
      <c r="E51" s="756"/>
      <c r="F51" s="756"/>
      <c r="G51" s="756"/>
      <c r="H51" s="756"/>
      <c r="I51" s="756"/>
      <c r="J51" s="757"/>
      <c r="L51" s="76"/>
      <c r="M51" s="2"/>
      <c r="R51" s="2"/>
      <c r="S51" s="2"/>
      <c r="T51" s="2"/>
      <c r="U51" s="2"/>
      <c r="V51" s="2"/>
      <c r="W51" s="2"/>
      <c r="X51" s="2"/>
      <c r="Y51" s="2"/>
      <c r="Z51" s="104"/>
      <c r="AA51" s="651"/>
    </row>
    <row r="52" spans="2:27">
      <c r="B52" s="648"/>
      <c r="C52" s="2"/>
      <c r="D52" s="755"/>
      <c r="E52" s="756"/>
      <c r="F52" s="756"/>
      <c r="G52" s="756"/>
      <c r="H52" s="756"/>
      <c r="I52" s="756"/>
      <c r="J52" s="757"/>
      <c r="L52" s="758" t="s">
        <v>54</v>
      </c>
      <c r="M52" s="759"/>
      <c r="N52" s="759"/>
      <c r="O52" s="759"/>
      <c r="P52" s="760" t="s">
        <v>55</v>
      </c>
      <c r="Q52" s="760"/>
      <c r="R52" s="760"/>
      <c r="S52" s="760"/>
      <c r="T52" s="760"/>
      <c r="U52" s="759" t="s">
        <v>56</v>
      </c>
      <c r="V52" s="759"/>
      <c r="W52" s="759" t="s">
        <v>57</v>
      </c>
      <c r="X52" s="759"/>
      <c r="Y52" s="759" t="s">
        <v>58</v>
      </c>
      <c r="Z52" s="761"/>
      <c r="AA52" s="651"/>
    </row>
    <row r="53" ht="14.4" spans="2:27">
      <c r="B53" s="648"/>
      <c r="C53" s="2"/>
      <c r="D53" s="762"/>
      <c r="E53" s="763"/>
      <c r="F53" s="763"/>
      <c r="G53" s="763"/>
      <c r="H53" s="763"/>
      <c r="I53" s="763"/>
      <c r="J53" s="764"/>
      <c r="L53" s="765"/>
      <c r="M53" s="766"/>
      <c r="N53" s="766"/>
      <c r="O53" s="766"/>
      <c r="P53" s="766"/>
      <c r="Q53" s="766"/>
      <c r="R53" s="766"/>
      <c r="S53" s="766"/>
      <c r="T53" s="766"/>
      <c r="U53" s="766"/>
      <c r="V53" s="766"/>
      <c r="W53" s="766"/>
      <c r="X53" s="766"/>
      <c r="Y53" s="766"/>
      <c r="Z53" s="767"/>
      <c r="AA53" s="651"/>
    </row>
    <row r="54" ht="16.35" spans="2:27">
      <c r="B54" s="768"/>
      <c r="C54" s="769"/>
      <c r="D54" s="770"/>
      <c r="E54" s="771"/>
      <c r="F54" s="771"/>
      <c r="G54" s="771"/>
      <c r="H54" s="771"/>
      <c r="I54" s="771"/>
      <c r="J54" s="772"/>
      <c r="K54" s="772"/>
      <c r="L54" s="772"/>
      <c r="M54" s="773"/>
      <c r="N54" s="772"/>
      <c r="O54" s="772"/>
      <c r="P54" s="772"/>
      <c r="Q54" s="772"/>
      <c r="R54" s="774"/>
      <c r="S54" s="775"/>
      <c r="T54" s="775"/>
      <c r="U54" s="776"/>
      <c r="V54" s="776"/>
      <c r="W54" s="776"/>
      <c r="X54" s="776"/>
      <c r="Y54" s="776"/>
      <c r="Z54" s="772"/>
      <c r="AA54" s="777"/>
    </row>
    <row r="55"/>
    <row r="56" ht="14.4" spans="2:27">
      <c r="B56" s="615"/>
      <c r="C56" s="616"/>
      <c r="D56" s="617"/>
      <c r="E56" s="618"/>
      <c r="F56" s="618"/>
      <c r="G56" s="618"/>
      <c r="H56" s="618"/>
      <c r="I56" s="618"/>
      <c r="J56" s="618"/>
      <c r="K56" s="619"/>
      <c r="L56" s="619"/>
      <c r="M56" s="619"/>
      <c r="N56" s="619"/>
      <c r="O56" s="619"/>
      <c r="P56" s="619"/>
      <c r="Q56" s="619"/>
      <c r="R56" s="619"/>
      <c r="S56" s="619"/>
      <c r="T56" s="619"/>
      <c r="U56" s="619"/>
      <c r="V56" s="619"/>
      <c r="W56" s="619"/>
      <c r="X56" s="619"/>
      <c r="Y56" s="619"/>
      <c r="Z56" s="619"/>
      <c r="AA56" s="620"/>
    </row>
    <row r="57" ht="23.4" spans="2:27">
      <c r="B57" s="621"/>
      <c r="C57" s="622">
        <v>2</v>
      </c>
      <c r="D57" s="623" t="s">
        <v>59</v>
      </c>
      <c r="E57" s="624"/>
      <c r="F57" s="624"/>
      <c r="G57" s="624"/>
      <c r="H57" s="624"/>
      <c r="I57" s="624"/>
      <c r="J57" s="624"/>
      <c r="K57" s="625"/>
      <c r="L57" s="625"/>
      <c r="M57" s="625"/>
      <c r="N57" s="625"/>
      <c r="O57" s="625"/>
      <c r="P57" s="625"/>
      <c r="Q57" s="625"/>
      <c r="R57" s="625"/>
      <c r="S57" s="625"/>
      <c r="T57" s="625"/>
      <c r="U57" s="625"/>
      <c r="V57" s="625"/>
      <c r="W57" s="625"/>
      <c r="X57" s="625"/>
      <c r="Y57" s="625"/>
      <c r="Z57" s="625"/>
      <c r="AA57" s="626"/>
    </row>
    <row r="58" ht="15.15" spans="2:27">
      <c r="B58" s="627"/>
      <c r="C58" s="628"/>
      <c r="D58" s="629"/>
      <c r="E58" s="630"/>
      <c r="F58" s="630"/>
      <c r="G58" s="630"/>
      <c r="H58" s="630"/>
      <c r="I58" s="630"/>
      <c r="J58" s="631"/>
      <c r="K58" s="632"/>
      <c r="L58" s="632"/>
      <c r="M58" s="632"/>
      <c r="N58" s="632"/>
      <c r="O58" s="632"/>
      <c r="P58" s="632"/>
      <c r="Q58" s="632"/>
      <c r="R58" s="632"/>
      <c r="S58" s="632"/>
      <c r="T58" s="632"/>
      <c r="U58" s="632"/>
      <c r="V58" s="632"/>
      <c r="W58" s="632"/>
      <c r="X58" s="632"/>
      <c r="Y58" s="632"/>
      <c r="Z58" s="632"/>
      <c r="AA58" s="633"/>
    </row>
    <row r="59" spans="2:27">
      <c r="B59" s="778"/>
      <c r="M59" s="2"/>
      <c r="R59" s="2"/>
      <c r="S59" s="2"/>
      <c r="AA59" s="779"/>
    </row>
    <row r="60" spans="2:27">
      <c r="B60" s="778"/>
      <c r="M60" s="2"/>
      <c r="R60" s="2"/>
      <c r="S60" s="2"/>
      <c r="AA60" s="779"/>
    </row>
    <row r="61" spans="2:27">
      <c r="B61" s="778"/>
      <c r="M61" s="2"/>
      <c r="R61" s="2"/>
      <c r="S61" s="2"/>
      <c r="AA61" s="779"/>
    </row>
    <row r="62" spans="2:27">
      <c r="B62" s="778"/>
      <c r="M62" s="2"/>
      <c r="R62" s="2"/>
      <c r="S62" s="2"/>
      <c r="AA62" s="779"/>
    </row>
    <row r="63" spans="2:27">
      <c r="B63" s="778"/>
      <c r="M63" s="2"/>
      <c r="R63" s="2"/>
      <c r="S63" s="2"/>
      <c r="AA63" s="779"/>
    </row>
    <row r="64" spans="2:27">
      <c r="B64" s="778"/>
      <c r="M64" s="2"/>
      <c r="R64" s="2"/>
      <c r="S64" s="2"/>
      <c r="AA64" s="779"/>
    </row>
    <row r="65" spans="2:27">
      <c r="B65" s="778"/>
      <c r="M65" s="2"/>
      <c r="R65" s="2"/>
      <c r="S65" s="2"/>
      <c r="AA65" s="779"/>
    </row>
    <row r="66" spans="2:27">
      <c r="B66" s="778"/>
      <c r="M66" s="2"/>
      <c r="R66" s="2"/>
      <c r="S66" s="2"/>
      <c r="AA66" s="779"/>
    </row>
    <row r="67" spans="2:27">
      <c r="B67" s="778"/>
      <c r="M67" s="2"/>
      <c r="R67" s="2"/>
      <c r="S67" s="2"/>
      <c r="AA67" s="779"/>
    </row>
    <row r="68" spans="2:27">
      <c r="B68" s="778"/>
      <c r="C68" s="649" t="s">
        <v>60</v>
      </c>
      <c r="M68" s="780" t="s">
        <v>61</v>
      </c>
      <c r="N68" s="781"/>
      <c r="O68" s="781"/>
      <c r="P68" s="781"/>
      <c r="Q68" s="781"/>
      <c r="R68" s="781"/>
      <c r="S68" s="781"/>
      <c r="T68" s="781"/>
      <c r="U68" s="781"/>
      <c r="V68" s="781"/>
      <c r="W68" s="781"/>
      <c r="X68" s="781"/>
      <c r="Y68" s="781"/>
      <c r="Z68" s="782"/>
      <c r="AA68" s="779"/>
    </row>
    <row r="69" ht="15.5" customHeight="1" spans="2:27">
      <c r="B69" s="778"/>
      <c r="C69" s="652">
        <v>1</v>
      </c>
      <c r="D69" s="4" t="s">
        <v>62</v>
      </c>
      <c r="M69" s="783"/>
      <c r="T69" s="784"/>
      <c r="U69" s="784"/>
      <c r="V69" s="784"/>
      <c r="W69" s="784"/>
      <c r="X69" s="784"/>
      <c r="Y69" s="784"/>
      <c r="Z69" s="785"/>
      <c r="AA69" s="779"/>
    </row>
    <row r="70" ht="15.5" customHeight="1" spans="2:27">
      <c r="B70" s="778"/>
      <c r="C70" s="652"/>
      <c r="D70" s="786" t="s">
        <v>63</v>
      </c>
      <c r="E70" s="787"/>
      <c r="F70" s="787"/>
      <c r="G70" s="787"/>
      <c r="H70" s="787"/>
      <c r="I70" s="787"/>
      <c r="J70" s="787"/>
      <c r="K70" s="788"/>
      <c r="M70" s="783"/>
      <c r="N70" s="789">
        <v>3</v>
      </c>
      <c r="O70" s="790" t="s">
        <v>64</v>
      </c>
      <c r="P70" s="790"/>
      <c r="Q70" s="790"/>
      <c r="R70" s="791"/>
      <c r="S70" s="792" t="s">
        <v>65</v>
      </c>
      <c r="T70" s="792"/>
      <c r="U70" s="792"/>
      <c r="V70" s="792"/>
      <c r="W70" s="792"/>
      <c r="X70" s="792"/>
      <c r="Y70" s="792"/>
      <c r="Z70" s="793"/>
      <c r="AA70" s="779"/>
    </row>
    <row r="71" ht="16.5" customHeight="1" spans="2:27">
      <c r="B71" s="778"/>
      <c r="C71" s="652"/>
      <c r="D71" s="794"/>
      <c r="E71" s="795"/>
      <c r="F71" s="795"/>
      <c r="G71" s="795"/>
      <c r="H71" s="795"/>
      <c r="I71" s="795"/>
      <c r="J71" s="795"/>
      <c r="K71" s="796"/>
      <c r="M71" s="58"/>
      <c r="O71" s="797"/>
      <c r="P71" s="797"/>
      <c r="Q71" s="797"/>
      <c r="R71" s="791"/>
      <c r="S71" s="792"/>
      <c r="T71" s="792"/>
      <c r="U71" s="792"/>
      <c r="V71" s="792"/>
      <c r="W71" s="792"/>
      <c r="X71" s="792"/>
      <c r="Y71" s="792"/>
      <c r="Z71" s="793"/>
      <c r="AA71" s="779"/>
    </row>
    <row r="72" ht="15.5" customHeight="1" spans="2:27">
      <c r="B72" s="778"/>
      <c r="C72" s="652">
        <v>2</v>
      </c>
      <c r="D72" s="4" t="s">
        <v>66</v>
      </c>
      <c r="E72" s="2"/>
      <c r="F72" s="2"/>
      <c r="G72" s="2"/>
      <c r="H72" s="2"/>
      <c r="I72" s="2"/>
      <c r="M72" s="58"/>
      <c r="N72" s="798"/>
      <c r="O72" s="790" t="s">
        <v>67</v>
      </c>
      <c r="P72" s="790"/>
      <c r="Q72" s="790"/>
      <c r="R72" s="791"/>
      <c r="S72" s="792" t="s">
        <v>68</v>
      </c>
      <c r="T72" s="792"/>
      <c r="U72" s="792"/>
      <c r="V72" s="792"/>
      <c r="W72" s="792"/>
      <c r="X72" s="792"/>
      <c r="Y72" s="792"/>
      <c r="Z72" s="793"/>
      <c r="AA72" s="779"/>
    </row>
    <row r="73" spans="2:27">
      <c r="B73" s="778"/>
      <c r="C73" s="652">
        <v>3</v>
      </c>
      <c r="D73" s="4" t="s">
        <v>69</v>
      </c>
      <c r="E73" s="2"/>
      <c r="F73" s="2"/>
      <c r="G73" s="2"/>
      <c r="H73" s="2"/>
      <c r="I73" s="2"/>
      <c r="M73" s="58"/>
      <c r="O73" s="797"/>
      <c r="P73" s="797"/>
      <c r="Q73" s="797"/>
      <c r="R73" s="791"/>
      <c r="S73" s="792"/>
      <c r="T73" s="792"/>
      <c r="U73" s="792"/>
      <c r="V73" s="792"/>
      <c r="W73" s="792"/>
      <c r="X73" s="792"/>
      <c r="Y73" s="792"/>
      <c r="Z73" s="793"/>
      <c r="AA73" s="779"/>
    </row>
    <row r="74" ht="15.5" customHeight="1" spans="2:27">
      <c r="B74" s="778"/>
      <c r="C74" s="652"/>
      <c r="D74" s="799" t="s">
        <v>70</v>
      </c>
      <c r="E74" s="800"/>
      <c r="F74" s="653" t="s">
        <v>6</v>
      </c>
      <c r="G74" s="801" t="s">
        <v>71</v>
      </c>
      <c r="K74" s="600"/>
      <c r="M74" s="58"/>
      <c r="N74" s="802"/>
      <c r="O74" s="790" t="s">
        <v>72</v>
      </c>
      <c r="P74" s="790"/>
      <c r="Q74" s="790"/>
      <c r="R74" s="791"/>
      <c r="S74" s="792" t="s">
        <v>73</v>
      </c>
      <c r="T74" s="792"/>
      <c r="U74" s="792"/>
      <c r="V74" s="792"/>
      <c r="W74" s="792"/>
      <c r="X74" s="792"/>
      <c r="Y74" s="792"/>
      <c r="Z74" s="793"/>
      <c r="AA74" s="779"/>
    </row>
    <row r="75" ht="15.5" customHeight="1" spans="2:27">
      <c r="B75" s="778"/>
      <c r="C75" s="652"/>
      <c r="D75" s="799" t="s">
        <v>74</v>
      </c>
      <c r="E75" s="800"/>
      <c r="F75" s="653" t="s">
        <v>6</v>
      </c>
      <c r="G75" s="801" t="s">
        <v>75</v>
      </c>
      <c r="M75" s="58"/>
      <c r="O75" s="797"/>
      <c r="P75" s="797"/>
      <c r="Q75" s="797"/>
      <c r="R75" s="791"/>
      <c r="S75" s="792"/>
      <c r="T75" s="792"/>
      <c r="U75" s="792"/>
      <c r="V75" s="792"/>
      <c r="W75" s="792"/>
      <c r="X75" s="792"/>
      <c r="Y75" s="792"/>
      <c r="Z75" s="793"/>
      <c r="AA75" s="779"/>
    </row>
    <row r="76" ht="15.5" customHeight="1" spans="2:27">
      <c r="B76" s="778"/>
      <c r="C76" s="652">
        <v>4</v>
      </c>
      <c r="D76" s="801" t="s">
        <v>76</v>
      </c>
      <c r="M76" s="783"/>
      <c r="N76" s="803">
        <v>5</v>
      </c>
      <c r="O76" s="804" t="s">
        <v>77</v>
      </c>
      <c r="P76" s="804"/>
      <c r="Q76" s="804"/>
      <c r="R76" s="804"/>
      <c r="S76" s="792" t="s">
        <v>78</v>
      </c>
      <c r="T76" s="792"/>
      <c r="U76" s="792"/>
      <c r="V76" s="792"/>
      <c r="W76" s="792"/>
      <c r="X76" s="792"/>
      <c r="Y76" s="792"/>
      <c r="Z76" s="793"/>
      <c r="AA76" s="779"/>
    </row>
    <row r="77" ht="15.5" customHeight="1" spans="2:27">
      <c r="B77" s="778"/>
      <c r="M77" s="783"/>
      <c r="O77" s="804"/>
      <c r="P77" s="804"/>
      <c r="Q77" s="804"/>
      <c r="R77" s="804"/>
      <c r="S77" s="792"/>
      <c r="T77" s="792"/>
      <c r="U77" s="792"/>
      <c r="V77" s="792"/>
      <c r="W77" s="792"/>
      <c r="X77" s="792"/>
      <c r="Y77" s="792"/>
      <c r="Z77" s="793"/>
      <c r="AA77" s="779"/>
    </row>
    <row r="78" spans="2:27">
      <c r="B78" s="778"/>
      <c r="D78" s="746" t="s">
        <v>79</v>
      </c>
      <c r="E78" s="805"/>
      <c r="F78" s="805"/>
      <c r="G78" s="805"/>
      <c r="H78" s="805"/>
      <c r="I78" s="805"/>
      <c r="J78" s="806"/>
      <c r="K78" s="807"/>
      <c r="M78" s="783"/>
      <c r="O78" s="692"/>
      <c r="P78" s="692"/>
      <c r="Q78" s="692"/>
      <c r="R78" s="691"/>
      <c r="S78" s="792"/>
      <c r="T78" s="792"/>
      <c r="U78" s="792"/>
      <c r="V78" s="792"/>
      <c r="W78" s="792"/>
      <c r="X78" s="792"/>
      <c r="Y78" s="792"/>
      <c r="Z78" s="793"/>
      <c r="AA78" s="779"/>
    </row>
    <row r="79" ht="15.5" customHeight="1" spans="2:27">
      <c r="B79" s="778"/>
      <c r="D79" s="808" t="s">
        <v>80</v>
      </c>
      <c r="E79" s="809"/>
      <c r="F79" s="809"/>
      <c r="G79" s="809"/>
      <c r="H79" s="809"/>
      <c r="I79" s="809"/>
      <c r="J79" s="809"/>
      <c r="K79" s="810"/>
      <c r="M79" s="783"/>
      <c r="N79" s="811">
        <v>70</v>
      </c>
      <c r="O79" s="790" t="s">
        <v>81</v>
      </c>
      <c r="P79" s="790"/>
      <c r="Q79" s="790"/>
      <c r="R79" s="791"/>
      <c r="S79" s="792" t="s">
        <v>82</v>
      </c>
      <c r="T79" s="792"/>
      <c r="U79" s="792"/>
      <c r="V79" s="792"/>
      <c r="W79" s="792"/>
      <c r="X79" s="792"/>
      <c r="Y79" s="792"/>
      <c r="Z79" s="793"/>
      <c r="AA79" s="779"/>
    </row>
    <row r="80" spans="2:27">
      <c r="B80" s="778"/>
      <c r="D80" s="808"/>
      <c r="E80" s="809"/>
      <c r="F80" s="809"/>
      <c r="G80" s="809"/>
      <c r="H80" s="809"/>
      <c r="I80" s="809"/>
      <c r="J80" s="809"/>
      <c r="K80" s="810"/>
      <c r="M80" s="99"/>
      <c r="N80" s="812"/>
      <c r="O80" s="812"/>
      <c r="P80" s="812"/>
      <c r="Q80" s="812"/>
      <c r="R80" s="813"/>
      <c r="S80" s="814"/>
      <c r="T80" s="814"/>
      <c r="U80" s="815"/>
      <c r="V80" s="815"/>
      <c r="W80" s="815"/>
      <c r="X80" s="815"/>
      <c r="Y80" s="815"/>
      <c r="Z80" s="100"/>
      <c r="AA80" s="779"/>
    </row>
    <row r="81" spans="2:27">
      <c r="B81" s="778"/>
      <c r="D81" s="816" t="s">
        <v>83</v>
      </c>
      <c r="E81" s="817"/>
      <c r="F81" s="817"/>
      <c r="G81" s="817"/>
      <c r="H81" s="817"/>
      <c r="I81" s="817"/>
      <c r="J81" s="817"/>
      <c r="K81" s="818"/>
      <c r="AA81" s="779"/>
    </row>
    <row r="82" spans="2:27">
      <c r="B82" s="778"/>
      <c r="D82" s="819"/>
      <c r="E82" s="820"/>
      <c r="F82" s="820"/>
      <c r="G82" s="820"/>
      <c r="H82" s="820"/>
      <c r="I82" s="820"/>
      <c r="J82" s="820"/>
      <c r="K82" s="821"/>
      <c r="AA82" s="779"/>
    </row>
    <row r="83" ht="16.35" spans="2:27">
      <c r="B83" s="822"/>
      <c r="C83" s="823"/>
      <c r="D83" s="824"/>
      <c r="E83" s="824"/>
      <c r="F83" s="824"/>
      <c r="G83" s="824"/>
      <c r="H83" s="824"/>
      <c r="I83" s="824"/>
      <c r="J83" s="824"/>
      <c r="K83" s="824"/>
      <c r="L83" s="825"/>
      <c r="M83" s="826"/>
      <c r="N83" s="825"/>
      <c r="O83" s="825"/>
      <c r="P83" s="825"/>
      <c r="Q83" s="825"/>
      <c r="R83" s="827"/>
      <c r="S83" s="828"/>
      <c r="T83" s="828"/>
      <c r="U83" s="829"/>
      <c r="V83" s="829"/>
      <c r="W83" s="829"/>
      <c r="X83" s="829"/>
      <c r="Y83" s="829"/>
      <c r="Z83" s="825"/>
      <c r="AA83" s="830"/>
    </row>
    <row r="84" ht="16.35" spans="2:27">
      <c r="D84" s="598"/>
      <c r="E84" s="598"/>
      <c r="F84" s="598"/>
      <c r="G84" s="598"/>
      <c r="H84" s="598"/>
      <c r="I84" s="598"/>
      <c r="J84" s="598"/>
      <c r="K84" s="598"/>
      <c r="O84" s="600"/>
      <c r="P84" s="600"/>
      <c r="Q84" s="600"/>
    </row>
    <row r="85" ht="14.4" spans="2:27">
      <c r="B85" s="615"/>
      <c r="C85" s="616"/>
      <c r="D85" s="617"/>
      <c r="E85" s="618"/>
      <c r="F85" s="618"/>
      <c r="G85" s="618"/>
      <c r="H85" s="618"/>
      <c r="I85" s="618"/>
      <c r="J85" s="618"/>
      <c r="K85" s="619"/>
      <c r="L85" s="619"/>
      <c r="M85" s="619"/>
      <c r="N85" s="619"/>
      <c r="O85" s="619"/>
      <c r="P85" s="619"/>
      <c r="Q85" s="619"/>
      <c r="R85" s="619"/>
      <c r="S85" s="619"/>
      <c r="T85" s="619"/>
      <c r="U85" s="619"/>
      <c r="V85" s="619"/>
      <c r="W85" s="619"/>
      <c r="X85" s="619"/>
      <c r="Y85" s="619"/>
      <c r="Z85" s="619"/>
      <c r="AA85" s="620"/>
    </row>
    <row r="86" ht="23.4" spans="2:27">
      <c r="B86" s="621"/>
      <c r="C86" s="622">
        <v>3</v>
      </c>
      <c r="D86" s="623" t="s">
        <v>84</v>
      </c>
      <c r="E86" s="624"/>
      <c r="F86" s="624"/>
      <c r="G86" s="624"/>
      <c r="H86" s="624"/>
      <c r="I86" s="624"/>
      <c r="J86" s="624"/>
      <c r="K86" s="625"/>
      <c r="L86" s="625"/>
      <c r="M86" s="625"/>
      <c r="N86" s="625"/>
      <c r="O86" s="625"/>
      <c r="P86" s="625"/>
      <c r="Q86" s="625"/>
      <c r="R86" s="625"/>
      <c r="S86" s="625"/>
      <c r="T86" s="625"/>
      <c r="U86" s="625"/>
      <c r="V86" s="625"/>
      <c r="W86" s="625"/>
      <c r="X86" s="625"/>
      <c r="Y86" s="625"/>
      <c r="Z86" s="625"/>
      <c r="AA86" s="626"/>
    </row>
    <row r="87" ht="15.15" spans="2:27">
      <c r="B87" s="627"/>
      <c r="C87" s="628"/>
      <c r="D87" s="629"/>
      <c r="E87" s="630"/>
      <c r="F87" s="630"/>
      <c r="G87" s="630"/>
      <c r="H87" s="630"/>
      <c r="I87" s="630"/>
      <c r="J87" s="631"/>
      <c r="K87" s="632"/>
      <c r="L87" s="632"/>
      <c r="M87" s="632"/>
      <c r="N87" s="632"/>
      <c r="O87" s="632"/>
      <c r="P87" s="632"/>
      <c r="Q87" s="632"/>
      <c r="R87" s="632"/>
      <c r="S87" s="632"/>
      <c r="T87" s="632"/>
      <c r="U87" s="632"/>
      <c r="V87" s="632"/>
      <c r="W87" s="632"/>
      <c r="X87" s="632"/>
      <c r="Y87" s="632"/>
      <c r="Z87" s="632"/>
      <c r="AA87" s="633"/>
    </row>
    <row r="88" ht="14.4" spans="2:27">
      <c r="B88" s="831"/>
      <c r="C88" s="832"/>
      <c r="D88" s="833"/>
      <c r="E88" s="832"/>
      <c r="F88" s="834"/>
      <c r="G88" s="834"/>
      <c r="H88" s="834"/>
      <c r="I88" s="834"/>
      <c r="J88" s="835"/>
      <c r="K88" s="834"/>
      <c r="L88" s="834"/>
      <c r="M88" s="834"/>
      <c r="N88" s="834"/>
      <c r="O88" s="834"/>
      <c r="P88" s="834"/>
      <c r="Q88" s="834"/>
      <c r="R88" s="835"/>
      <c r="S88" s="832"/>
      <c r="T88" s="832"/>
      <c r="U88" s="833"/>
      <c r="V88" s="833"/>
      <c r="W88" s="833"/>
      <c r="X88" s="833"/>
      <c r="Y88" s="833"/>
      <c r="Z88" s="834"/>
      <c r="AA88" s="836"/>
    </row>
    <row r="89" ht="16.5" customHeight="1" spans="2:27">
      <c r="B89" s="837"/>
      <c r="C89" s="838" t="s">
        <v>85</v>
      </c>
      <c r="D89" s="838"/>
      <c r="E89" s="838"/>
      <c r="F89" s="838"/>
      <c r="G89" s="838"/>
      <c r="H89" s="838"/>
      <c r="I89" s="838"/>
      <c r="J89" s="838"/>
      <c r="K89" s="838"/>
      <c r="L89" s="598"/>
      <c r="M89" s="780" t="s">
        <v>86</v>
      </c>
      <c r="N89" s="781"/>
      <c r="O89" s="781"/>
      <c r="P89" s="781"/>
      <c r="Q89" s="781"/>
      <c r="R89" s="781"/>
      <c r="S89" s="781"/>
      <c r="T89" s="781"/>
      <c r="U89" s="781"/>
      <c r="V89" s="781"/>
      <c r="W89" s="781"/>
      <c r="X89" s="781"/>
      <c r="Y89" s="781"/>
      <c r="Z89" s="782"/>
      <c r="AA89" s="839"/>
    </row>
    <row r="90" ht="14" customHeight="1" spans="2:27">
      <c r="B90" s="837"/>
      <c r="C90" s="838"/>
      <c r="D90" s="838"/>
      <c r="E90" s="838"/>
      <c r="F90" s="838"/>
      <c r="G90" s="838"/>
      <c r="H90" s="838"/>
      <c r="I90" s="838"/>
      <c r="J90" s="838"/>
      <c r="K90" s="838"/>
      <c r="L90" s="598"/>
      <c r="M90" s="783"/>
      <c r="Z90" s="104"/>
      <c r="AA90" s="839"/>
    </row>
    <row r="91" ht="14.4" spans="2:27">
      <c r="B91" s="837"/>
      <c r="C91" s="838"/>
      <c r="D91" s="838"/>
      <c r="E91" s="838"/>
      <c r="F91" s="838"/>
      <c r="G91" s="838"/>
      <c r="H91" s="838"/>
      <c r="I91" s="838"/>
      <c r="J91" s="838"/>
      <c r="K91" s="838"/>
      <c r="L91" s="598"/>
      <c r="M91" s="783"/>
      <c r="N91" s="840" t="s">
        <v>87</v>
      </c>
      <c r="O91" s="4" t="s">
        <v>88</v>
      </c>
      <c r="T91" s="16" t="s">
        <v>89</v>
      </c>
      <c r="U91" s="4" t="s">
        <v>90</v>
      </c>
      <c r="W91" s="2"/>
      <c r="X91" s="4"/>
      <c r="Y91" s="17"/>
      <c r="Z91" s="104"/>
      <c r="AA91" s="839"/>
    </row>
    <row r="92" ht="16.5" customHeight="1" spans="2:27">
      <c r="B92" s="837"/>
      <c r="D92" s="841"/>
      <c r="E92" s="841"/>
      <c r="F92" s="841"/>
      <c r="G92" s="841"/>
      <c r="H92" s="841"/>
      <c r="I92" s="841"/>
      <c r="J92" s="841"/>
      <c r="K92" s="841"/>
      <c r="L92" s="598"/>
      <c r="M92" s="783"/>
      <c r="N92" s="16" t="s">
        <v>91</v>
      </c>
      <c r="O92" s="4" t="s">
        <v>92</v>
      </c>
      <c r="T92" s="16" t="s">
        <v>93</v>
      </c>
      <c r="U92" s="4" t="s">
        <v>94</v>
      </c>
      <c r="W92" s="598"/>
      <c r="X92" s="598"/>
      <c r="Y92" s="598"/>
      <c r="Z92" s="104"/>
      <c r="AA92" s="839"/>
    </row>
    <row r="93" ht="14.4" spans="2:27">
      <c r="B93" s="837"/>
      <c r="C93" s="838" t="s">
        <v>95</v>
      </c>
      <c r="D93" s="838"/>
      <c r="E93" s="838"/>
      <c r="F93" s="838"/>
      <c r="G93" s="838"/>
      <c r="H93" s="838"/>
      <c r="I93" s="838"/>
      <c r="J93" s="838"/>
      <c r="K93" s="838"/>
      <c r="L93" s="598"/>
      <c r="M93" s="783"/>
      <c r="N93" s="16" t="s">
        <v>96</v>
      </c>
      <c r="O93" s="4" t="s">
        <v>97</v>
      </c>
      <c r="T93" s="840" t="s">
        <v>98</v>
      </c>
      <c r="U93" s="4" t="s">
        <v>99</v>
      </c>
      <c r="W93" s="598"/>
      <c r="X93" s="598"/>
      <c r="Y93" s="598"/>
      <c r="Z93" s="104"/>
      <c r="AA93" s="839"/>
    </row>
    <row r="94" ht="14.4" spans="2:27">
      <c r="B94" s="837"/>
      <c r="C94" s="838"/>
      <c r="D94" s="838"/>
      <c r="E94" s="838"/>
      <c r="F94" s="838"/>
      <c r="G94" s="838"/>
      <c r="H94" s="838"/>
      <c r="I94" s="838"/>
      <c r="J94" s="838"/>
      <c r="K94" s="838"/>
      <c r="L94" s="842"/>
      <c r="M94" s="783"/>
      <c r="N94" s="840" t="s">
        <v>100</v>
      </c>
      <c r="O94" s="4" t="s">
        <v>101</v>
      </c>
      <c r="Z94" s="104"/>
      <c r="AA94" s="839"/>
    </row>
    <row r="95" s="598" customFormat="1" ht="13.8" spans="2:27">
      <c r="B95" s="837"/>
      <c r="E95" s="843" t="s">
        <v>102</v>
      </c>
      <c r="F95" s="843"/>
      <c r="G95" s="843"/>
      <c r="H95" s="843"/>
      <c r="I95" s="843"/>
      <c r="M95" s="844"/>
      <c r="N95" s="845"/>
      <c r="O95" s="845"/>
      <c r="P95" s="845"/>
      <c r="Q95" s="845"/>
      <c r="R95" s="845"/>
      <c r="S95" s="845"/>
      <c r="T95" s="845"/>
      <c r="U95" s="845"/>
      <c r="V95" s="845"/>
      <c r="W95" s="845"/>
      <c r="X95" s="845"/>
      <c r="Y95" s="845"/>
      <c r="Z95" s="846"/>
      <c r="AA95" s="839"/>
    </row>
    <row r="96" s="598" customFormat="1" ht="14" customHeight="1" spans="2:27">
      <c r="B96" s="837"/>
      <c r="C96" s="842"/>
      <c r="D96" s="847"/>
      <c r="E96" s="843"/>
      <c r="F96" s="843"/>
      <c r="G96" s="843"/>
      <c r="H96" s="843"/>
      <c r="I96" s="843"/>
      <c r="J96" s="847"/>
      <c r="K96" s="847"/>
      <c r="Z96" s="2"/>
      <c r="AA96" s="839"/>
    </row>
    <row r="97" s="598" customFormat="1" ht="13.8" spans="2:27">
      <c r="B97" s="837"/>
      <c r="C97" s="848"/>
      <c r="D97" s="849"/>
      <c r="E97" s="850" t="s">
        <v>103</v>
      </c>
      <c r="F97" s="851"/>
      <c r="G97" s="852" t="s">
        <v>104</v>
      </c>
      <c r="H97" s="852"/>
      <c r="I97" s="852"/>
      <c r="M97" s="853" t="s">
        <v>105</v>
      </c>
      <c r="N97" s="854"/>
      <c r="O97" s="855"/>
      <c r="P97" s="855"/>
      <c r="Q97" s="855"/>
      <c r="R97" s="855"/>
      <c r="S97" s="855"/>
      <c r="T97" s="855"/>
      <c r="U97" s="855"/>
      <c r="V97" s="855"/>
      <c r="W97" s="855"/>
      <c r="X97" s="855"/>
      <c r="Y97" s="855"/>
      <c r="Z97" s="856"/>
      <c r="AA97" s="839"/>
    </row>
    <row r="98" s="598" customFormat="1" ht="13.8" spans="2:27">
      <c r="B98" s="837"/>
      <c r="C98" s="848"/>
      <c r="D98" s="849"/>
      <c r="E98" s="857"/>
      <c r="F98" s="858"/>
      <c r="G98" s="859" t="s">
        <v>106</v>
      </c>
      <c r="H98" s="859" t="s">
        <v>107</v>
      </c>
      <c r="I98" s="859" t="s">
        <v>108</v>
      </c>
      <c r="M98" s="808" t="s">
        <v>109</v>
      </c>
      <c r="N98" s="809"/>
      <c r="O98" s="809"/>
      <c r="P98" s="809"/>
      <c r="Q98" s="809"/>
      <c r="R98" s="809"/>
      <c r="S98" s="809"/>
      <c r="T98" s="809"/>
      <c r="U98" s="809"/>
      <c r="V98" s="809"/>
      <c r="W98" s="809"/>
      <c r="X98" s="809"/>
      <c r="Y98" s="809"/>
      <c r="Z98" s="810"/>
      <c r="AA98" s="839"/>
    </row>
    <row r="99" s="598" customFormat="1" ht="13.8" spans="2:27">
      <c r="B99" s="837"/>
      <c r="C99" s="848"/>
      <c r="D99" s="849"/>
      <c r="E99" s="860" t="s">
        <v>110</v>
      </c>
      <c r="F99" s="861"/>
      <c r="G99" s="862">
        <v>0.2</v>
      </c>
      <c r="H99" s="862">
        <v>0.5</v>
      </c>
      <c r="I99" s="862">
        <v>0.3</v>
      </c>
      <c r="M99" s="808"/>
      <c r="N99" s="809"/>
      <c r="O99" s="809"/>
      <c r="P99" s="809"/>
      <c r="Q99" s="809"/>
      <c r="R99" s="809"/>
      <c r="S99" s="809"/>
      <c r="T99" s="809"/>
      <c r="U99" s="809"/>
      <c r="V99" s="809"/>
      <c r="W99" s="809"/>
      <c r="X99" s="809"/>
      <c r="Y99" s="809"/>
      <c r="Z99" s="810"/>
      <c r="AA99" s="839"/>
    </row>
    <row r="100" s="598" customFormat="1" ht="16.5" customHeight="1" spans="2:27">
      <c r="B100" s="837"/>
      <c r="C100" s="848"/>
      <c r="D100" s="849"/>
      <c r="E100" s="863" t="s">
        <v>111</v>
      </c>
      <c r="F100" s="864"/>
      <c r="G100" s="865"/>
      <c r="H100" s="865"/>
      <c r="I100" s="865"/>
      <c r="M100" s="808"/>
      <c r="N100" s="809"/>
      <c r="O100" s="809"/>
      <c r="P100" s="809"/>
      <c r="Q100" s="809"/>
      <c r="R100" s="809"/>
      <c r="S100" s="809"/>
      <c r="T100" s="809"/>
      <c r="U100" s="809"/>
      <c r="V100" s="809"/>
      <c r="W100" s="809"/>
      <c r="X100" s="809"/>
      <c r="Y100" s="809"/>
      <c r="Z100" s="810"/>
      <c r="AA100" s="839"/>
    </row>
    <row r="101" s="598" customFormat="1" ht="16.5" customHeight="1" spans="2:27">
      <c r="B101" s="837"/>
      <c r="C101" s="848"/>
      <c r="D101" s="849"/>
      <c r="E101" s="866" t="s">
        <v>112</v>
      </c>
      <c r="F101" s="867"/>
      <c r="G101" s="868">
        <v>0.2</v>
      </c>
      <c r="H101" s="868">
        <v>0.5</v>
      </c>
      <c r="I101" s="868">
        <v>0.3</v>
      </c>
      <c r="M101" s="869"/>
      <c r="N101" s="870"/>
      <c r="O101" s="870"/>
      <c r="P101" s="870"/>
      <c r="Q101" s="870"/>
      <c r="R101" s="870"/>
      <c r="S101" s="870"/>
      <c r="T101" s="870"/>
      <c r="U101" s="870"/>
      <c r="V101" s="870"/>
      <c r="W101" s="870"/>
      <c r="X101" s="870"/>
      <c r="Y101" s="870"/>
      <c r="Z101" s="871"/>
      <c r="AA101" s="839"/>
    </row>
    <row r="102" ht="14.4" spans="2:27">
      <c r="B102" s="837"/>
      <c r="C102" s="848"/>
      <c r="D102" s="849"/>
      <c r="E102" s="866" t="s">
        <v>113</v>
      </c>
      <c r="F102" s="867"/>
      <c r="G102" s="868">
        <v>0.4</v>
      </c>
      <c r="H102" s="868">
        <v>0.6</v>
      </c>
      <c r="I102" s="868"/>
      <c r="J102" s="598"/>
      <c r="K102" s="598"/>
      <c r="AA102" s="651"/>
    </row>
    <row r="103" ht="14.4" spans="2:27">
      <c r="B103" s="837"/>
      <c r="C103" s="848"/>
      <c r="D103" s="849"/>
      <c r="E103" s="872" t="s">
        <v>114</v>
      </c>
      <c r="F103" s="873"/>
      <c r="G103" s="874">
        <v>0.2</v>
      </c>
      <c r="H103" s="874">
        <v>0.6</v>
      </c>
      <c r="I103" s="874">
        <v>0.2</v>
      </c>
      <c r="J103" s="598"/>
      <c r="K103" s="598"/>
      <c r="M103" s="875" t="s">
        <v>115</v>
      </c>
      <c r="N103" s="876"/>
      <c r="O103" s="876"/>
      <c r="P103" s="876"/>
      <c r="Q103" s="876"/>
      <c r="R103" s="876"/>
      <c r="S103" s="876"/>
      <c r="T103" s="876"/>
      <c r="U103" s="876"/>
      <c r="V103" s="876"/>
      <c r="W103" s="876"/>
      <c r="X103" s="876"/>
      <c r="Y103" s="876"/>
      <c r="Z103" s="877"/>
      <c r="AA103" s="651"/>
    </row>
    <row r="104" ht="14.4" spans="2:27">
      <c r="B104" s="837"/>
      <c r="C104" s="848"/>
      <c r="D104" s="849"/>
      <c r="E104" s="872"/>
      <c r="F104" s="873"/>
      <c r="G104" s="874"/>
      <c r="H104" s="874"/>
      <c r="I104" s="874"/>
      <c r="J104" s="598"/>
      <c r="K104" s="598"/>
      <c r="M104" s="878"/>
      <c r="N104" s="441"/>
      <c r="O104" s="441"/>
      <c r="P104" s="441"/>
      <c r="Q104" s="441"/>
      <c r="R104" s="879"/>
      <c r="S104" s="500"/>
      <c r="T104" s="500"/>
      <c r="U104" s="442"/>
      <c r="V104" s="442"/>
      <c r="W104" s="442"/>
      <c r="X104" s="442"/>
      <c r="Y104" s="442"/>
      <c r="Z104" s="880"/>
      <c r="AA104" s="651"/>
    </row>
    <row r="105" ht="14.4" spans="2:27">
      <c r="B105" s="837"/>
      <c r="C105" s="848"/>
      <c r="D105" s="849"/>
      <c r="E105" s="881" t="s">
        <v>116</v>
      </c>
      <c r="F105" s="882"/>
      <c r="G105" s="883">
        <v>0.15</v>
      </c>
      <c r="H105" s="883">
        <v>0.7</v>
      </c>
      <c r="I105" s="883" t="s">
        <v>117</v>
      </c>
      <c r="J105" s="598"/>
      <c r="K105" s="598"/>
      <c r="M105" s="878"/>
      <c r="N105" s="884" t="s">
        <v>92</v>
      </c>
      <c r="O105" s="885"/>
      <c r="P105" s="885"/>
      <c r="Q105" s="885"/>
      <c r="R105" s="884" t="s">
        <v>118</v>
      </c>
      <c r="S105" s="886"/>
      <c r="T105" s="884" t="s">
        <v>92</v>
      </c>
      <c r="U105" s="885"/>
      <c r="V105" s="885"/>
      <c r="W105" s="885"/>
      <c r="X105" s="884" t="s">
        <v>118</v>
      </c>
      <c r="Y105" s="886"/>
      <c r="Z105" s="880"/>
      <c r="AA105" s="651"/>
    </row>
    <row r="106" ht="14.4" spans="2:27">
      <c r="B106" s="837"/>
      <c r="C106" s="848"/>
      <c r="D106" s="849"/>
      <c r="E106" s="863" t="s">
        <v>119</v>
      </c>
      <c r="F106" s="864"/>
      <c r="G106" s="887"/>
      <c r="H106" s="887"/>
      <c r="I106" s="887"/>
      <c r="J106" s="598"/>
      <c r="K106" s="598"/>
      <c r="M106" s="878"/>
      <c r="N106" s="888" t="s">
        <v>120</v>
      </c>
      <c r="O106" s="889"/>
      <c r="P106" s="889" t="s">
        <v>121</v>
      </c>
      <c r="Q106" s="889"/>
      <c r="R106" s="890"/>
      <c r="S106" s="891"/>
      <c r="T106" s="888" t="s">
        <v>120</v>
      </c>
      <c r="U106" s="889"/>
      <c r="V106" s="889" t="s">
        <v>121</v>
      </c>
      <c r="W106" s="889"/>
      <c r="X106" s="890"/>
      <c r="Y106" s="891"/>
      <c r="Z106" s="880"/>
      <c r="AA106" s="651"/>
    </row>
    <row r="107" ht="14.4" spans="2:27">
      <c r="B107" s="837"/>
      <c r="C107" s="848"/>
      <c r="D107" s="849"/>
      <c r="E107" s="866" t="s">
        <v>112</v>
      </c>
      <c r="F107" s="867"/>
      <c r="G107" s="868">
        <v>0.15</v>
      </c>
      <c r="H107" s="868">
        <v>0.65</v>
      </c>
      <c r="I107" s="868">
        <v>0.2</v>
      </c>
      <c r="J107" s="598"/>
      <c r="K107" s="598"/>
      <c r="M107" s="878"/>
      <c r="N107" s="892">
        <v>99.5</v>
      </c>
      <c r="O107" s="893"/>
      <c r="P107" s="893">
        <v>100</v>
      </c>
      <c r="Q107" s="894"/>
      <c r="R107" s="895">
        <v>100</v>
      </c>
      <c r="S107" s="896"/>
      <c r="T107" s="892">
        <v>74.72</v>
      </c>
      <c r="U107" s="893"/>
      <c r="V107" s="893">
        <v>75.89</v>
      </c>
      <c r="W107" s="894"/>
      <c r="X107" s="895">
        <v>79</v>
      </c>
      <c r="Y107" s="896"/>
      <c r="Z107" s="880"/>
      <c r="AA107" s="651"/>
    </row>
    <row r="108" ht="14.4" spans="2:27">
      <c r="B108" s="837"/>
      <c r="C108" s="848"/>
      <c r="D108" s="849"/>
      <c r="E108" s="897" t="s">
        <v>122</v>
      </c>
      <c r="F108" s="898"/>
      <c r="G108" s="899">
        <v>0.2</v>
      </c>
      <c r="H108" s="899">
        <v>0.8</v>
      </c>
      <c r="I108" s="899" t="s">
        <v>123</v>
      </c>
      <c r="J108" s="598"/>
      <c r="K108" s="598"/>
      <c r="M108" s="878"/>
      <c r="N108" s="900">
        <v>98.32</v>
      </c>
      <c r="O108" s="901"/>
      <c r="P108" s="901">
        <v>99.49</v>
      </c>
      <c r="Q108" s="902"/>
      <c r="R108" s="895">
        <v>99</v>
      </c>
      <c r="S108" s="896"/>
      <c r="T108" s="900">
        <v>73.54</v>
      </c>
      <c r="U108" s="901"/>
      <c r="V108" s="901">
        <v>74.71</v>
      </c>
      <c r="W108" s="902"/>
      <c r="X108" s="895">
        <v>78</v>
      </c>
      <c r="Y108" s="896"/>
      <c r="Z108" s="880"/>
      <c r="AA108" s="651"/>
    </row>
    <row r="109" ht="16.5" customHeight="1" spans="2:27">
      <c r="B109" s="837"/>
      <c r="C109" s="848"/>
      <c r="D109" s="849"/>
      <c r="E109" s="848"/>
      <c r="F109" s="848"/>
      <c r="G109" s="848"/>
      <c r="H109" s="848"/>
      <c r="I109" s="848"/>
      <c r="J109" s="598"/>
      <c r="K109" s="598"/>
      <c r="M109" s="878"/>
      <c r="N109" s="900">
        <v>97.14</v>
      </c>
      <c r="O109" s="901"/>
      <c r="P109" s="901">
        <v>98.31</v>
      </c>
      <c r="Q109" s="902"/>
      <c r="R109" s="895">
        <v>98</v>
      </c>
      <c r="S109" s="896"/>
      <c r="T109" s="900">
        <v>72.36</v>
      </c>
      <c r="U109" s="901"/>
      <c r="V109" s="901">
        <v>73.53</v>
      </c>
      <c r="W109" s="902"/>
      <c r="X109" s="895">
        <v>77</v>
      </c>
      <c r="Y109" s="896"/>
      <c r="Z109" s="880"/>
      <c r="AA109" s="651"/>
    </row>
    <row r="110" spans="2:27">
      <c r="B110" s="837"/>
      <c r="C110" s="649" t="s">
        <v>124</v>
      </c>
      <c r="D110" s="903"/>
      <c r="E110" s="12"/>
      <c r="F110" s="12"/>
      <c r="G110" s="12"/>
      <c r="H110" s="12"/>
      <c r="I110" s="12"/>
      <c r="M110" s="878"/>
      <c r="N110" s="900">
        <v>95.96</v>
      </c>
      <c r="O110" s="901"/>
      <c r="P110" s="901">
        <v>97.13</v>
      </c>
      <c r="Q110" s="902"/>
      <c r="R110" s="895">
        <v>97</v>
      </c>
      <c r="S110" s="896"/>
      <c r="T110" s="900">
        <v>71.1799999999999</v>
      </c>
      <c r="U110" s="901"/>
      <c r="V110" s="901">
        <v>72.35</v>
      </c>
      <c r="W110" s="902"/>
      <c r="X110" s="895">
        <v>76</v>
      </c>
      <c r="Y110" s="896"/>
      <c r="Z110" s="880"/>
      <c r="AA110" s="651"/>
    </row>
    <row r="111" spans="2:27">
      <c r="B111" s="837"/>
      <c r="C111" s="904" t="s">
        <v>125</v>
      </c>
      <c r="D111" s="903"/>
      <c r="E111" s="12"/>
      <c r="F111" s="12"/>
      <c r="G111" s="12"/>
      <c r="H111" s="12"/>
      <c r="I111" s="12"/>
      <c r="M111" s="878"/>
      <c r="N111" s="900">
        <v>94.78</v>
      </c>
      <c r="O111" s="901"/>
      <c r="P111" s="901">
        <v>95.95</v>
      </c>
      <c r="Q111" s="902"/>
      <c r="R111" s="895">
        <v>96</v>
      </c>
      <c r="S111" s="896"/>
      <c r="T111" s="900">
        <v>69.9999999999999</v>
      </c>
      <c r="U111" s="901"/>
      <c r="V111" s="901">
        <v>71.1699999999999</v>
      </c>
      <c r="W111" s="902"/>
      <c r="X111" s="895">
        <v>75</v>
      </c>
      <c r="Y111" s="896"/>
      <c r="Z111" s="880"/>
      <c r="AA111" s="651"/>
    </row>
    <row r="112" spans="2:27">
      <c r="B112" s="648"/>
      <c r="C112" s="905" t="s">
        <v>126</v>
      </c>
      <c r="D112" s="903"/>
      <c r="E112" s="12"/>
      <c r="F112" s="12"/>
      <c r="G112" s="12"/>
      <c r="H112" s="12"/>
      <c r="I112" s="12"/>
      <c r="M112" s="878"/>
      <c r="N112" s="900">
        <v>93.6</v>
      </c>
      <c r="O112" s="901"/>
      <c r="P112" s="901">
        <v>94.77</v>
      </c>
      <c r="Q112" s="902"/>
      <c r="R112" s="895">
        <v>95</v>
      </c>
      <c r="S112" s="896"/>
      <c r="T112" s="906">
        <v>65.34</v>
      </c>
      <c r="U112" s="907"/>
      <c r="V112" s="907">
        <v>69.9899999999999</v>
      </c>
      <c r="W112" s="908"/>
      <c r="X112" s="909">
        <v>74</v>
      </c>
      <c r="Y112" s="910"/>
      <c r="Z112" s="880"/>
      <c r="AA112" s="651"/>
    </row>
    <row r="113" spans="1:27">
      <c r="B113" s="648"/>
      <c r="C113" s="911"/>
      <c r="D113" s="4" t="s">
        <v>127</v>
      </c>
      <c r="E113" s="12"/>
      <c r="F113" s="12"/>
      <c r="G113" s="12"/>
      <c r="H113" s="12"/>
      <c r="I113" s="12"/>
      <c r="M113" s="878"/>
      <c r="N113" s="900">
        <v>92.42</v>
      </c>
      <c r="O113" s="901"/>
      <c r="P113" s="901">
        <v>93.59</v>
      </c>
      <c r="Q113" s="902"/>
      <c r="R113" s="895">
        <v>94</v>
      </c>
      <c r="S113" s="896"/>
      <c r="T113" s="906">
        <v>60.67</v>
      </c>
      <c r="U113" s="907"/>
      <c r="V113" s="907">
        <v>65.33</v>
      </c>
      <c r="W113" s="908"/>
      <c r="X113" s="909">
        <v>73</v>
      </c>
      <c r="Y113" s="910"/>
      <c r="Z113" s="880"/>
      <c r="AA113" s="651"/>
    </row>
    <row r="114" spans="1:27">
      <c r="B114" s="648"/>
      <c r="C114" s="911"/>
      <c r="D114" s="903"/>
      <c r="E114" s="15" t="s">
        <v>128</v>
      </c>
      <c r="F114" s="12"/>
      <c r="G114" s="12"/>
      <c r="H114" s="12"/>
      <c r="I114" s="12"/>
      <c r="M114" s="878"/>
      <c r="N114" s="900">
        <v>91.24</v>
      </c>
      <c r="O114" s="901"/>
      <c r="P114" s="901">
        <v>92.41</v>
      </c>
      <c r="Q114" s="902"/>
      <c r="R114" s="895">
        <v>93</v>
      </c>
      <c r="S114" s="896"/>
      <c r="T114" s="906">
        <v>56.01</v>
      </c>
      <c r="U114" s="907"/>
      <c r="V114" s="907">
        <v>60.66</v>
      </c>
      <c r="W114" s="908"/>
      <c r="X114" s="909">
        <v>72</v>
      </c>
      <c r="Y114" s="910"/>
      <c r="Z114" s="880"/>
      <c r="AA114" s="651"/>
    </row>
    <row r="115" spans="1:27">
      <c r="B115" s="648"/>
      <c r="C115" s="905" t="s">
        <v>129</v>
      </c>
      <c r="D115" s="903"/>
      <c r="E115" s="12"/>
      <c r="F115" s="12"/>
      <c r="G115" s="12"/>
      <c r="H115" s="12"/>
      <c r="I115" s="12"/>
      <c r="M115" s="878"/>
      <c r="N115" s="900">
        <v>90.06</v>
      </c>
      <c r="O115" s="901"/>
      <c r="P115" s="901">
        <v>91.23</v>
      </c>
      <c r="Q115" s="902"/>
      <c r="R115" s="895">
        <v>92</v>
      </c>
      <c r="S115" s="896"/>
      <c r="T115" s="906">
        <v>51.34</v>
      </c>
      <c r="U115" s="907"/>
      <c r="V115" s="907">
        <v>56</v>
      </c>
      <c r="W115" s="908"/>
      <c r="X115" s="909">
        <v>71</v>
      </c>
      <c r="Y115" s="910"/>
      <c r="Z115" s="880"/>
      <c r="AA115" s="651"/>
    </row>
    <row r="116" ht="14.4" spans="1:27">
      <c r="B116" s="648"/>
      <c r="C116" s="911"/>
      <c r="D116" s="589" t="s">
        <v>130</v>
      </c>
      <c r="E116" s="589"/>
      <c r="F116" s="589"/>
      <c r="G116" s="589"/>
      <c r="H116" s="589"/>
      <c r="I116" s="589"/>
      <c r="J116" s="589"/>
      <c r="K116" s="589"/>
      <c r="M116" s="878"/>
      <c r="N116" s="900">
        <v>88.88</v>
      </c>
      <c r="O116" s="901"/>
      <c r="P116" s="901">
        <v>90.05</v>
      </c>
      <c r="Q116" s="902"/>
      <c r="R116" s="895">
        <v>91</v>
      </c>
      <c r="S116" s="896"/>
      <c r="T116" s="906">
        <v>46.67</v>
      </c>
      <c r="U116" s="907"/>
      <c r="V116" s="907">
        <v>51.33</v>
      </c>
      <c r="W116" s="908"/>
      <c r="X116" s="909">
        <v>70</v>
      </c>
      <c r="Y116" s="910"/>
      <c r="Z116" s="880"/>
      <c r="AA116" s="651"/>
    </row>
    <row r="117" ht="14.4" spans="1:27">
      <c r="B117" s="648"/>
      <c r="C117" s="911"/>
      <c r="D117" s="589"/>
      <c r="E117" s="589"/>
      <c r="F117" s="589"/>
      <c r="G117" s="589"/>
      <c r="H117" s="589"/>
      <c r="I117" s="589"/>
      <c r="J117" s="589"/>
      <c r="K117" s="589"/>
      <c r="M117" s="878"/>
      <c r="N117" s="900">
        <v>87.7</v>
      </c>
      <c r="O117" s="901"/>
      <c r="P117" s="901">
        <v>88.87</v>
      </c>
      <c r="Q117" s="902"/>
      <c r="R117" s="895">
        <v>90</v>
      </c>
      <c r="S117" s="896"/>
      <c r="T117" s="906">
        <v>42.01</v>
      </c>
      <c r="U117" s="907"/>
      <c r="V117" s="907">
        <v>46.66</v>
      </c>
      <c r="W117" s="908"/>
      <c r="X117" s="909">
        <v>69</v>
      </c>
      <c r="Y117" s="910"/>
      <c r="Z117" s="880"/>
      <c r="AA117" s="651"/>
    </row>
    <row r="118" spans="1:27">
      <c r="B118" s="648"/>
      <c r="C118" s="905" t="s">
        <v>131</v>
      </c>
      <c r="D118" s="903"/>
      <c r="E118" s="597"/>
      <c r="F118" s="597"/>
      <c r="G118" s="597"/>
      <c r="H118" s="597"/>
      <c r="I118" s="597"/>
      <c r="J118" s="597"/>
      <c r="K118" s="597"/>
      <c r="M118" s="878"/>
      <c r="N118" s="900">
        <v>86.52</v>
      </c>
      <c r="O118" s="901"/>
      <c r="P118" s="901">
        <v>87.69</v>
      </c>
      <c r="Q118" s="902"/>
      <c r="R118" s="895">
        <v>89</v>
      </c>
      <c r="S118" s="896"/>
      <c r="T118" s="906">
        <v>37.34</v>
      </c>
      <c r="U118" s="907"/>
      <c r="V118" s="907">
        <v>42</v>
      </c>
      <c r="W118" s="908"/>
      <c r="X118" s="909">
        <v>68</v>
      </c>
      <c r="Y118" s="910"/>
      <c r="Z118" s="880"/>
      <c r="AA118" s="651"/>
    </row>
    <row r="119" ht="14.4" spans="1:27">
      <c r="B119" s="648"/>
      <c r="C119" s="912"/>
      <c r="D119" s="589" t="s">
        <v>132</v>
      </c>
      <c r="E119" s="589"/>
      <c r="F119" s="589"/>
      <c r="G119" s="589"/>
      <c r="H119" s="589"/>
      <c r="I119" s="589"/>
      <c r="J119" s="589"/>
      <c r="K119" s="597"/>
      <c r="M119" s="878"/>
      <c r="N119" s="900">
        <v>85.34</v>
      </c>
      <c r="O119" s="901"/>
      <c r="P119" s="901">
        <v>86.51</v>
      </c>
      <c r="Q119" s="902"/>
      <c r="R119" s="895">
        <v>88</v>
      </c>
      <c r="S119" s="896"/>
      <c r="T119" s="906">
        <v>32.68</v>
      </c>
      <c r="U119" s="907"/>
      <c r="V119" s="907">
        <v>37.33</v>
      </c>
      <c r="W119" s="908"/>
      <c r="X119" s="909">
        <v>67</v>
      </c>
      <c r="Y119" s="910"/>
      <c r="Z119" s="880"/>
      <c r="AA119" s="651"/>
    </row>
    <row r="120" ht="14.4" spans="1:27">
      <c r="B120" s="648"/>
      <c r="C120" s="2"/>
      <c r="D120" s="589"/>
      <c r="E120" s="589"/>
      <c r="F120" s="589"/>
      <c r="G120" s="589"/>
      <c r="H120" s="589"/>
      <c r="I120" s="589"/>
      <c r="J120" s="589"/>
      <c r="K120" s="597"/>
      <c r="M120" s="878"/>
      <c r="N120" s="900">
        <v>84.16</v>
      </c>
      <c r="O120" s="901"/>
      <c r="P120" s="901">
        <v>85.33</v>
      </c>
      <c r="Q120" s="902"/>
      <c r="R120" s="895">
        <v>87</v>
      </c>
      <c r="S120" s="896"/>
      <c r="T120" s="906">
        <v>28.01</v>
      </c>
      <c r="U120" s="907"/>
      <c r="V120" s="907">
        <v>32.67</v>
      </c>
      <c r="W120" s="908"/>
      <c r="X120" s="909">
        <v>66</v>
      </c>
      <c r="Y120" s="910"/>
      <c r="Z120" s="880"/>
      <c r="AA120" s="651"/>
    </row>
    <row r="121" spans="1:27">
      <c r="B121" s="648"/>
      <c r="C121" s="905" t="s">
        <v>133</v>
      </c>
      <c r="D121" s="903"/>
      <c r="E121" s="4"/>
      <c r="F121" s="4"/>
      <c r="G121" s="4"/>
      <c r="H121" s="4"/>
      <c r="I121" s="4"/>
      <c r="J121" s="4"/>
      <c r="K121" s="4"/>
      <c r="M121" s="878"/>
      <c r="N121" s="900">
        <v>82.98</v>
      </c>
      <c r="O121" s="901"/>
      <c r="P121" s="901">
        <v>84.15</v>
      </c>
      <c r="Q121" s="902"/>
      <c r="R121" s="895">
        <v>86</v>
      </c>
      <c r="S121" s="896"/>
      <c r="T121" s="906">
        <v>23.35</v>
      </c>
      <c r="U121" s="907"/>
      <c r="V121" s="907">
        <v>28</v>
      </c>
      <c r="W121" s="908"/>
      <c r="X121" s="909">
        <v>65</v>
      </c>
      <c r="Y121" s="910"/>
      <c r="Z121" s="880"/>
      <c r="AA121" s="651"/>
    </row>
    <row r="122" ht="16.5" customHeight="1" spans="1:27">
      <c r="A122" s="4"/>
      <c r="B122" s="913"/>
      <c r="C122" s="2"/>
      <c r="D122" s="589" t="s">
        <v>134</v>
      </c>
      <c r="E122" s="589"/>
      <c r="F122" s="589"/>
      <c r="G122" s="589"/>
      <c r="H122" s="589"/>
      <c r="I122" s="589"/>
      <c r="J122" s="589"/>
      <c r="K122" s="589"/>
      <c r="L122" s="4"/>
      <c r="M122" s="878"/>
      <c r="N122" s="900">
        <v>81.8</v>
      </c>
      <c r="O122" s="901"/>
      <c r="P122" s="901">
        <v>82.97</v>
      </c>
      <c r="Q122" s="902"/>
      <c r="R122" s="895">
        <v>85</v>
      </c>
      <c r="S122" s="896"/>
      <c r="T122" s="906">
        <v>18.68</v>
      </c>
      <c r="U122" s="907"/>
      <c r="V122" s="907">
        <v>23.34</v>
      </c>
      <c r="W122" s="908"/>
      <c r="X122" s="909">
        <v>64</v>
      </c>
      <c r="Y122" s="910"/>
      <c r="Z122" s="880"/>
      <c r="AA122" s="651"/>
    </row>
    <row r="123" ht="14.4" spans="1:27">
      <c r="A123" s="4"/>
      <c r="B123" s="913"/>
      <c r="C123" s="2"/>
      <c r="D123" s="589"/>
      <c r="E123" s="589"/>
      <c r="F123" s="589"/>
      <c r="G123" s="589"/>
      <c r="H123" s="589"/>
      <c r="I123" s="589"/>
      <c r="J123" s="589"/>
      <c r="K123" s="589"/>
      <c r="L123" s="4"/>
      <c r="M123" s="878"/>
      <c r="N123" s="900">
        <v>80.62</v>
      </c>
      <c r="O123" s="901"/>
      <c r="P123" s="901">
        <v>81.79</v>
      </c>
      <c r="Q123" s="902"/>
      <c r="R123" s="895">
        <v>84</v>
      </c>
      <c r="S123" s="896"/>
      <c r="T123" s="906">
        <v>14.01</v>
      </c>
      <c r="U123" s="907"/>
      <c r="V123" s="907">
        <v>18.67</v>
      </c>
      <c r="W123" s="908"/>
      <c r="X123" s="909">
        <v>63</v>
      </c>
      <c r="Y123" s="910"/>
      <c r="Z123" s="880"/>
      <c r="AA123" s="651"/>
    </row>
    <row r="124" spans="1:27">
      <c r="A124" s="4"/>
      <c r="B124" s="913"/>
      <c r="C124" s="905" t="s">
        <v>135</v>
      </c>
      <c r="D124" s="903"/>
      <c r="E124" s="4"/>
      <c r="F124" s="4"/>
      <c r="G124" s="4"/>
      <c r="H124" s="4"/>
      <c r="I124" s="4"/>
      <c r="J124" s="4"/>
      <c r="K124" s="4"/>
      <c r="L124" s="4"/>
      <c r="M124" s="878"/>
      <c r="N124" s="900">
        <v>79.44</v>
      </c>
      <c r="O124" s="901"/>
      <c r="P124" s="901">
        <v>80.61</v>
      </c>
      <c r="Q124" s="902"/>
      <c r="R124" s="895">
        <v>83</v>
      </c>
      <c r="S124" s="896"/>
      <c r="T124" s="906">
        <v>9.35</v>
      </c>
      <c r="U124" s="907"/>
      <c r="V124" s="907">
        <v>14</v>
      </c>
      <c r="W124" s="908"/>
      <c r="X124" s="909">
        <v>62</v>
      </c>
      <c r="Y124" s="910"/>
      <c r="Z124" s="880"/>
      <c r="AA124" s="651"/>
    </row>
    <row r="125" ht="14.4" spans="1:27">
      <c r="A125" s="4"/>
      <c r="B125" s="913"/>
      <c r="C125" s="4"/>
      <c r="D125" s="589" t="s">
        <v>136</v>
      </c>
      <c r="E125" s="589"/>
      <c r="F125" s="589"/>
      <c r="G125" s="589"/>
      <c r="H125" s="589"/>
      <c r="I125" s="589"/>
      <c r="J125" s="589"/>
      <c r="K125" s="589"/>
      <c r="L125" s="4"/>
      <c r="M125" s="878"/>
      <c r="N125" s="900">
        <v>78.26</v>
      </c>
      <c r="O125" s="901"/>
      <c r="P125" s="901">
        <v>79.43</v>
      </c>
      <c r="Q125" s="902"/>
      <c r="R125" s="895">
        <v>82</v>
      </c>
      <c r="S125" s="896"/>
      <c r="T125" s="906">
        <v>4.68</v>
      </c>
      <c r="U125" s="907"/>
      <c r="V125" s="907">
        <v>9.34</v>
      </c>
      <c r="W125" s="908"/>
      <c r="X125" s="909">
        <v>61</v>
      </c>
      <c r="Y125" s="910"/>
      <c r="Z125" s="880"/>
      <c r="AA125" s="651"/>
    </row>
    <row r="126" ht="14.4" spans="1:27">
      <c r="A126" s="4"/>
      <c r="B126" s="913"/>
      <c r="C126" s="4"/>
      <c r="D126" s="589"/>
      <c r="E126" s="589"/>
      <c r="F126" s="589"/>
      <c r="G126" s="589"/>
      <c r="H126" s="589"/>
      <c r="I126" s="589"/>
      <c r="J126" s="589"/>
      <c r="K126" s="589"/>
      <c r="L126" s="4"/>
      <c r="M126" s="878"/>
      <c r="N126" s="900">
        <v>77.08</v>
      </c>
      <c r="O126" s="901"/>
      <c r="P126" s="901">
        <v>78.25</v>
      </c>
      <c r="Q126" s="902"/>
      <c r="R126" s="895">
        <v>81</v>
      </c>
      <c r="S126" s="896"/>
      <c r="T126" s="906">
        <v>0</v>
      </c>
      <c r="U126" s="907"/>
      <c r="V126" s="907">
        <v>4.67</v>
      </c>
      <c r="W126" s="908"/>
      <c r="X126" s="909">
        <v>60</v>
      </c>
      <c r="Y126" s="910"/>
      <c r="Z126" s="880"/>
      <c r="AA126" s="651"/>
    </row>
    <row r="127" spans="1:27">
      <c r="A127" s="4"/>
      <c r="B127" s="913"/>
      <c r="C127" s="905" t="s">
        <v>137</v>
      </c>
      <c r="D127" s="903"/>
      <c r="E127" s="4"/>
      <c r="L127" s="4"/>
      <c r="M127" s="878"/>
      <c r="N127" s="914">
        <v>75.9</v>
      </c>
      <c r="O127" s="915"/>
      <c r="P127" s="915">
        <v>77.07</v>
      </c>
      <c r="Q127" s="916"/>
      <c r="R127" s="917">
        <v>80</v>
      </c>
      <c r="S127" s="918"/>
      <c r="T127" s="919"/>
      <c r="U127" s="920"/>
      <c r="V127" s="921"/>
      <c r="W127" s="921"/>
      <c r="X127" s="922"/>
      <c r="Y127" s="923"/>
      <c r="Z127" s="880"/>
      <c r="AA127" s="651"/>
    </row>
    <row r="128" spans="1:27">
      <c r="A128" s="4"/>
      <c r="B128" s="913"/>
      <c r="D128" s="589" t="s">
        <v>138</v>
      </c>
      <c r="E128" s="589"/>
      <c r="F128" s="589"/>
      <c r="G128" s="589"/>
      <c r="H128" s="589"/>
      <c r="I128" s="589"/>
      <c r="J128" s="589"/>
      <c r="K128" s="589"/>
      <c r="L128" s="4"/>
      <c r="M128" s="878"/>
      <c r="N128" s="924" t="s">
        <v>139</v>
      </c>
      <c r="O128" s="924"/>
      <c r="P128" s="924"/>
      <c r="Q128" s="924"/>
      <c r="R128" s="924"/>
      <c r="S128" s="924"/>
      <c r="T128" s="924"/>
      <c r="U128" s="924"/>
      <c r="V128" s="924"/>
      <c r="W128" s="924"/>
      <c r="X128" s="924"/>
      <c r="Y128" s="924"/>
      <c r="Z128" s="925"/>
      <c r="AA128" s="651"/>
    </row>
    <row r="129" spans="1:27">
      <c r="A129" s="4"/>
      <c r="B129" s="913"/>
      <c r="D129" s="589"/>
      <c r="E129" s="589"/>
      <c r="F129" s="589"/>
      <c r="G129" s="589"/>
      <c r="H129" s="589"/>
      <c r="I129" s="589"/>
      <c r="J129" s="589"/>
      <c r="K129" s="589"/>
      <c r="L129" s="4"/>
      <c r="M129" s="926"/>
      <c r="N129" s="927"/>
      <c r="O129" s="927"/>
      <c r="P129" s="927"/>
      <c r="Q129" s="927"/>
      <c r="R129" s="927"/>
      <c r="S129" s="927"/>
      <c r="T129" s="927"/>
      <c r="U129" s="927"/>
      <c r="V129" s="927"/>
      <c r="W129" s="927"/>
      <c r="X129" s="927"/>
      <c r="Y129" s="927"/>
      <c r="Z129" s="928"/>
      <c r="AA129" s="651"/>
    </row>
    <row r="130" ht="15.15" spans="1:27">
      <c r="A130" s="4"/>
      <c r="B130" s="929"/>
      <c r="C130" s="774"/>
      <c r="D130" s="774"/>
      <c r="E130" s="774"/>
      <c r="F130" s="774"/>
      <c r="G130" s="774"/>
      <c r="H130" s="774"/>
      <c r="I130" s="774"/>
      <c r="J130" s="774"/>
      <c r="K130" s="774"/>
      <c r="L130" s="774"/>
      <c r="M130" s="773"/>
      <c r="N130" s="772"/>
      <c r="O130" s="772"/>
      <c r="P130" s="772"/>
      <c r="Q130" s="772"/>
      <c r="R130" s="774"/>
      <c r="S130" s="775"/>
      <c r="T130" s="775"/>
      <c r="U130" s="776"/>
      <c r="V130" s="776"/>
      <c r="W130" s="776"/>
      <c r="X130" s="776"/>
      <c r="Y130" s="776"/>
      <c r="Z130" s="772"/>
      <c r="AA130" s="777"/>
    </row>
    <row r="131" ht="15.15" spans="1:27">
      <c r="A131" s="4"/>
      <c r="B131" s="4"/>
      <c r="C131" s="4"/>
      <c r="D131" s="4"/>
      <c r="E131" s="4"/>
      <c r="F131" s="4"/>
      <c r="G131" s="4"/>
      <c r="H131" s="4"/>
      <c r="I131" s="4"/>
      <c r="J131" s="4"/>
      <c r="K131" s="4"/>
      <c r="L131" s="4"/>
    </row>
    <row r="132" ht="14.4" spans="1:27">
      <c r="A132" s="4"/>
      <c r="B132" s="615"/>
      <c r="C132" s="616"/>
      <c r="D132" s="617"/>
      <c r="E132" s="618"/>
      <c r="F132" s="618"/>
      <c r="G132" s="618"/>
      <c r="H132" s="618"/>
      <c r="I132" s="618"/>
      <c r="J132" s="618"/>
      <c r="K132" s="619"/>
      <c r="L132" s="619"/>
      <c r="M132" s="619"/>
      <c r="N132" s="619"/>
      <c r="O132" s="619"/>
      <c r="P132" s="619"/>
      <c r="Q132" s="619"/>
      <c r="R132" s="619"/>
      <c r="S132" s="619"/>
      <c r="T132" s="619"/>
      <c r="U132" s="619"/>
      <c r="V132" s="619"/>
      <c r="W132" s="619"/>
      <c r="X132" s="619"/>
      <c r="Y132" s="619"/>
      <c r="Z132" s="619"/>
      <c r="AA132" s="620"/>
    </row>
    <row r="133" ht="23.4" spans="1:27">
      <c r="A133" s="4"/>
      <c r="B133" s="621"/>
      <c r="C133" s="622">
        <v>4</v>
      </c>
      <c r="D133" s="930" t="s">
        <v>140</v>
      </c>
      <c r="E133" s="624"/>
      <c r="F133" s="624"/>
      <c r="G133" s="624"/>
      <c r="H133" s="624"/>
      <c r="I133" s="624"/>
      <c r="J133" s="624"/>
      <c r="K133" s="625"/>
      <c r="L133" s="625"/>
      <c r="M133" s="625"/>
      <c r="N133" s="625"/>
      <c r="O133" s="625"/>
      <c r="P133" s="625"/>
      <c r="Q133" s="625"/>
      <c r="R133" s="625"/>
      <c r="S133" s="625"/>
      <c r="T133" s="625"/>
      <c r="U133" s="625"/>
      <c r="V133" s="625"/>
      <c r="W133" s="625"/>
      <c r="X133" s="625"/>
      <c r="Y133" s="625"/>
      <c r="Z133" s="625"/>
      <c r="AA133" s="626"/>
    </row>
    <row r="134" ht="15.15" spans="1:27">
      <c r="A134" s="4"/>
      <c r="B134" s="627"/>
      <c r="C134" s="628"/>
      <c r="D134" s="629"/>
      <c r="E134" s="630"/>
      <c r="F134" s="630"/>
      <c r="G134" s="630"/>
      <c r="H134" s="630"/>
      <c r="I134" s="630"/>
      <c r="J134" s="631"/>
      <c r="K134" s="632"/>
      <c r="L134" s="632"/>
      <c r="M134" s="632"/>
      <c r="N134" s="632"/>
      <c r="O134" s="632"/>
      <c r="P134" s="632"/>
      <c r="Q134" s="632"/>
      <c r="R134" s="632"/>
      <c r="S134" s="632"/>
      <c r="T134" s="632"/>
      <c r="U134" s="632"/>
      <c r="V134" s="632"/>
      <c r="W134" s="632"/>
      <c r="X134" s="632"/>
      <c r="Y134" s="632"/>
      <c r="Z134" s="632"/>
      <c r="AA134" s="633"/>
    </row>
    <row r="135" ht="14.4" spans="1:27">
      <c r="A135" s="4"/>
      <c r="B135" s="4"/>
      <c r="C135" s="4"/>
      <c r="D135" s="4"/>
      <c r="E135" s="4"/>
      <c r="F135" s="4"/>
      <c r="G135" s="4"/>
      <c r="H135" s="4"/>
      <c r="I135" s="4"/>
      <c r="J135" s="4"/>
      <c r="K135" s="4"/>
      <c r="L135" s="4"/>
    </row>
    <row r="136" ht="14.4" hidden="1" spans="1:27">
      <c r="A136" s="4"/>
      <c r="B136" s="4"/>
      <c r="C136" s="4"/>
      <c r="D136" s="4"/>
      <c r="E136" s="4"/>
      <c r="F136" s="4"/>
      <c r="G136" s="4"/>
      <c r="H136" s="4"/>
      <c r="I136" s="4"/>
      <c r="J136" s="4"/>
      <c r="K136" s="4"/>
      <c r="L136" s="4"/>
    </row>
    <row r="139" ht="14.4" hidden="1" spans="1:27">
      <c r="C139" s="2"/>
      <c r="D139" s="2"/>
      <c r="E139" s="2"/>
      <c r="F139" s="2"/>
      <c r="G139" s="2"/>
      <c r="H139" s="2"/>
      <c r="I139" s="2"/>
    </row>
    <row r="140" ht="14.4" hidden="1" spans="1:27">
      <c r="C140" s="2"/>
      <c r="D140" s="2"/>
      <c r="E140" s="2"/>
      <c r="F140" s="2"/>
      <c r="G140" s="2"/>
      <c r="H140" s="2"/>
      <c r="I140" s="2"/>
    </row>
    <row r="141" ht="14.4" hidden="1" spans="1:27">
      <c r="C141" s="2"/>
      <c r="D141" s="2"/>
      <c r="E141" s="2"/>
      <c r="F141" s="2"/>
      <c r="G141" s="2"/>
      <c r="H141" s="2"/>
      <c r="I141" s="2"/>
    </row>
    <row r="142" ht="14.4" hidden="1" spans="1:27">
      <c r="C142" s="2"/>
      <c r="D142" s="2"/>
      <c r="E142" s="2"/>
      <c r="F142" s="2"/>
      <c r="G142" s="2"/>
      <c r="H142" s="2"/>
      <c r="I142" s="2"/>
    </row>
    <row r="143" ht="14.4" hidden="1" spans="1:27">
      <c r="C143" s="2"/>
      <c r="D143" s="2"/>
      <c r="E143" s="2"/>
      <c r="F143" s="2"/>
      <c r="G143" s="2"/>
      <c r="H143" s="2"/>
      <c r="I143" s="2"/>
    </row>
    <row r="144" ht="14.4" hidden="1" spans="1:27">
      <c r="C144" s="2"/>
      <c r="D144" s="2"/>
      <c r="E144" s="2"/>
      <c r="F144" s="2"/>
      <c r="G144" s="2"/>
      <c r="H144" s="2"/>
      <c r="I144" s="2"/>
    </row>
    <row r="145" ht="14.4" hidden="1" spans="2:9">
      <c r="C145" s="2"/>
      <c r="D145" s="2"/>
      <c r="E145" s="2"/>
      <c r="F145" s="2"/>
      <c r="G145" s="2"/>
      <c r="H145" s="2"/>
      <c r="I145" s="2"/>
    </row>
    <row r="146" ht="14.4" hidden="1" spans="2:9">
      <c r="C146" s="2"/>
      <c r="D146" s="2"/>
      <c r="E146" s="2"/>
      <c r="F146" s="2"/>
      <c r="G146" s="2"/>
      <c r="H146" s="2"/>
      <c r="I146" s="2"/>
    </row>
    <row r="147" ht="14.4" hidden="1" spans="2:9">
      <c r="C147" s="2"/>
      <c r="D147" s="2"/>
      <c r="E147" s="2"/>
      <c r="F147" s="2"/>
      <c r="G147" s="2"/>
      <c r="H147" s="2"/>
      <c r="I147" s="2"/>
    </row>
    <row r="148" ht="14.4" hidden="1" spans="2:9">
      <c r="C148" s="2"/>
      <c r="D148" s="2"/>
      <c r="E148" s="2"/>
      <c r="F148" s="2"/>
      <c r="G148" s="2"/>
      <c r="H148" s="2"/>
      <c r="I148" s="2"/>
    </row>
    <row r="149" ht="14.4" hidden="1" spans="2:9">
      <c r="C149" s="2"/>
      <c r="D149" s="2"/>
      <c r="E149" s="2"/>
      <c r="F149" s="2"/>
      <c r="G149" s="2"/>
      <c r="H149" s="2"/>
      <c r="I149" s="2"/>
    </row>
    <row r="150" ht="14.4" hidden="1" spans="2:9">
      <c r="C150" s="2"/>
      <c r="D150" s="2"/>
      <c r="E150" s="2"/>
      <c r="F150" s="2"/>
      <c r="G150" s="2"/>
      <c r="H150" s="2"/>
      <c r="I150" s="2"/>
    </row>
    <row r="151" ht="14.4" hidden="1" spans="2:9">
      <c r="C151" s="2"/>
      <c r="D151" s="2"/>
      <c r="E151" s="2"/>
      <c r="F151" s="2"/>
      <c r="G151" s="2"/>
      <c r="H151" s="2"/>
      <c r="I151" s="2"/>
    </row>
    <row r="152" ht="14.4" hidden="1" spans="2:9">
      <c r="C152" s="2"/>
      <c r="D152" s="2"/>
      <c r="E152" s="2"/>
      <c r="F152" s="2"/>
      <c r="G152" s="2"/>
      <c r="H152" s="2"/>
      <c r="I152" s="2"/>
    </row>
    <row r="153" ht="14.4" hidden="1" spans="2:9">
      <c r="C153" s="2"/>
      <c r="D153" s="2"/>
      <c r="E153" s="2"/>
      <c r="F153" s="2"/>
      <c r="G153" s="2"/>
      <c r="H153" s="2"/>
      <c r="I153" s="2"/>
    </row>
    <row r="154" ht="14.4" hidden="1" spans="2:9">
      <c r="C154" s="2"/>
      <c r="D154" s="2"/>
      <c r="E154" s="2"/>
      <c r="F154" s="2"/>
      <c r="G154" s="2"/>
      <c r="H154" s="2"/>
      <c r="I154" s="2"/>
    </row>
    <row r="155" ht="14.4" hidden="1" spans="2:9">
      <c r="C155" s="2"/>
      <c r="D155" s="2"/>
      <c r="E155" s="2"/>
      <c r="F155" s="2"/>
      <c r="G155" s="2"/>
      <c r="H155" s="2"/>
      <c r="I155" s="2"/>
    </row>
    <row r="156" ht="14.4" hidden="1" spans="2:9">
      <c r="C156" s="2"/>
      <c r="D156" s="2"/>
      <c r="E156" s="2"/>
      <c r="F156" s="2"/>
      <c r="G156" s="2"/>
      <c r="H156" s="2"/>
      <c r="I156" s="2"/>
    </row>
    <row r="157" ht="14.4" hidden="1" spans="2:9">
      <c r="C157" s="2"/>
      <c r="D157" s="2"/>
      <c r="E157" s="2"/>
      <c r="F157" s="2"/>
      <c r="G157" s="2"/>
      <c r="H157" s="2"/>
      <c r="I157" s="2"/>
    </row>
    <row r="158" ht="14.4" hidden="1" spans="2:9">
      <c r="B158" s="4"/>
      <c r="C158" s="2"/>
      <c r="D158" s="2"/>
      <c r="E158" s="2"/>
      <c r="F158" s="2"/>
      <c r="G158" s="2"/>
      <c r="H158" s="2"/>
      <c r="I158" s="2"/>
    </row>
    <row r="159" ht="14.4" hidden="1" spans="2:9">
      <c r="C159" s="2"/>
      <c r="D159" s="2"/>
      <c r="E159" s="2"/>
      <c r="F159" s="2"/>
      <c r="G159" s="2"/>
      <c r="H159" s="2"/>
      <c r="I159" s="2"/>
    </row>
    <row r="160" ht="14.4" hidden="1" spans="2:9">
      <c r="C160" s="2"/>
      <c r="D160" s="2"/>
      <c r="E160" s="2"/>
      <c r="F160" s="2"/>
      <c r="G160" s="2"/>
      <c r="H160" s="2"/>
      <c r="I160" s="2"/>
    </row>
    <row r="161" ht="14.4" hidden="1" spans="3:9">
      <c r="C161" s="2"/>
      <c r="D161" s="2"/>
      <c r="E161" s="2"/>
      <c r="F161" s="2"/>
      <c r="G161" s="2"/>
      <c r="H161" s="2"/>
      <c r="I161" s="2"/>
    </row>
    <row r="162" ht="14.4" hidden="1" spans="3:9">
      <c r="C162" s="2"/>
      <c r="D162" s="2"/>
      <c r="E162" s="2"/>
      <c r="F162" s="2"/>
      <c r="G162" s="2"/>
      <c r="H162" s="2"/>
      <c r="I162" s="2"/>
    </row>
    <row r="163" ht="14.4" hidden="1" spans="3:9">
      <c r="C163" s="2"/>
      <c r="D163" s="2"/>
      <c r="E163" s="2"/>
      <c r="F163" s="2"/>
      <c r="G163" s="2"/>
      <c r="H163" s="2"/>
      <c r="I163" s="2"/>
    </row>
    <row r="164" ht="14.4" hidden="1" spans="3:9">
      <c r="C164" s="2"/>
      <c r="D164" s="2"/>
      <c r="E164" s="2"/>
      <c r="F164" s="2"/>
      <c r="G164" s="2"/>
      <c r="H164" s="2"/>
      <c r="I164" s="2"/>
    </row>
    <row r="165" ht="14.4" hidden="1" spans="3:9">
      <c r="C165" s="2"/>
      <c r="D165" s="2"/>
      <c r="E165" s="2"/>
      <c r="F165" s="2"/>
      <c r="G165" s="2"/>
      <c r="H165" s="2"/>
      <c r="I165" s="2"/>
    </row>
    <row r="166" ht="14.4" hidden="1" spans="3:9">
      <c r="C166" s="2"/>
      <c r="D166" s="2"/>
      <c r="E166" s="2"/>
      <c r="F166" s="2"/>
      <c r="G166" s="2"/>
      <c r="H166" s="2"/>
      <c r="I166" s="2"/>
    </row>
    <row r="167" ht="14.4" hidden="1" spans="3:9">
      <c r="C167" s="2"/>
      <c r="D167" s="2"/>
      <c r="E167" s="2"/>
      <c r="F167" s="2"/>
      <c r="G167" s="2"/>
      <c r="H167" s="2"/>
      <c r="I167" s="2"/>
    </row>
    <row r="168" ht="14.4" hidden="1" spans="3:9">
      <c r="C168" s="2"/>
      <c r="D168" s="2"/>
      <c r="E168" s="2"/>
      <c r="F168" s="2"/>
      <c r="G168" s="2"/>
      <c r="H168" s="2"/>
      <c r="I168" s="2"/>
    </row>
    <row r="169"/>
  </sheetData>
  <sheetProtection algorithmName="SHA-512" hashValue="2+3B6rASVDDXzd0N2HFAU4Lf+dlXnvTO+/W1fD0LML1JzYHIEdmuxQTX6/tCoyMm8RLw/NkFr/xCSLodnPw4dA==" saltValue="5pQZeKSr76/H3+2bDWYEMg==" spinCount="100000" sheet="1" objects="1" scenarios="1"/>
  <mergeCells count="167">
    <mergeCell ref="T18:X18"/>
    <mergeCell ref="D26:J26"/>
    <mergeCell ref="N30:R30"/>
    <mergeCell ref="M42:X42"/>
    <mergeCell ref="N44:R44"/>
    <mergeCell ref="T44:X44"/>
    <mergeCell ref="O45:P45"/>
    <mergeCell ref="Q45:R45"/>
    <mergeCell ref="U45:V45"/>
    <mergeCell ref="W45:X45"/>
    <mergeCell ref="O46:P46"/>
    <mergeCell ref="Q46:R46"/>
    <mergeCell ref="U46:V46"/>
    <mergeCell ref="W46:X46"/>
    <mergeCell ref="O47:P47"/>
    <mergeCell ref="Q47:R47"/>
    <mergeCell ref="U47:V47"/>
    <mergeCell ref="W47:X47"/>
    <mergeCell ref="O48:P48"/>
    <mergeCell ref="Q48:R48"/>
    <mergeCell ref="U48:V48"/>
    <mergeCell ref="W48:X48"/>
    <mergeCell ref="D49:J49"/>
    <mergeCell ref="O49:P49"/>
    <mergeCell ref="Q49:R49"/>
    <mergeCell ref="U49:V49"/>
    <mergeCell ref="W49:X49"/>
    <mergeCell ref="D50:J50"/>
    <mergeCell ref="L52:O52"/>
    <mergeCell ref="P52:T52"/>
    <mergeCell ref="U52:V52"/>
    <mergeCell ref="W52:X52"/>
    <mergeCell ref="Y52:Z52"/>
    <mergeCell ref="M68:Z68"/>
    <mergeCell ref="S79:Z79"/>
    <mergeCell ref="M89:Z89"/>
    <mergeCell ref="E100:F100"/>
    <mergeCell ref="E101:F101"/>
    <mergeCell ref="E102:F102"/>
    <mergeCell ref="M103:Z103"/>
    <mergeCell ref="E105:F105"/>
    <mergeCell ref="N105:Q105"/>
    <mergeCell ref="T105:W105"/>
    <mergeCell ref="E106:F106"/>
    <mergeCell ref="N106:O106"/>
    <mergeCell ref="P106:Q106"/>
    <mergeCell ref="T106:U106"/>
    <mergeCell ref="V106:W106"/>
    <mergeCell ref="E107:F107"/>
    <mergeCell ref="N107:O107"/>
    <mergeCell ref="P107:Q107"/>
    <mergeCell ref="T107:U107"/>
    <mergeCell ref="V107:W107"/>
    <mergeCell ref="E108:F108"/>
    <mergeCell ref="N108:O108"/>
    <mergeCell ref="P108:Q108"/>
    <mergeCell ref="T108:U108"/>
    <mergeCell ref="V108:W108"/>
    <mergeCell ref="N109:O109"/>
    <mergeCell ref="P109:Q109"/>
    <mergeCell ref="T109:U109"/>
    <mergeCell ref="V109:W109"/>
    <mergeCell ref="N110:O110"/>
    <mergeCell ref="P110:Q110"/>
    <mergeCell ref="T110:U110"/>
    <mergeCell ref="V110:W110"/>
    <mergeCell ref="N111:O111"/>
    <mergeCell ref="P111:Q111"/>
    <mergeCell ref="T111:U111"/>
    <mergeCell ref="V111:W111"/>
    <mergeCell ref="N112:O112"/>
    <mergeCell ref="P112:Q112"/>
    <mergeCell ref="T112:U112"/>
    <mergeCell ref="V112:W112"/>
    <mergeCell ref="N113:O113"/>
    <mergeCell ref="P113:Q113"/>
    <mergeCell ref="T113:U113"/>
    <mergeCell ref="V113:W113"/>
    <mergeCell ref="N114:O114"/>
    <mergeCell ref="P114:Q114"/>
    <mergeCell ref="T114:U114"/>
    <mergeCell ref="V114:W114"/>
    <mergeCell ref="N115:O115"/>
    <mergeCell ref="P115:Q115"/>
    <mergeCell ref="T115:U115"/>
    <mergeCell ref="V115:W115"/>
    <mergeCell ref="N116:O116"/>
    <mergeCell ref="P116:Q116"/>
    <mergeCell ref="T116:U116"/>
    <mergeCell ref="V116:W116"/>
    <mergeCell ref="N117:O117"/>
    <mergeCell ref="P117:Q117"/>
    <mergeCell ref="T117:U117"/>
    <mergeCell ref="V117:W117"/>
    <mergeCell ref="N118:O118"/>
    <mergeCell ref="P118:Q118"/>
    <mergeCell ref="T118:U118"/>
    <mergeCell ref="V118:W118"/>
    <mergeCell ref="N119:O119"/>
    <mergeCell ref="P119:Q119"/>
    <mergeCell ref="T119:U119"/>
    <mergeCell ref="V119:W119"/>
    <mergeCell ref="N120:O120"/>
    <mergeCell ref="P120:Q120"/>
    <mergeCell ref="T120:U120"/>
    <mergeCell ref="V120:W120"/>
    <mergeCell ref="N121:O121"/>
    <mergeCell ref="P121:Q121"/>
    <mergeCell ref="T121:U121"/>
    <mergeCell ref="V121:W121"/>
    <mergeCell ref="N122:O122"/>
    <mergeCell ref="P122:Q122"/>
    <mergeCell ref="T122:U122"/>
    <mergeCell ref="V122:W122"/>
    <mergeCell ref="N123:O123"/>
    <mergeCell ref="P123:Q123"/>
    <mergeCell ref="T123:U123"/>
    <mergeCell ref="V123:W123"/>
    <mergeCell ref="N124:O124"/>
    <mergeCell ref="P124:Q124"/>
    <mergeCell ref="T124:U124"/>
    <mergeCell ref="V124:W124"/>
    <mergeCell ref="N125:O125"/>
    <mergeCell ref="P125:Q125"/>
    <mergeCell ref="T125:U125"/>
    <mergeCell ref="V125:W125"/>
    <mergeCell ref="N126:O126"/>
    <mergeCell ref="P126:Q126"/>
    <mergeCell ref="T126:U126"/>
    <mergeCell ref="V126:W126"/>
    <mergeCell ref="N127:O127"/>
    <mergeCell ref="P127:Q127"/>
    <mergeCell ref="T127:U127"/>
    <mergeCell ref="G103:G104"/>
    <mergeCell ref="H103:H104"/>
    <mergeCell ref="I103:I104"/>
    <mergeCell ref="E103:F104"/>
    <mergeCell ref="D70:K71"/>
    <mergeCell ref="D79:K80"/>
    <mergeCell ref="C89:K91"/>
    <mergeCell ref="S70:Z71"/>
    <mergeCell ref="S72:Z73"/>
    <mergeCell ref="S74:Z75"/>
    <mergeCell ref="S76:Z78"/>
    <mergeCell ref="O76:R77"/>
    <mergeCell ref="R105:S106"/>
    <mergeCell ref="X105:Y106"/>
    <mergeCell ref="D34:J36"/>
    <mergeCell ref="D41:J42"/>
    <mergeCell ref="D45:J46"/>
    <mergeCell ref="D37:J40"/>
    <mergeCell ref="D128:K129"/>
    <mergeCell ref="N128:Y129"/>
    <mergeCell ref="D122:K123"/>
    <mergeCell ref="D125:K126"/>
    <mergeCell ref="D116:K117"/>
    <mergeCell ref="D119:J120"/>
    <mergeCell ref="D19:J20"/>
    <mergeCell ref="E9:J11"/>
    <mergeCell ref="C93:K94"/>
    <mergeCell ref="M98:Z101"/>
    <mergeCell ref="D51:J53"/>
    <mergeCell ref="D47:J48"/>
    <mergeCell ref="D32:J33"/>
    <mergeCell ref="E95:I96"/>
    <mergeCell ref="D30:J31"/>
    <mergeCell ref="D81:K82"/>
  </mergeCells>
  <dataValidations count="1">
    <dataValidation type="list" allowBlank="1" showInputMessage="1" showErrorMessage="1" sqref="U24" showDropDown="1">
      <formula1>"11,12"</formula1>
    </dataValidation>
  </dataValidations>
  <printOptions horizontalCentered="1"/>
  <pageMargins left="0.236220472440945" right="0.236220472440945" top="0.748031496062992" bottom="0.748031496062992" header="0.31496062992126" footer="0.31496062992126"/>
  <pageSetup paperSize="208" scale="89" fitToHeight="0"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0046D2"/>
    <pageSetUpPr fitToPage="1"/>
  </sheetPr>
  <dimension ref="A1:U71"/>
  <sheetViews>
    <sheetView showGridLines="0" zoomScale="90" zoomScaleNormal="90" workbookViewId="0">
      <pane ySplit="3" topLeftCell="A9" activePane="bottomLeft" state="frozen"/>
      <selection/>
      <selection pane="bottomLeft" activeCell="F30" sqref="F30:H31"/>
    </sheetView>
  </sheetViews>
  <sheetFormatPr defaultColWidth="0" defaultRowHeight="13.8" zeroHeight="1"/>
  <cols>
    <col min="1" max="1" width="3.62962962962963" style="2" customWidth="1"/>
    <col min="2" max="2" width="3.62962962962963" style="181" customWidth="1"/>
    <col min="3" max="3" width="10.6296296296296" style="2" customWidth="1"/>
    <col min="4" max="4" width="10.6296296296296" style="4" customWidth="1"/>
    <col min="5" max="5" width="2.62962962962963" style="17" customWidth="1"/>
    <col min="6" max="7" width="7.4537037037037" style="15" customWidth="1"/>
    <col min="8" max="8" width="26.3611111111111" style="15" customWidth="1"/>
    <col min="9" max="9" width="3.62962962962963" style="3" hidden="1" customWidth="1"/>
    <col min="10" max="10" width="3.62962962962963" style="3" customWidth="1"/>
    <col min="11" max="11" width="3.62962962962963" style="2" customWidth="1"/>
    <col min="12" max="12" width="3.62962962962963" style="15" customWidth="1"/>
    <col min="13" max="13" width="3.62962962962963" style="2" customWidth="1"/>
    <col min="14" max="14" width="15.6296296296296" style="2" customWidth="1"/>
    <col min="15" max="15" width="35.6296296296296" style="2" customWidth="1"/>
    <col min="16" max="17" width="3.62962962962963" style="2" customWidth="1"/>
    <col min="18" max="18" width="15.6296296296296" style="2" customWidth="1"/>
    <col min="19" max="19" width="35.6296296296296" style="2" customWidth="1"/>
    <col min="20" max="21" width="3.62962962962963" style="2" customWidth="1"/>
    <col min="22" max="23" width="9.17592592592593" style="2" hidden="1" customWidth="1"/>
    <col min="24" max="29" width="0" style="2" hidden="1" customWidth="1"/>
    <col min="30" max="16384" width="9.17592592592593" style="2" hidden="1"/>
  </cols>
  <sheetData>
    <row r="1" ht="15" customHeight="1" spans="1:21">
      <c r="A1" s="414"/>
      <c r="B1" s="415"/>
      <c r="C1" s="416"/>
      <c r="D1" s="416"/>
      <c r="E1" s="416"/>
      <c r="F1" s="417"/>
      <c r="G1" s="417"/>
      <c r="H1" s="416"/>
      <c r="I1" s="418"/>
      <c r="J1" s="418"/>
      <c r="K1" s="416"/>
      <c r="L1" s="416"/>
      <c r="M1" s="416"/>
      <c r="N1" s="416"/>
      <c r="O1" s="416"/>
      <c r="P1" s="416"/>
      <c r="Q1" s="416"/>
      <c r="R1" s="416"/>
      <c r="S1" s="416"/>
      <c r="T1" s="416"/>
      <c r="U1" s="419"/>
    </row>
    <row r="2" ht="15" customHeight="1" spans="1:21">
      <c r="A2" s="419"/>
      <c r="B2" s="415"/>
      <c r="C2" s="416"/>
      <c r="D2" s="420" t="s">
        <v>0</v>
      </c>
      <c r="E2" s="416"/>
      <c r="F2" s="417"/>
      <c r="G2" s="417"/>
      <c r="H2" s="416"/>
      <c r="I2" s="418"/>
      <c r="J2" s="418"/>
      <c r="K2" s="416"/>
      <c r="L2" s="416"/>
      <c r="M2" s="416"/>
      <c r="N2" s="416"/>
      <c r="O2" s="416"/>
      <c r="P2" s="416"/>
      <c r="Q2" s="416"/>
      <c r="R2" s="416"/>
      <c r="S2" s="416"/>
      <c r="T2" s="416"/>
      <c r="U2" s="419"/>
    </row>
    <row r="3" ht="25.2" spans="1:21">
      <c r="A3" s="419"/>
      <c r="B3" s="415"/>
      <c r="C3" s="416"/>
      <c r="D3" s="421" t="s">
        <v>141</v>
      </c>
      <c r="E3" s="416"/>
      <c r="F3" s="417"/>
      <c r="G3" s="417"/>
      <c r="H3" s="416"/>
      <c r="I3" s="418"/>
      <c r="J3" s="418"/>
      <c r="K3" s="416"/>
      <c r="L3" s="416"/>
      <c r="M3" s="416"/>
      <c r="N3" s="416"/>
      <c r="O3" s="416"/>
      <c r="P3" s="416"/>
      <c r="Q3" s="416"/>
      <c r="R3" s="416"/>
      <c r="S3" s="416"/>
      <c r="T3" s="416"/>
      <c r="U3" s="419"/>
    </row>
    <row r="4" ht="15" customHeight="1" spans="1:21">
      <c r="A4" s="419"/>
      <c r="B4" s="415"/>
      <c r="C4" s="416"/>
      <c r="D4" s="422" t="s">
        <v>142</v>
      </c>
      <c r="E4" s="416"/>
      <c r="F4" s="417"/>
      <c r="G4" s="417"/>
      <c r="H4" s="416"/>
      <c r="I4" s="418"/>
      <c r="J4" s="418"/>
      <c r="K4" s="416"/>
      <c r="L4" s="416"/>
      <c r="M4" s="416"/>
      <c r="N4" s="416"/>
      <c r="O4" s="416"/>
      <c r="P4" s="416"/>
      <c r="Q4" s="416"/>
      <c r="R4" s="416"/>
      <c r="S4" s="416"/>
      <c r="T4" s="416"/>
      <c r="U4" s="419"/>
    </row>
    <row r="5" ht="15" customHeight="1" spans="1:21">
      <c r="A5" s="419"/>
      <c r="B5" s="415"/>
      <c r="C5" s="416"/>
      <c r="D5" s="416"/>
      <c r="E5" s="416"/>
      <c r="F5" s="417"/>
      <c r="G5" s="417"/>
      <c r="H5" s="416"/>
      <c r="I5" s="418"/>
      <c r="J5" s="418"/>
      <c r="K5" s="416"/>
      <c r="L5" s="416"/>
      <c r="M5" s="416"/>
      <c r="N5" s="416"/>
      <c r="O5" s="416"/>
      <c r="P5" s="416"/>
      <c r="Q5" s="416"/>
      <c r="R5" s="416"/>
      <c r="S5" s="416"/>
      <c r="T5" s="423"/>
      <c r="U5" s="419"/>
    </row>
    <row r="6" ht="14.55"/>
    <row r="7" ht="18" spans="1:21">
      <c r="B7" s="424" t="s">
        <v>4</v>
      </c>
      <c r="C7" s="425"/>
      <c r="D7" s="425"/>
      <c r="E7" s="425"/>
      <c r="F7" s="425"/>
      <c r="G7" s="425"/>
      <c r="H7" s="425"/>
      <c r="I7" s="426"/>
      <c r="J7" s="426"/>
      <c r="L7" s="427" t="s">
        <v>43</v>
      </c>
      <c r="M7" s="428"/>
      <c r="N7" s="428"/>
      <c r="O7" s="428"/>
      <c r="P7" s="428"/>
      <c r="Q7" s="428"/>
      <c r="R7" s="428"/>
      <c r="S7" s="428"/>
      <c r="T7" s="429"/>
    </row>
    <row r="8" ht="18" spans="1:21">
      <c r="B8" s="430"/>
      <c r="C8" s="431"/>
      <c r="D8" s="431"/>
      <c r="E8" s="431"/>
      <c r="F8" s="431"/>
      <c r="G8" s="431"/>
      <c r="H8" s="431"/>
      <c r="I8" s="432"/>
      <c r="J8" s="432"/>
      <c r="L8" s="433"/>
      <c r="M8" s="434"/>
      <c r="N8" s="434"/>
      <c r="O8" s="434"/>
      <c r="P8" s="434"/>
      <c r="Q8" s="434"/>
      <c r="R8" s="434"/>
      <c r="S8" s="434"/>
      <c r="T8" s="435"/>
    </row>
    <row r="9" spans="1:21">
      <c r="B9" s="436"/>
      <c r="C9" s="437"/>
      <c r="D9" s="437"/>
      <c r="E9" s="438"/>
      <c r="F9" s="437"/>
      <c r="G9" s="437"/>
      <c r="H9" s="437"/>
      <c r="I9" s="439"/>
      <c r="J9" s="439"/>
      <c r="L9" s="440"/>
      <c r="M9" s="441"/>
      <c r="N9" s="441"/>
      <c r="O9" s="442"/>
      <c r="P9" s="441"/>
      <c r="Q9" s="441"/>
      <c r="R9" s="441"/>
      <c r="S9" s="441"/>
      <c r="T9" s="443"/>
    </row>
    <row r="10" spans="1:21">
      <c r="B10" s="444"/>
      <c r="C10" s="445" t="s">
        <v>7</v>
      </c>
      <c r="D10" s="446"/>
      <c r="E10" s="447" t="s">
        <v>8</v>
      </c>
      <c r="F10" s="448" t="s">
        <v>143</v>
      </c>
      <c r="G10" s="448"/>
      <c r="H10" s="449"/>
      <c r="I10" s="450"/>
      <c r="J10" s="450"/>
      <c r="L10" s="440"/>
      <c r="M10" s="451"/>
      <c r="N10" s="452" t="s">
        <v>47</v>
      </c>
      <c r="O10" s="453" t="s">
        <v>144</v>
      </c>
      <c r="P10" s="454"/>
      <c r="Q10" s="455"/>
      <c r="R10" s="452" t="s">
        <v>47</v>
      </c>
      <c r="S10" s="453" t="s">
        <v>145</v>
      </c>
      <c r="T10" s="443"/>
    </row>
    <row r="11" spans="1:21">
      <c r="B11" s="444"/>
      <c r="C11" s="445" t="s">
        <v>10</v>
      </c>
      <c r="D11" s="446"/>
      <c r="E11" s="447" t="s">
        <v>8</v>
      </c>
      <c r="F11" s="448" t="s">
        <v>146</v>
      </c>
      <c r="G11" s="448"/>
      <c r="H11" s="449"/>
      <c r="I11" s="450"/>
      <c r="J11" s="450"/>
      <c r="L11" s="440"/>
      <c r="M11" s="456">
        <v>1</v>
      </c>
      <c r="N11" s="457">
        <v>1234567891</v>
      </c>
      <c r="O11" s="458" t="s">
        <v>147</v>
      </c>
      <c r="P11" s="441"/>
      <c r="Q11" s="459">
        <v>1</v>
      </c>
      <c r="R11" s="457"/>
      <c r="S11" s="458"/>
      <c r="T11" s="443"/>
    </row>
    <row r="12" spans="1:21">
      <c r="B12" s="444"/>
      <c r="C12" s="460"/>
      <c r="D12" s="460"/>
      <c r="E12" s="461"/>
      <c r="F12" s="462"/>
      <c r="G12" s="462"/>
      <c r="H12" s="462"/>
      <c r="I12" s="450"/>
      <c r="J12" s="450"/>
      <c r="L12" s="463"/>
      <c r="M12" s="456">
        <v>2</v>
      </c>
      <c r="N12" s="457"/>
      <c r="O12" s="458"/>
      <c r="P12" s="441"/>
      <c r="Q12" s="459">
        <v>2</v>
      </c>
      <c r="R12" s="457"/>
      <c r="S12" s="458"/>
      <c r="T12" s="443"/>
    </row>
    <row r="13" spans="1:21">
      <c r="B13" s="444"/>
      <c r="C13" s="445" t="s">
        <v>12</v>
      </c>
      <c r="D13" s="446"/>
      <c r="E13" s="447" t="s">
        <v>8</v>
      </c>
      <c r="F13" s="449">
        <v>301518</v>
      </c>
      <c r="G13" s="462"/>
      <c r="H13" s="462"/>
      <c r="I13" s="450"/>
      <c r="J13" s="450"/>
      <c r="L13" s="463"/>
      <c r="M13" s="456">
        <v>3</v>
      </c>
      <c r="N13" s="457"/>
      <c r="O13" s="458"/>
      <c r="P13" s="441"/>
      <c r="Q13" s="459">
        <v>3</v>
      </c>
      <c r="R13" s="457"/>
      <c r="S13" s="458"/>
      <c r="T13" s="443"/>
    </row>
    <row r="14" spans="1:21">
      <c r="B14" s="444"/>
      <c r="C14" s="464" t="s">
        <v>14</v>
      </c>
      <c r="D14" s="465"/>
      <c r="E14" s="466" t="s">
        <v>8</v>
      </c>
      <c r="F14" s="467" t="s">
        <v>148</v>
      </c>
      <c r="G14" s="467"/>
      <c r="H14" s="468"/>
      <c r="I14" s="450"/>
      <c r="J14" s="450"/>
      <c r="L14" s="463"/>
      <c r="M14" s="456">
        <v>4</v>
      </c>
      <c r="N14" s="457"/>
      <c r="O14" s="458"/>
      <c r="P14" s="441"/>
      <c r="Q14" s="459">
        <v>4</v>
      </c>
      <c r="R14" s="457"/>
      <c r="S14" s="458"/>
      <c r="T14" s="443"/>
    </row>
    <row r="15" spans="1:21">
      <c r="B15" s="444"/>
      <c r="C15" s="469"/>
      <c r="D15" s="470"/>
      <c r="E15" s="471"/>
      <c r="F15" s="472"/>
      <c r="G15" s="472"/>
      <c r="H15" s="473"/>
      <c r="I15" s="450"/>
      <c r="J15" s="450"/>
      <c r="L15" s="463"/>
      <c r="M15" s="456">
        <v>5</v>
      </c>
      <c r="N15" s="457"/>
      <c r="O15" s="458"/>
      <c r="P15" s="441"/>
      <c r="Q15" s="459">
        <v>5</v>
      </c>
      <c r="R15" s="474"/>
      <c r="S15" s="458"/>
      <c r="T15" s="443"/>
    </row>
    <row r="16" spans="1:21">
      <c r="B16" s="444"/>
      <c r="C16" s="445" t="s">
        <v>16</v>
      </c>
      <c r="D16" s="446"/>
      <c r="E16" s="447" t="s">
        <v>8</v>
      </c>
      <c r="F16" s="475">
        <v>2026</v>
      </c>
      <c r="G16" s="476" t="str">
        <f>IF(F16&gt;0,"–    "&amp;F16+1,"–")</f>
        <v>–    2027</v>
      </c>
      <c r="H16" s="462"/>
      <c r="I16" s="450"/>
      <c r="J16" s="450"/>
      <c r="L16" s="463"/>
      <c r="M16" s="456">
        <v>6</v>
      </c>
      <c r="N16" s="457"/>
      <c r="O16" s="458"/>
      <c r="P16" s="441"/>
      <c r="Q16" s="459">
        <v>6</v>
      </c>
      <c r="R16" s="457"/>
      <c r="S16" s="458"/>
      <c r="T16" s="443"/>
    </row>
    <row r="17" ht="14.55" spans="2:20">
      <c r="B17" s="477"/>
      <c r="C17" s="478"/>
      <c r="D17" s="479"/>
      <c r="E17" s="480"/>
      <c r="F17" s="479"/>
      <c r="G17" s="479"/>
      <c r="H17" s="478"/>
      <c r="I17" s="481"/>
      <c r="J17" s="481"/>
      <c r="L17" s="463"/>
      <c r="M17" s="456">
        <v>7</v>
      </c>
      <c r="N17" s="457"/>
      <c r="O17" s="458"/>
      <c r="P17" s="441"/>
      <c r="Q17" s="459">
        <v>7</v>
      </c>
      <c r="R17" s="457"/>
      <c r="S17" s="458"/>
      <c r="T17" s="443"/>
    </row>
    <row r="18" ht="14.55" spans="2:20">
      <c r="L18" s="463"/>
      <c r="M18" s="456">
        <v>8</v>
      </c>
      <c r="N18" s="457"/>
      <c r="O18" s="458"/>
      <c r="P18" s="441"/>
      <c r="Q18" s="459">
        <v>8</v>
      </c>
      <c r="R18" s="457"/>
      <c r="S18" s="458"/>
      <c r="T18" s="443"/>
    </row>
    <row r="19" ht="18" spans="2:20">
      <c r="B19" s="424" t="s">
        <v>19</v>
      </c>
      <c r="C19" s="425"/>
      <c r="D19" s="425"/>
      <c r="E19" s="425"/>
      <c r="F19" s="425"/>
      <c r="G19" s="425"/>
      <c r="H19" s="425"/>
      <c r="I19" s="425"/>
      <c r="J19" s="426"/>
      <c r="L19" s="463"/>
      <c r="M19" s="456">
        <v>9</v>
      </c>
      <c r="N19" s="482"/>
      <c r="O19" s="458"/>
      <c r="P19" s="441"/>
      <c r="Q19" s="459">
        <v>9</v>
      </c>
      <c r="R19" s="457"/>
      <c r="S19" s="458"/>
      <c r="T19" s="443"/>
    </row>
    <row r="20" ht="18" spans="2:20">
      <c r="B20" s="430"/>
      <c r="C20" s="431"/>
      <c r="D20" s="431"/>
      <c r="E20" s="431"/>
      <c r="F20" s="431"/>
      <c r="G20" s="431"/>
      <c r="H20" s="431"/>
      <c r="I20" s="431"/>
      <c r="J20" s="432"/>
      <c r="L20" s="463"/>
      <c r="M20" s="456">
        <v>10</v>
      </c>
      <c r="N20" s="482"/>
      <c r="O20" s="458"/>
      <c r="P20" s="441"/>
      <c r="Q20" s="459">
        <v>10</v>
      </c>
      <c r="R20" s="457"/>
      <c r="S20" s="458"/>
      <c r="T20" s="443"/>
    </row>
    <row r="21" spans="2:20">
      <c r="B21" s="436"/>
      <c r="C21" s="437"/>
      <c r="D21" s="438"/>
      <c r="E21" s="437"/>
      <c r="F21" s="437"/>
      <c r="G21" s="437"/>
      <c r="H21" s="437"/>
      <c r="I21" s="438"/>
      <c r="J21" s="439"/>
      <c r="L21" s="463"/>
      <c r="M21" s="456">
        <v>11</v>
      </c>
      <c r="N21" s="482"/>
      <c r="O21" s="458"/>
      <c r="P21" s="441"/>
      <c r="Q21" s="459">
        <v>11</v>
      </c>
      <c r="R21" s="457"/>
      <c r="S21" s="458"/>
      <c r="T21" s="443"/>
    </row>
    <row r="22" spans="2:20">
      <c r="B22" s="444"/>
      <c r="C22" s="483" t="s">
        <v>21</v>
      </c>
      <c r="D22" s="484"/>
      <c r="E22" s="485" t="s">
        <v>8</v>
      </c>
      <c r="F22" s="486" t="s">
        <v>149</v>
      </c>
      <c r="G22" s="486"/>
      <c r="H22" s="487"/>
      <c r="I22" s="454"/>
      <c r="J22" s="450"/>
      <c r="L22" s="463"/>
      <c r="M22" s="456">
        <v>12</v>
      </c>
      <c r="N22" s="482"/>
      <c r="O22" s="458"/>
      <c r="P22" s="441"/>
      <c r="Q22" s="459">
        <v>12</v>
      </c>
      <c r="R22" s="457"/>
      <c r="S22" s="458"/>
      <c r="T22" s="443"/>
    </row>
    <row r="23" spans="2:20">
      <c r="B23" s="444"/>
      <c r="C23" s="488"/>
      <c r="D23" s="489"/>
      <c r="E23" s="490"/>
      <c r="F23" s="491"/>
      <c r="G23" s="491"/>
      <c r="H23" s="492"/>
      <c r="I23" s="454"/>
      <c r="J23" s="450"/>
      <c r="L23" s="463"/>
      <c r="M23" s="456">
        <v>13</v>
      </c>
      <c r="N23" s="482"/>
      <c r="O23" s="458"/>
      <c r="P23" s="441"/>
      <c r="Q23" s="459">
        <v>13</v>
      </c>
      <c r="R23" s="482"/>
      <c r="S23" s="458"/>
      <c r="T23" s="443"/>
    </row>
    <row r="24" spans="2:20">
      <c r="B24" s="444"/>
      <c r="C24" s="493" t="s">
        <v>23</v>
      </c>
      <c r="D24" s="446"/>
      <c r="E24" s="447" t="s">
        <v>8</v>
      </c>
      <c r="F24" s="494">
        <v>11</v>
      </c>
      <c r="G24" s="495" t="s">
        <v>150</v>
      </c>
      <c r="H24" s="442"/>
      <c r="I24" s="454"/>
      <c r="J24" s="450"/>
      <c r="L24" s="463"/>
      <c r="M24" s="456">
        <v>14</v>
      </c>
      <c r="N24" s="482"/>
      <c r="O24" s="458"/>
      <c r="P24" s="441"/>
      <c r="Q24" s="459">
        <v>14</v>
      </c>
      <c r="R24" s="482"/>
      <c r="S24" s="458"/>
      <c r="T24" s="443"/>
    </row>
    <row r="25" spans="2:20">
      <c r="B25" s="444"/>
      <c r="C25" s="493" t="s">
        <v>25</v>
      </c>
      <c r="D25" s="446"/>
      <c r="E25" s="447" t="s">
        <v>8</v>
      </c>
      <c r="F25" s="496" t="s">
        <v>151</v>
      </c>
      <c r="G25" s="496"/>
      <c r="H25" s="497"/>
      <c r="I25" s="454"/>
      <c r="J25" s="450"/>
      <c r="L25" s="463"/>
      <c r="M25" s="456">
        <v>15</v>
      </c>
      <c r="N25" s="482"/>
      <c r="O25" s="458"/>
      <c r="P25" s="441"/>
      <c r="Q25" s="459">
        <v>15</v>
      </c>
      <c r="R25" s="482"/>
      <c r="S25" s="458"/>
      <c r="T25" s="443"/>
    </row>
    <row r="26" ht="16.5" customHeight="1" spans="2:20">
      <c r="B26" s="444"/>
      <c r="C26" s="498"/>
      <c r="D26" s="499"/>
      <c r="E26" s="500"/>
      <c r="F26" s="442"/>
      <c r="G26" s="442"/>
      <c r="H26" s="442"/>
      <c r="I26" s="454"/>
      <c r="J26" s="450"/>
      <c r="L26" s="463"/>
      <c r="M26" s="456">
        <v>16</v>
      </c>
      <c r="N26" s="482"/>
      <c r="O26" s="458"/>
      <c r="P26" s="441"/>
      <c r="Q26" s="459">
        <v>16</v>
      </c>
      <c r="R26" s="482"/>
      <c r="S26" s="458"/>
      <c r="T26" s="443"/>
    </row>
    <row r="27" spans="2:20">
      <c r="B27" s="501"/>
      <c r="C27" s="502" t="s">
        <v>152</v>
      </c>
      <c r="D27" s="503"/>
      <c r="E27" s="504"/>
      <c r="F27" s="505"/>
      <c r="G27" s="505"/>
      <c r="H27" s="505"/>
      <c r="I27" s="506"/>
      <c r="J27" s="507"/>
      <c r="L27" s="463"/>
      <c r="M27" s="456">
        <v>17</v>
      </c>
      <c r="N27" s="482"/>
      <c r="O27" s="458"/>
      <c r="P27" s="441"/>
      <c r="Q27" s="459">
        <v>17</v>
      </c>
      <c r="R27" s="482"/>
      <c r="S27" s="458"/>
      <c r="T27" s="443"/>
    </row>
    <row r="28" ht="15" customHeight="1" spans="2:20">
      <c r="B28" s="508"/>
      <c r="C28" s="445" t="s">
        <v>28</v>
      </c>
      <c r="D28" s="446"/>
      <c r="E28" s="447" t="s">
        <v>8</v>
      </c>
      <c r="F28" s="496" t="s">
        <v>153</v>
      </c>
      <c r="G28" s="496"/>
      <c r="H28" s="494"/>
      <c r="I28" s="509">
        <f ca="1">_xlfn.IFNA(IF(COUNTIF(INDIRECT(HELPER!$F8),$F28)=0,1,0),0)</f>
        <v>0</v>
      </c>
      <c r="J28" s="510"/>
      <c r="L28" s="463"/>
      <c r="M28" s="456">
        <v>18</v>
      </c>
      <c r="N28" s="482"/>
      <c r="O28" s="458"/>
      <c r="P28" s="441"/>
      <c r="Q28" s="459">
        <v>18</v>
      </c>
      <c r="R28" s="482"/>
      <c r="S28" s="458"/>
      <c r="T28" s="443"/>
    </row>
    <row r="29" ht="16.5" customHeight="1" spans="2:20">
      <c r="B29" s="508"/>
      <c r="C29" s="445" t="s">
        <v>30</v>
      </c>
      <c r="D29" s="446"/>
      <c r="E29" s="511" t="s">
        <v>8</v>
      </c>
      <c r="F29" s="512" t="s">
        <v>154</v>
      </c>
      <c r="G29" s="512"/>
      <c r="H29" s="513"/>
      <c r="I29" s="509">
        <f ca="1">_xlfn.IFNA(IF(COUNTIF(INDIRECT(HELPER!$F9),$F29)=0,1,0),0)</f>
        <v>0</v>
      </c>
      <c r="J29" s="510"/>
      <c r="L29" s="463"/>
      <c r="M29" s="456">
        <v>19</v>
      </c>
      <c r="N29" s="482"/>
      <c r="O29" s="458"/>
      <c r="P29" s="441"/>
      <c r="Q29" s="459">
        <v>19</v>
      </c>
      <c r="R29" s="482"/>
      <c r="S29" s="458"/>
      <c r="T29" s="443"/>
    </row>
    <row r="30" spans="2:20">
      <c r="B30" s="508"/>
      <c r="C30" s="464" t="s">
        <v>32</v>
      </c>
      <c r="D30" s="465"/>
      <c r="E30" s="466" t="s">
        <v>8</v>
      </c>
      <c r="F30" s="514" t="s">
        <v>155</v>
      </c>
      <c r="G30" s="514"/>
      <c r="H30" s="515"/>
      <c r="I30" s="509">
        <f ca="1">_xlfn.IFNA(IF(I29=1,1,IF(COUNTIF(INDIRECT(HELPER!$F10),$F30)=0,1,0)),0)</f>
        <v>0</v>
      </c>
      <c r="J30" s="510"/>
      <c r="L30" s="463"/>
      <c r="M30" s="456">
        <v>20</v>
      </c>
      <c r="N30" s="482"/>
      <c r="O30" s="458"/>
      <c r="P30" s="441"/>
      <c r="Q30" s="459">
        <v>20</v>
      </c>
      <c r="R30" s="482"/>
      <c r="S30" s="458"/>
      <c r="T30" s="443"/>
    </row>
    <row r="31" ht="16.5" customHeight="1" spans="2:20">
      <c r="B31" s="508"/>
      <c r="C31" s="469"/>
      <c r="D31" s="470"/>
      <c r="E31" s="471"/>
      <c r="F31" s="516"/>
      <c r="G31" s="516"/>
      <c r="H31" s="517"/>
      <c r="I31" s="518"/>
      <c r="J31" s="519"/>
      <c r="L31" s="463"/>
      <c r="M31" s="456">
        <v>21</v>
      </c>
      <c r="N31" s="482"/>
      <c r="O31" s="458"/>
      <c r="P31" s="441"/>
      <c r="Q31" s="459">
        <v>21</v>
      </c>
      <c r="R31" s="482"/>
      <c r="S31" s="458"/>
      <c r="T31" s="443"/>
    </row>
    <row r="32" ht="15" customHeight="1" spans="2:20">
      <c r="B32" s="520"/>
      <c r="C32" s="521"/>
      <c r="D32" s="522"/>
      <c r="E32" s="522"/>
      <c r="F32" s="523" t="str">
        <f ca="1">IF(COUNTIF(F29,"OTHER*"),"Input the subject in the appropriate field.",IF(SUM(I28:I30)&gt;=1,"Select the correct "&amp;_xlfn.XLOOKUP(1,I28:I30,C28:C30)&amp;".",""))</f>
        <v/>
      </c>
      <c r="G32" s="523"/>
      <c r="H32" s="523"/>
      <c r="I32" s="506"/>
      <c r="J32" s="507"/>
      <c r="L32" s="463"/>
      <c r="M32" s="456">
        <v>22</v>
      </c>
      <c r="N32" s="482"/>
      <c r="O32" s="458"/>
      <c r="P32" s="441"/>
      <c r="Q32" s="459">
        <v>22</v>
      </c>
      <c r="R32" s="482"/>
      <c r="S32" s="458"/>
      <c r="T32" s="443"/>
    </row>
    <row r="33" ht="14" customHeight="1" spans="2:20">
      <c r="B33" s="520"/>
      <c r="C33" s="524" t="s">
        <v>36</v>
      </c>
      <c r="D33" s="525"/>
      <c r="E33" s="526" t="s">
        <v>8</v>
      </c>
      <c r="F33" s="527" cm="1">
        <f t="array" ref="F33">IF(F29&lt;&gt;C37,_xlfn.IFNA(IF($F$24=11,_xlfn.XLOOKUP(1,(HELPER!$I$7:$I$161=1)*(HELPER!$L$7:$L$161='INPUT DATA'!$F$30),HELPER!P$7:P$161),IF($F$24=12,(_xlfn.XLOOKUP(1,(HELPER!$I$7:$I$161=1)*(HELPER!$L$7:$L$161='INPUT DATA'!$F$30),HELPER!T$7:T$161)),"")),""),"")</f>
        <v>3</v>
      </c>
      <c r="G33" s="528" t="s">
        <v>37</v>
      </c>
      <c r="H33" s="529" t="s">
        <v>156</v>
      </c>
      <c r="I33" s="506">
        <f>_xlfn.IFNA(IF(F33="","",IF(F33=3,3,_xlfn.XLOOKUP(H33,HELPER!$G$31:$G$33,HELPER!$F$31:$F$33))),"")</f>
        <v>3</v>
      </c>
      <c r="J33" s="507"/>
      <c r="L33" s="463"/>
      <c r="M33" s="456">
        <v>23</v>
      </c>
      <c r="N33" s="482"/>
      <c r="O33" s="458"/>
      <c r="P33" s="441"/>
      <c r="Q33" s="459">
        <v>23</v>
      </c>
      <c r="R33" s="482"/>
      <c r="S33" s="458"/>
      <c r="T33" s="443"/>
    </row>
    <row r="34" ht="14" customHeight="1" spans="2:20">
      <c r="B34" s="520"/>
      <c r="C34" s="524" t="s">
        <v>38</v>
      </c>
      <c r="D34" s="525"/>
      <c r="E34" s="526" t="s">
        <v>8</v>
      </c>
      <c r="F34" s="527" cm="1">
        <f t="array" ref="F34">IF(F29&lt;&gt;C37,_xlfn.IFNA(IF($F$24=11,_xlfn.XLOOKUP(1,(HELPER!$I$7:$I$161=1)*(HELPER!$L$7:$L$161='INPUT DATA'!$F$30),HELPER!Q$7:Q$161),IF($F$24=12,(_xlfn.XLOOKUP(1,(HELPER!$I$7:$I$161=1)*(HELPER!$L$7:$L$161='INPUT DATA'!$F$30),HELPER!U$7:U$161)),"")),""),"")</f>
        <v>2</v>
      </c>
      <c r="G34" s="530" t="s">
        <v>37</v>
      </c>
      <c r="H34" s="531" t="str">
        <f>IFERROR(IF(F33=2,_xlfn.XLOOKUP(I33+1,HELPER!$F$31:$F$34,HELPER!$G$31:$G$34),""),"")</f>
        <v/>
      </c>
      <c r="I34" s="506">
        <f>IF(HELPER!G21=1,(F33&amp;I33)*1,"")</f>
        <v>33</v>
      </c>
      <c r="J34" s="507"/>
      <c r="L34" s="463"/>
      <c r="M34" s="456">
        <v>24</v>
      </c>
      <c r="N34" s="482"/>
      <c r="O34" s="458"/>
      <c r="P34" s="441"/>
      <c r="Q34" s="459">
        <v>24</v>
      </c>
      <c r="R34" s="482"/>
      <c r="S34" s="458"/>
      <c r="T34" s="443"/>
    </row>
    <row r="35" ht="16.5" customHeight="1" spans="2:20">
      <c r="B35" s="520"/>
      <c r="C35" s="524" t="s">
        <v>40</v>
      </c>
      <c r="D35" s="525"/>
      <c r="E35" s="526" t="s">
        <v>8</v>
      </c>
      <c r="F35" s="527" cm="1">
        <f t="array" ref="F35">IF(F29&lt;&gt;C37,_xlfn.IFNA(IF($F$24=11,_xlfn.XLOOKUP(1,(HELPER!$I$7:$I$161=1)*(HELPER!$L$7:$L$161='INPUT DATA'!$F$30),HELPER!R$7:R$161),IF($F$24=12,(_xlfn.XLOOKUP(1,(HELPER!$I$7:$I$161=1)*(HELPER!$L$7:$L$161='INPUT DATA'!$F$30),HELPER!V$7:V$161)),"")),""),"")</f>
        <v>6</v>
      </c>
      <c r="G35" s="532" t="str">
        <f>_xlfn.IFNA(_xlfn.XLOOKUP('INPUT DATA'!F33,HELPER!$F$24:$F$26,HELPER!$G$24:$G$26),"")</f>
        <v>Note: Accomplish all Term sheets.</v>
      </c>
      <c r="H35" s="532"/>
      <c r="I35" s="506"/>
      <c r="J35" s="507"/>
      <c r="L35" s="463"/>
      <c r="M35" s="456">
        <v>25</v>
      </c>
      <c r="N35" s="482"/>
      <c r="O35" s="458"/>
      <c r="P35" s="441"/>
      <c r="Q35" s="459">
        <v>25</v>
      </c>
      <c r="R35" s="482"/>
      <c r="S35" s="458"/>
      <c r="T35" s="443"/>
    </row>
    <row r="36" spans="2:20">
      <c r="B36" s="520"/>
      <c r="C36" s="533"/>
      <c r="D36" s="534"/>
      <c r="E36" s="535"/>
      <c r="F36" s="533"/>
      <c r="G36" s="536"/>
      <c r="H36" s="536"/>
      <c r="I36" s="506"/>
      <c r="J36" s="507"/>
      <c r="L36" s="463"/>
      <c r="M36" s="456">
        <v>26</v>
      </c>
      <c r="N36" s="482"/>
      <c r="O36" s="458"/>
      <c r="P36" s="441"/>
      <c r="Q36" s="459">
        <v>26</v>
      </c>
      <c r="R36" s="482"/>
      <c r="S36" s="458"/>
      <c r="T36" s="443"/>
    </row>
    <row r="37" spans="2:20">
      <c r="B37" s="501"/>
      <c r="C37" s="502" t="s">
        <v>157</v>
      </c>
      <c r="D37" s="503"/>
      <c r="E37" s="504"/>
      <c r="F37" s="537"/>
      <c r="G37" s="537"/>
      <c r="H37" s="537"/>
      <c r="I37" s="506"/>
      <c r="J37" s="507"/>
      <c r="L37" s="463"/>
      <c r="M37" s="456">
        <v>27</v>
      </c>
      <c r="N37" s="482"/>
      <c r="O37" s="458"/>
      <c r="P37" s="441"/>
      <c r="Q37" s="459">
        <v>27</v>
      </c>
      <c r="R37" s="482"/>
      <c r="S37" s="458"/>
      <c r="T37" s="443"/>
    </row>
    <row r="38" ht="14" customHeight="1" spans="2:20">
      <c r="B38" s="508"/>
      <c r="C38" s="538" t="str">
        <f>IF(F29=C37,"Input details of the subject below:","")</f>
        <v/>
      </c>
      <c r="D38" s="539"/>
      <c r="E38" s="539"/>
      <c r="F38" s="539"/>
      <c r="G38" s="539"/>
      <c r="H38" s="539"/>
      <c r="I38" s="540"/>
      <c r="J38" s="541"/>
      <c r="L38" s="463"/>
      <c r="M38" s="456">
        <v>28</v>
      </c>
      <c r="N38" s="482"/>
      <c r="O38" s="458"/>
      <c r="P38" s="441"/>
      <c r="Q38" s="459">
        <v>28</v>
      </c>
      <c r="R38" s="482"/>
      <c r="S38" s="458"/>
      <c r="T38" s="443"/>
    </row>
    <row r="39" ht="16.5" customHeight="1" spans="2:20">
      <c r="B39" s="520"/>
      <c r="C39" s="542" t="s">
        <v>158</v>
      </c>
      <c r="D39" s="543"/>
      <c r="E39" s="544" t="s">
        <v>8</v>
      </c>
      <c r="F39" s="545"/>
      <c r="G39" s="545"/>
      <c r="H39" s="546"/>
      <c r="I39" s="506"/>
      <c r="J39" s="507"/>
      <c r="L39" s="463"/>
      <c r="M39" s="456">
        <v>29</v>
      </c>
      <c r="N39" s="482"/>
      <c r="O39" s="458"/>
      <c r="P39" s="441"/>
      <c r="Q39" s="459">
        <v>29</v>
      </c>
      <c r="R39" s="482"/>
      <c r="S39" s="458"/>
      <c r="T39" s="443"/>
    </row>
    <row r="40" ht="16.5" customHeight="1" spans="2:20">
      <c r="B40" s="520"/>
      <c r="C40" s="547"/>
      <c r="D40" s="548"/>
      <c r="E40" s="549"/>
      <c r="F40" s="550"/>
      <c r="G40" s="550"/>
      <c r="H40" s="551"/>
      <c r="I40" s="506"/>
      <c r="J40" s="507"/>
      <c r="L40" s="463"/>
      <c r="M40" s="456">
        <v>30</v>
      </c>
      <c r="N40" s="482"/>
      <c r="O40" s="458"/>
      <c r="P40" s="441"/>
      <c r="Q40" s="459">
        <v>30</v>
      </c>
      <c r="R40" s="482"/>
      <c r="S40" s="458"/>
      <c r="T40" s="443"/>
    </row>
    <row r="41" spans="2:20">
      <c r="B41" s="520"/>
      <c r="C41" s="539"/>
      <c r="D41" s="539"/>
      <c r="E41" s="539"/>
      <c r="F41" s="539"/>
      <c r="G41" s="539"/>
      <c r="H41" s="539"/>
      <c r="I41" s="506"/>
      <c r="J41" s="507"/>
      <c r="L41" s="463"/>
      <c r="M41" s="456">
        <v>31</v>
      </c>
      <c r="N41" s="482"/>
      <c r="O41" s="458"/>
      <c r="P41" s="441"/>
      <c r="Q41" s="459">
        <v>31</v>
      </c>
      <c r="R41" s="482"/>
      <c r="S41" s="458"/>
      <c r="T41" s="443"/>
    </row>
    <row r="42" spans="2:20">
      <c r="B42" s="520"/>
      <c r="C42" s="552" t="s">
        <v>159</v>
      </c>
      <c r="D42" s="553"/>
      <c r="E42" s="554"/>
      <c r="F42" s="539"/>
      <c r="G42" s="539"/>
      <c r="H42" s="539"/>
      <c r="I42" s="506"/>
      <c r="J42" s="507"/>
      <c r="L42" s="463"/>
      <c r="M42" s="456">
        <v>32</v>
      </c>
      <c r="N42" s="482"/>
      <c r="O42" s="458"/>
      <c r="P42" s="441"/>
      <c r="Q42" s="459">
        <v>32</v>
      </c>
      <c r="R42" s="482"/>
      <c r="S42" s="458"/>
      <c r="T42" s="443"/>
    </row>
    <row r="43" spans="2:20">
      <c r="B43" s="520"/>
      <c r="C43" s="555" t="s">
        <v>160</v>
      </c>
      <c r="D43" s="556"/>
      <c r="E43" s="557" t="s">
        <v>8</v>
      </c>
      <c r="F43" s="558"/>
      <c r="G43" s="559">
        <f>SUM(F43:F45)</f>
        <v>0</v>
      </c>
      <c r="H43" s="539"/>
      <c r="I43" s="506"/>
      <c r="J43" s="507"/>
      <c r="L43" s="463"/>
      <c r="M43" s="456">
        <v>33</v>
      </c>
      <c r="N43" s="482"/>
      <c r="O43" s="458"/>
      <c r="P43" s="441"/>
      <c r="Q43" s="459">
        <v>33</v>
      </c>
      <c r="R43" s="482"/>
      <c r="S43" s="458"/>
      <c r="T43" s="443"/>
    </row>
    <row r="44" spans="2:20">
      <c r="B44" s="520"/>
      <c r="C44" s="555" t="s">
        <v>161</v>
      </c>
      <c r="D44" s="556"/>
      <c r="E44" s="557" t="s">
        <v>8</v>
      </c>
      <c r="F44" s="558"/>
      <c r="G44" s="560"/>
      <c r="H44" s="539"/>
      <c r="I44" s="506"/>
      <c r="J44" s="507"/>
      <c r="L44" s="463"/>
      <c r="M44" s="456">
        <v>34</v>
      </c>
      <c r="N44" s="482"/>
      <c r="O44" s="458"/>
      <c r="P44" s="441"/>
      <c r="Q44" s="459">
        <v>34</v>
      </c>
      <c r="R44" s="482"/>
      <c r="S44" s="458"/>
      <c r="T44" s="443"/>
    </row>
    <row r="45" spans="2:20">
      <c r="B45" s="520"/>
      <c r="C45" s="555" t="s">
        <v>162</v>
      </c>
      <c r="D45" s="556"/>
      <c r="E45" s="557" t="s">
        <v>8</v>
      </c>
      <c r="F45" s="558"/>
      <c r="G45" s="561"/>
      <c r="H45" s="539"/>
      <c r="I45" s="506"/>
      <c r="J45" s="507"/>
      <c r="L45" s="463"/>
      <c r="M45" s="456">
        <v>35</v>
      </c>
      <c r="N45" s="482"/>
      <c r="O45" s="458"/>
      <c r="P45" s="441"/>
      <c r="Q45" s="459">
        <v>35</v>
      </c>
      <c r="R45" s="482"/>
      <c r="S45" s="458"/>
      <c r="T45" s="443"/>
    </row>
    <row r="46" spans="2:20">
      <c r="B46" s="520"/>
      <c r="C46" s="562"/>
      <c r="D46" s="563" t="s">
        <v>163</v>
      </c>
      <c r="E46" s="564" t="s">
        <v>8</v>
      </c>
      <c r="F46" s="565"/>
      <c r="G46" s="559">
        <f>SUM(F46:F48)</f>
        <v>0</v>
      </c>
      <c r="H46" s="539"/>
      <c r="I46" s="506"/>
      <c r="J46" s="507"/>
      <c r="L46" s="463"/>
      <c r="M46" s="456">
        <v>36</v>
      </c>
      <c r="N46" s="482"/>
      <c r="O46" s="458"/>
      <c r="P46" s="441"/>
      <c r="Q46" s="459">
        <v>36</v>
      </c>
      <c r="R46" s="482"/>
      <c r="S46" s="458"/>
      <c r="T46" s="443"/>
    </row>
    <row r="47" spans="2:20">
      <c r="B47" s="520"/>
      <c r="C47" s="566"/>
      <c r="D47" s="567" t="s">
        <v>164</v>
      </c>
      <c r="E47" s="568" t="s">
        <v>8</v>
      </c>
      <c r="F47" s="569"/>
      <c r="G47" s="560"/>
      <c r="H47" s="539"/>
      <c r="I47" s="506"/>
      <c r="J47" s="507"/>
      <c r="L47" s="463"/>
      <c r="M47" s="456">
        <v>37</v>
      </c>
      <c r="N47" s="482"/>
      <c r="O47" s="458"/>
      <c r="P47" s="441"/>
      <c r="Q47" s="459">
        <v>37</v>
      </c>
      <c r="R47" s="482"/>
      <c r="S47" s="458"/>
      <c r="T47" s="443"/>
    </row>
    <row r="48" spans="2:20">
      <c r="B48" s="520"/>
      <c r="C48" s="570"/>
      <c r="D48" s="571" t="s">
        <v>165</v>
      </c>
      <c r="E48" s="572" t="s">
        <v>8</v>
      </c>
      <c r="F48" s="573"/>
      <c r="G48" s="561"/>
      <c r="H48" s="539"/>
      <c r="I48" s="506"/>
      <c r="J48" s="507"/>
      <c r="L48" s="463"/>
      <c r="M48" s="456">
        <v>38</v>
      </c>
      <c r="N48" s="482"/>
      <c r="O48" s="458"/>
      <c r="P48" s="441"/>
      <c r="Q48" s="459">
        <v>38</v>
      </c>
      <c r="R48" s="482"/>
      <c r="S48" s="458"/>
      <c r="T48" s="443"/>
    </row>
    <row r="49" ht="14.5" customHeight="1" spans="2:20">
      <c r="B49" s="520"/>
      <c r="C49" s="574"/>
      <c r="D49" s="553"/>
      <c r="E49" s="554"/>
      <c r="F49" s="539"/>
      <c r="G49" s="539"/>
      <c r="H49" s="575"/>
      <c r="I49" s="506"/>
      <c r="J49" s="507"/>
      <c r="L49" s="463"/>
      <c r="M49" s="456">
        <v>39</v>
      </c>
      <c r="N49" s="482"/>
      <c r="O49" s="458"/>
      <c r="P49" s="441"/>
      <c r="Q49" s="459">
        <v>39</v>
      </c>
      <c r="R49" s="482"/>
      <c r="S49" s="458"/>
      <c r="T49" s="443"/>
    </row>
    <row r="50" spans="2:20">
      <c r="B50" s="520"/>
      <c r="C50" s="552" t="s">
        <v>166</v>
      </c>
      <c r="D50" s="576"/>
      <c r="E50" s="577"/>
      <c r="F50" s="539"/>
      <c r="G50" s="575"/>
      <c r="H50" s="575"/>
      <c r="I50" s="506"/>
      <c r="J50" s="507"/>
      <c r="L50" s="463"/>
      <c r="M50" s="456">
        <v>40</v>
      </c>
      <c r="N50" s="482"/>
      <c r="O50" s="458"/>
      <c r="P50" s="441"/>
      <c r="Q50" s="459">
        <v>40</v>
      </c>
      <c r="R50" s="482"/>
      <c r="S50" s="458"/>
      <c r="T50" s="443"/>
    </row>
    <row r="51" ht="14" customHeight="1" spans="2:20">
      <c r="B51" s="520"/>
      <c r="C51" s="578" t="s">
        <v>36</v>
      </c>
      <c r="D51" s="579"/>
      <c r="E51" s="557" t="s">
        <v>8</v>
      </c>
      <c r="F51" s="580"/>
      <c r="G51" s="528" t="s">
        <v>37</v>
      </c>
      <c r="H51" s="529"/>
      <c r="I51" s="506" t="str">
        <f>_xlfn.IFNA(IF(F51="","",IF(F51=3,3,_xlfn.XLOOKUP(H51,HELPER!$G$31:$G$33,HELPER!$F$31:$F$33))),"")</f>
        <v/>
      </c>
      <c r="J51" s="507"/>
      <c r="L51" s="463"/>
      <c r="M51" s="456">
        <v>41</v>
      </c>
      <c r="N51" s="482"/>
      <c r="O51" s="458"/>
      <c r="P51" s="441"/>
      <c r="Q51" s="459">
        <v>41</v>
      </c>
      <c r="R51" s="482"/>
      <c r="S51" s="458"/>
      <c r="T51" s="443"/>
    </row>
    <row r="52" spans="2:20">
      <c r="B52" s="520"/>
      <c r="C52" s="578" t="s">
        <v>38</v>
      </c>
      <c r="D52" s="579"/>
      <c r="E52" s="557" t="s">
        <v>8</v>
      </c>
      <c r="F52" s="580"/>
      <c r="G52" s="530" t="s">
        <v>37</v>
      </c>
      <c r="H52" s="531" t="str">
        <f>IFERROR(IF(F51=2,_xlfn.XLOOKUP(I51+1,HELPER!$F$31:$F$34,HELPER!$G$31:$G$34),""),"")</f>
        <v/>
      </c>
      <c r="I52" s="506" t="str">
        <f>IF(HELPER!G21=2,(F51&amp;I51)*1,"")</f>
        <v/>
      </c>
      <c r="J52" s="507"/>
      <c r="L52" s="463"/>
      <c r="M52" s="456">
        <v>42</v>
      </c>
      <c r="N52" s="482"/>
      <c r="O52" s="458"/>
      <c r="P52" s="441"/>
      <c r="Q52" s="459">
        <v>42</v>
      </c>
      <c r="R52" s="482"/>
      <c r="S52" s="458"/>
      <c r="T52" s="443"/>
    </row>
    <row r="53" ht="14" customHeight="1" spans="2:20">
      <c r="B53" s="520"/>
      <c r="C53" s="578" t="s">
        <v>40</v>
      </c>
      <c r="D53" s="579"/>
      <c r="E53" s="557" t="s">
        <v>8</v>
      </c>
      <c r="F53" s="581">
        <f>F52*F51</f>
        <v>0</v>
      </c>
      <c r="G53" s="532" t="str">
        <f>_xlfn.IFNA(_xlfn.XLOOKUP('INPUT DATA'!F51,HELPER!$F$24:$F$26,HELPER!$G$24:$G$26),"")</f>
        <v/>
      </c>
      <c r="H53" s="532"/>
      <c r="I53" s="506"/>
      <c r="J53" s="507"/>
      <c r="L53" s="463"/>
      <c r="M53" s="456">
        <v>43</v>
      </c>
      <c r="N53" s="482"/>
      <c r="O53" s="458"/>
      <c r="P53" s="441"/>
      <c r="Q53" s="459">
        <v>43</v>
      </c>
      <c r="R53" s="482"/>
      <c r="S53" s="458"/>
      <c r="T53" s="443"/>
    </row>
    <row r="54" ht="14.55" spans="2:20">
      <c r="B54" s="582"/>
      <c r="C54" s="583"/>
      <c r="D54" s="584"/>
      <c r="E54" s="585"/>
      <c r="F54" s="584"/>
      <c r="G54" s="586"/>
      <c r="H54" s="586"/>
      <c r="I54" s="587"/>
      <c r="J54" s="588"/>
      <c r="L54" s="463"/>
      <c r="M54" s="456">
        <v>44</v>
      </c>
      <c r="N54" s="482"/>
      <c r="O54" s="458"/>
      <c r="P54" s="441"/>
      <c r="Q54" s="459">
        <v>44</v>
      </c>
      <c r="R54" s="482"/>
      <c r="S54" s="458"/>
      <c r="T54" s="443"/>
    </row>
    <row r="55" spans="2:20">
      <c r="B55" s="2"/>
      <c r="D55" s="2"/>
      <c r="E55" s="2"/>
      <c r="F55" s="2"/>
      <c r="G55" s="2"/>
      <c r="H55" s="2"/>
      <c r="L55" s="463"/>
      <c r="M55" s="456">
        <v>45</v>
      </c>
      <c r="N55" s="482"/>
      <c r="O55" s="458"/>
      <c r="P55" s="441"/>
      <c r="Q55" s="459">
        <v>45</v>
      </c>
      <c r="R55" s="482"/>
      <c r="S55" s="458"/>
      <c r="T55" s="443"/>
    </row>
    <row r="56" ht="14" customHeight="1" spans="2:20">
      <c r="B56" s="2"/>
      <c r="D56" s="589" t="s">
        <v>167</v>
      </c>
      <c r="E56" s="589"/>
      <c r="F56" s="589"/>
      <c r="G56" s="589"/>
      <c r="H56" s="589"/>
      <c r="L56" s="463"/>
      <c r="M56" s="456">
        <v>46</v>
      </c>
      <c r="N56" s="482"/>
      <c r="O56" s="458"/>
      <c r="P56" s="441"/>
      <c r="Q56" s="459">
        <v>46</v>
      </c>
      <c r="R56" s="482"/>
      <c r="S56" s="458"/>
      <c r="T56" s="443"/>
    </row>
    <row r="57" ht="14" customHeight="1" spans="2:20">
      <c r="B57" s="2"/>
      <c r="D57" s="589"/>
      <c r="E57" s="589"/>
      <c r="F57" s="589"/>
      <c r="G57" s="589"/>
      <c r="H57" s="589"/>
      <c r="L57" s="463"/>
      <c r="M57" s="456">
        <v>47</v>
      </c>
      <c r="N57" s="482"/>
      <c r="O57" s="458"/>
      <c r="P57" s="441"/>
      <c r="Q57" s="459">
        <v>47</v>
      </c>
      <c r="R57" s="482"/>
      <c r="S57" s="458"/>
      <c r="T57" s="443"/>
    </row>
    <row r="58" ht="14" customHeight="1" spans="2:20">
      <c r="B58" s="2"/>
      <c r="D58" s="589"/>
      <c r="E58" s="589"/>
      <c r="F58" s="589"/>
      <c r="G58" s="589"/>
      <c r="H58" s="589"/>
      <c r="L58" s="463"/>
      <c r="M58" s="456">
        <v>48</v>
      </c>
      <c r="N58" s="482"/>
      <c r="O58" s="458"/>
      <c r="P58" s="441"/>
      <c r="Q58" s="459">
        <v>48</v>
      </c>
      <c r="R58" s="482"/>
      <c r="S58" s="458"/>
      <c r="T58" s="443"/>
    </row>
    <row r="59" ht="14" customHeight="1" spans="2:20">
      <c r="B59" s="2"/>
      <c r="D59" s="2"/>
      <c r="E59" s="2"/>
      <c r="F59" s="2"/>
      <c r="G59" s="2"/>
      <c r="H59" s="2"/>
      <c r="L59" s="463"/>
      <c r="M59" s="456">
        <v>49</v>
      </c>
      <c r="N59" s="482"/>
      <c r="O59" s="458"/>
      <c r="P59" s="441"/>
      <c r="Q59" s="459">
        <v>49</v>
      </c>
      <c r="R59" s="482"/>
      <c r="S59" s="458"/>
      <c r="T59" s="443"/>
    </row>
    <row r="60" ht="14" customHeight="1" spans="2:20">
      <c r="B60" s="2"/>
      <c r="D60" s="2"/>
      <c r="E60" s="2"/>
      <c r="F60" s="2"/>
      <c r="G60" s="2"/>
      <c r="H60" s="2"/>
      <c r="L60" s="463"/>
      <c r="M60" s="456">
        <v>50</v>
      </c>
      <c r="N60" s="482"/>
      <c r="O60" s="458"/>
      <c r="P60" s="441"/>
      <c r="Q60" s="459">
        <v>50</v>
      </c>
      <c r="R60" s="482"/>
      <c r="S60" s="458"/>
      <c r="T60" s="443"/>
    </row>
    <row r="61" spans="2:20">
      <c r="B61" s="2"/>
      <c r="D61" s="2"/>
      <c r="E61" s="2"/>
      <c r="F61" s="2"/>
      <c r="G61" s="2"/>
      <c r="H61" s="2"/>
      <c r="L61" s="463"/>
      <c r="M61" s="590"/>
      <c r="N61" s="591"/>
      <c r="O61" s="592"/>
      <c r="P61" s="441"/>
      <c r="Q61" s="590"/>
      <c r="R61" s="591"/>
      <c r="S61" s="592"/>
      <c r="T61" s="443"/>
    </row>
    <row r="62" spans="2:20">
      <c r="B62" s="2"/>
      <c r="D62" s="2"/>
      <c r="E62" s="2"/>
      <c r="F62" s="2"/>
      <c r="G62" s="2"/>
      <c r="H62" s="2"/>
      <c r="L62" s="463"/>
      <c r="M62" s="590"/>
      <c r="N62" s="593" t="s">
        <v>168</v>
      </c>
      <c r="O62" s="592"/>
      <c r="P62" s="441"/>
      <c r="Q62" s="590"/>
      <c r="R62" s="591"/>
      <c r="S62" s="592"/>
      <c r="T62" s="443"/>
    </row>
    <row r="63" ht="14.55" spans="2:20">
      <c r="B63" s="2"/>
      <c r="D63" s="2"/>
      <c r="E63" s="2"/>
      <c r="F63" s="2"/>
      <c r="G63" s="2"/>
      <c r="H63" s="2"/>
      <c r="L63" s="594"/>
      <c r="M63" s="478"/>
      <c r="N63" s="478"/>
      <c r="O63" s="478"/>
      <c r="P63" s="478"/>
      <c r="Q63" s="478"/>
      <c r="R63" s="478"/>
      <c r="S63" s="478"/>
      <c r="T63" s="595"/>
    </row>
    <row r="64" ht="14" customHeight="1" spans="2:20">
      <c r="B64" s="2"/>
      <c r="D64" s="2"/>
      <c r="E64" s="2"/>
      <c r="F64" s="2"/>
      <c r="G64" s="2"/>
      <c r="H64" s="2"/>
      <c r="L64" s="2"/>
      <c r="T64" s="596" t="s">
        <v>169</v>
      </c>
    </row>
    <row r="65" spans="2:19">
      <c r="B65" s="2"/>
      <c r="D65" s="2"/>
      <c r="E65" s="2"/>
      <c r="F65" s="2"/>
      <c r="G65" s="2"/>
      <c r="H65" s="2"/>
      <c r="L65" s="2"/>
    </row>
    <row r="66" hidden="1" spans="2:19">
      <c r="B66" s="2"/>
      <c r="D66" s="2"/>
      <c r="E66" s="2"/>
      <c r="F66" s="2"/>
      <c r="G66" s="2"/>
      <c r="H66" s="2"/>
      <c r="L66" s="2"/>
    </row>
    <row r="67" ht="14" hidden="1" customHeight="1" spans="2:19">
      <c r="B67" s="2"/>
      <c r="D67" s="2"/>
      <c r="E67" s="2"/>
      <c r="F67" s="2"/>
      <c r="G67" s="2"/>
      <c r="H67" s="2"/>
      <c r="L67" s="2"/>
      <c r="O67" s="597"/>
      <c r="P67" s="597"/>
      <c r="Q67" s="597"/>
      <c r="R67" s="597"/>
      <c r="S67" s="597"/>
    </row>
    <row r="68" hidden="1" spans="2:19">
      <c r="B68" s="2"/>
      <c r="D68" s="2"/>
      <c r="E68" s="2"/>
      <c r="F68" s="2"/>
      <c r="G68" s="2"/>
      <c r="H68" s="2"/>
      <c r="L68" s="2"/>
      <c r="N68" s="597"/>
      <c r="O68" s="597"/>
      <c r="P68" s="597"/>
      <c r="Q68" s="597"/>
      <c r="R68" s="597"/>
      <c r="S68" s="597"/>
    </row>
    <row r="69" hidden="1" spans="2:19">
      <c r="B69" s="2"/>
      <c r="D69" s="2"/>
      <c r="E69" s="2"/>
      <c r="F69" s="2"/>
      <c r="G69" s="2"/>
      <c r="H69" s="2"/>
      <c r="L69" s="2"/>
      <c r="N69" s="597"/>
      <c r="O69" s="597"/>
      <c r="P69" s="597"/>
      <c r="Q69" s="597"/>
      <c r="R69" s="597"/>
      <c r="S69" s="597"/>
    </row>
    <row r="70" hidden="1" spans="2:19">
      <c r="B70" s="2"/>
      <c r="D70" s="2"/>
      <c r="E70" s="2"/>
      <c r="F70" s="2"/>
      <c r="G70" s="2"/>
      <c r="H70" s="2"/>
      <c r="L70" s="2"/>
    </row>
    <row r="71" hidden="1" spans="2:19">
      <c r="B71" s="2"/>
      <c r="D71" s="2"/>
      <c r="E71" s="2"/>
      <c r="F71" s="2"/>
      <c r="G71" s="2"/>
      <c r="H71" s="2"/>
      <c r="L71" s="2"/>
    </row>
  </sheetData>
  <sheetProtection algorithmName="SHA-512" hashValue="1nvTXd2l+nZpxM+k5oHtRPfWU8VHF7VgXkmvJTw9nMV7Q26C9Wgr5c+GsRYolhGfFnesIKw2tsD2msNxsLFWZQ==" saltValue="50eKDABwm4amrHDBey52Dw==" spinCount="100000" sheet="1" formatCells="0" formatColumns="0" formatRows="0" autoFilter="0" objects="1" scenarios="1"/>
  <mergeCells count="32">
    <mergeCell ref="C10:D10"/>
    <mergeCell ref="F10:H10"/>
    <mergeCell ref="C11:D11"/>
    <mergeCell ref="F11:H11"/>
    <mergeCell ref="C13:D13"/>
    <mergeCell ref="C16:D16"/>
    <mergeCell ref="F25:H25"/>
    <mergeCell ref="C28:D28"/>
    <mergeCell ref="F28:H28"/>
    <mergeCell ref="C29:D29"/>
    <mergeCell ref="F29:H29"/>
    <mergeCell ref="C35:D35"/>
    <mergeCell ref="E14:E15"/>
    <mergeCell ref="E22:E23"/>
    <mergeCell ref="E30:E31"/>
    <mergeCell ref="E39:E40"/>
    <mergeCell ref="G43:G45"/>
    <mergeCell ref="G46:G48"/>
    <mergeCell ref="C14:D15"/>
    <mergeCell ref="F14:H15"/>
    <mergeCell ref="C22:D23"/>
    <mergeCell ref="B19:I20"/>
    <mergeCell ref="F22:H23"/>
    <mergeCell ref="L7:T8"/>
    <mergeCell ref="B7:I8"/>
    <mergeCell ref="F30:H31"/>
    <mergeCell ref="C30:D31"/>
    <mergeCell ref="D56:H58"/>
    <mergeCell ref="C39:D40"/>
    <mergeCell ref="F39:H40"/>
    <mergeCell ref="G35:H36"/>
    <mergeCell ref="G53:H54"/>
  </mergeCells>
  <conditionalFormatting sqref="F28:H28">
    <cfRule type="expression" dxfId="0" priority="34">
      <formula>COUNTIF(INDIRECT(HELPER!$F$8),$F$28)=0</formula>
    </cfRule>
  </conditionalFormatting>
  <conditionalFormatting sqref="F29:H29">
    <cfRule type="expression" dxfId="1" priority="33">
      <formula>COUNTIF(INDIRECT(HELPER!$F$9),$F$29)=0</formula>
    </cfRule>
  </conditionalFormatting>
  <conditionalFormatting sqref="G33:H33">
    <cfRule type="expression" dxfId="2" priority="25">
      <formula>OR($F$33=3,$F$33="")</formula>
    </cfRule>
  </conditionalFormatting>
  <conditionalFormatting sqref="G34:H34">
    <cfRule type="expression" dxfId="2" priority="12">
      <formula>OR($F$33=1,$F$33=3,$F$33="")</formula>
    </cfRule>
  </conditionalFormatting>
  <conditionalFormatting sqref="G35">
    <cfRule type="containsText" dxfId="3" priority="30" operator="between" text="ALL">
      <formula>NOT(ISERROR(SEARCH("ALL",G35)))</formula>
    </cfRule>
    <cfRule type="containsText" dxfId="4" priority="31" operator="between" text="ONE">
      <formula>NOT(ISERROR(SEARCH("ONE",G35)))</formula>
    </cfRule>
  </conditionalFormatting>
  <conditionalFormatting sqref="G51:H51">
    <cfRule type="expression" dxfId="2" priority="15">
      <formula>OR($F$51=3,$F$51="")</formula>
    </cfRule>
  </conditionalFormatting>
  <conditionalFormatting sqref="G52:H52">
    <cfRule type="expression" dxfId="2" priority="2">
      <formula>OR($F$51=1,$F$51=3,$F$51="")</formula>
    </cfRule>
  </conditionalFormatting>
  <conditionalFormatting sqref="G53">
    <cfRule type="containsText" dxfId="3" priority="16" operator="between" text="ALL">
      <formula>NOT(ISERROR(SEARCH("ALL",G53)))</formula>
    </cfRule>
    <cfRule type="containsText" dxfId="4" priority="17" operator="between" text="ONE">
      <formula>NOT(ISERROR(SEARCH("ONE",G53)))</formula>
    </cfRule>
  </conditionalFormatting>
  <conditionalFormatting sqref="R23:R62 N19:N62">
    <cfRule type="duplicateValues" dxfId="5" priority="55"/>
  </conditionalFormatting>
  <conditionalFormatting sqref="F30:H31">
    <cfRule type="expression" dxfId="6" priority="32">
      <formula>$I$30=1</formula>
    </cfRule>
  </conditionalFormatting>
  <conditionalFormatting sqref="B37:J54">
    <cfRule type="expression" dxfId="7" priority="1">
      <formula>$F$29&lt;&gt;$C$37</formula>
    </cfRule>
  </conditionalFormatting>
  <conditionalFormatting sqref="C39 E39">
    <cfRule type="expression" dxfId="8" priority="54">
      <formula>$F$30="Other Elective and Special Curricular Program"</formula>
    </cfRule>
  </conditionalFormatting>
  <dataValidations count="7">
    <dataValidation type="list" allowBlank="1" showInputMessage="1" showErrorMessage="1" sqref="F10:H1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24:G24" showDropDown="1">
      <formula1>"11,12"</formula1>
    </dataValidation>
    <dataValidation type="list" allowBlank="1" showInputMessage="1" showErrorMessage="1" sqref="F28:H28">
      <formula1>INDIRECT(HELPER!$F$8)</formula1>
    </dataValidation>
    <dataValidation type="list" allowBlank="1" showInputMessage="1" showErrorMessage="1" sqref="F29:H29">
      <formula1>INDIRECT(HELPER!$F$9)</formula1>
    </dataValidation>
    <dataValidation type="list" allowBlank="1" showInputMessage="1" showErrorMessage="1" sqref="H33 H51">
      <formula1>"FIRST TERM, SECOND TERM, THIRD TERM"</formula1>
    </dataValidation>
    <dataValidation type="list" allowBlank="1" showInputMessage="1" showErrorMessage="1" sqref="F51">
      <formula1>"1,2,3"</formula1>
    </dataValidation>
    <dataValidation type="list" allowBlank="1" showInputMessage="1" showErrorMessage="1" sqref="F30:H31">
      <formula1>INDIRECT(HELPER!$F$10)</formula1>
    </dataValidation>
  </dataValidations>
  <printOptions horizontalCentered="1"/>
  <pageMargins left="0.236220472440945" right="0.236220472440945" top="0.748031496062992" bottom="0.748031496062992" header="0.31496062992126" footer="0.31496062992126"/>
  <pageSetup paperSize="208" scale="65"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FFFF00"/>
    <pageSetUpPr fitToPage="1"/>
  </sheetPr>
  <dimension ref="B1:AM170"/>
  <sheetViews>
    <sheetView showGridLines="0" tabSelected="1" zoomScale="84" zoomScaleNormal="84" topLeftCell="C1" workbookViewId="0">
      <pane ySplit="15" topLeftCell="A16" activePane="bottomLeft" state="frozen"/>
      <selection/>
      <selection pane="bottomLeft" activeCell="AF17" sqref="AF17"/>
    </sheetView>
  </sheetViews>
  <sheetFormatPr defaultColWidth="0" defaultRowHeight="13.8" zeroHeight="1"/>
  <cols>
    <col min="1" max="2" width="3.62962962962963" style="2" customWidth="1"/>
    <col min="3" max="3" width="36.6296296296296" style="2" customWidth="1"/>
    <col min="4" max="13" width="4.36111111111111" style="2" customWidth="1"/>
    <col min="14" max="16" width="6.62962962962963" style="2" customWidth="1"/>
    <col min="17" max="26" width="4.36111111111111" style="2" customWidth="1"/>
    <col min="27" max="28" width="6.62962962962963" style="2" customWidth="1"/>
    <col min="29" max="29" width="6.62962962962963" style="16" customWidth="1"/>
    <col min="30" max="32" width="4.36111111111111" style="2" customWidth="1"/>
    <col min="33" max="37" width="6.62962962962963" style="2" customWidth="1"/>
    <col min="38" max="39" width="8.62962962962963" style="2" customWidth="1"/>
    <col min="40" max="40" width="3.62962962962963" style="2" customWidth="1"/>
    <col min="41" max="45" width="3.62962962962963" style="2" hidden="1" customWidth="1"/>
    <col min="46" max="16384" width="9.17592592592593" style="2" hidden="1"/>
  </cols>
  <sheetData>
    <row r="1"/>
    <row r="2" ht="28.2" spans="2:39">
      <c r="B2" s="269" t="s">
        <v>170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270"/>
      <c r="AD2" s="173"/>
      <c r="AE2" s="173"/>
      <c r="AF2" s="173"/>
      <c r="AG2" s="173"/>
      <c r="AH2" s="173"/>
      <c r="AI2" s="173"/>
      <c r="AJ2" s="173"/>
      <c r="AK2" s="173"/>
      <c r="AL2" s="173"/>
      <c r="AM2" s="173"/>
    </row>
    <row r="3" spans="2:39">
      <c r="B3" s="271" t="s">
        <v>171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270"/>
      <c r="AD3" s="173"/>
      <c r="AE3" s="173"/>
      <c r="AF3" s="173"/>
      <c r="AG3" s="173"/>
      <c r="AH3" s="173"/>
      <c r="AI3" s="173"/>
      <c r="AJ3" s="173"/>
      <c r="AK3" s="173"/>
      <c r="AL3" s="173"/>
      <c r="AM3" s="173"/>
    </row>
    <row r="4"/>
    <row r="5"/>
    <row r="6" spans="2:39">
      <c r="G6" s="174" t="s">
        <v>7</v>
      </c>
      <c r="H6" s="176" t="str">
        <f>UPPER('INPUT DATA'!F10)</f>
        <v>REGION IV-A </v>
      </c>
      <c r="I6" s="176"/>
      <c r="J6" s="176"/>
      <c r="K6" s="176"/>
      <c r="L6" s="176"/>
      <c r="M6" s="176"/>
      <c r="O6" s="174" t="s">
        <v>10</v>
      </c>
      <c r="P6" s="176" t="str">
        <f>UPPER('INPUT DATA'!F11)</f>
        <v>CALAMBA CITY</v>
      </c>
      <c r="Q6" s="176"/>
      <c r="R6" s="176"/>
      <c r="S6" s="176"/>
      <c r="T6" s="176"/>
      <c r="Z6" s="174" t="s">
        <v>12</v>
      </c>
      <c r="AA6" s="176">
        <f>IF('INPUT DATA'!F13="","",'INPUT DATA'!F13)</f>
        <v>301518</v>
      </c>
      <c r="AB6" s="176"/>
      <c r="AC6" s="176"/>
    </row>
    <row r="7" spans="2:39">
      <c r="G7" s="174" t="s">
        <v>14</v>
      </c>
      <c r="H7" s="177" t="str">
        <f>UPPER('INPUT DATA'!F14)</f>
        <v>EDUARDO BARRETTO SR. INTEGRATED SCHOOL</v>
      </c>
      <c r="I7" s="178"/>
      <c r="J7" s="178"/>
      <c r="K7" s="178"/>
      <c r="L7" s="178"/>
      <c r="M7" s="178"/>
      <c r="N7" s="178"/>
      <c r="O7" s="178"/>
      <c r="P7" s="178"/>
      <c r="Q7" s="178"/>
      <c r="R7" s="178"/>
      <c r="S7" s="178"/>
      <c r="T7" s="179"/>
      <c r="Z7" s="174" t="s">
        <v>16</v>
      </c>
      <c r="AA7" s="176" t="str">
        <f>'INPUT DATA'!F16&amp;"    "&amp;'INPUT DATA'!G16</f>
        <v>2026    –    2027</v>
      </c>
      <c r="AB7" s="176"/>
      <c r="AC7" s="176"/>
    </row>
    <row r="8" ht="14.55" spans="2:39">
      <c r="B8" s="272" t="str">
        <f>IF(OR(HELPER!G23="1ST",HELPER!G23="1ST &amp; 2ND",HELPER!G23="1ST, 2ND, 3RD"),"","INCORRECT SHEET. Do not use this sheet to input data.")</f>
        <v/>
      </c>
      <c r="C8" s="10"/>
    </row>
    <row r="9" ht="20.4" spans="2:39">
      <c r="B9" s="273" t="s">
        <v>156</v>
      </c>
      <c r="C9" s="274"/>
      <c r="D9" s="275" t="s">
        <v>23</v>
      </c>
      <c r="E9" s="276"/>
      <c r="F9" s="276"/>
      <c r="G9" s="276"/>
      <c r="H9" s="277">
        <f>IFERROR(IF(B8&lt;&gt;"INCORRECT SHEET. Do not use this sheet to input data.",'INPUT DATA'!F24,""),"")</f>
        <v>11</v>
      </c>
      <c r="I9" s="277"/>
      <c r="J9" s="278" t="s">
        <v>172</v>
      </c>
      <c r="K9" s="279"/>
      <c r="L9" s="279"/>
      <c r="M9" s="280"/>
      <c r="N9" s="184" t="str">
        <f>IFERROR(IF(B8&lt;&gt;"INCORRECT SHEET. Do not use this sheet to input data.",UPPER('INPUT DATA'!F25),""),"")</f>
        <v>MILKY WAY</v>
      </c>
      <c r="O9" s="185"/>
      <c r="P9" s="281"/>
      <c r="Q9" s="282" t="s">
        <v>32</v>
      </c>
      <c r="R9" s="282"/>
      <c r="S9" s="282"/>
      <c r="T9" s="282"/>
      <c r="U9" s="283" t="str">
        <f>IFERROR(IF(B8&lt;&gt;"INCORRECT SHEET. Do not use this sheet to input data.",UPPER(HELPER!G10),""),"")</f>
        <v>GENERAL MATHEMATICS</v>
      </c>
      <c r="V9" s="284"/>
      <c r="W9" s="284"/>
      <c r="X9" s="284"/>
      <c r="Y9" s="284"/>
      <c r="Z9" s="284"/>
      <c r="AA9" s="284"/>
      <c r="AB9" s="284"/>
      <c r="AC9" s="284"/>
      <c r="AD9" s="284"/>
      <c r="AE9" s="284"/>
      <c r="AF9" s="284"/>
      <c r="AG9" s="284"/>
      <c r="AH9" s="284"/>
      <c r="AI9" s="284"/>
      <c r="AJ9" s="284"/>
      <c r="AK9" s="284"/>
      <c r="AL9" s="284"/>
      <c r="AM9" s="285"/>
    </row>
    <row r="10" ht="16.5" customHeight="1" spans="2:39">
      <c r="B10" s="286"/>
      <c r="C10" s="287"/>
      <c r="D10" s="288" t="s">
        <v>21</v>
      </c>
      <c r="E10" s="289"/>
      <c r="F10" s="289"/>
      <c r="G10" s="289"/>
      <c r="H10" s="290" t="str">
        <f>IFERROR(IF(B8&lt;&gt;"INCORRECT SHEET. Do not use this sheet to input data.",UPPER('INPUT DATA'!F22),""),"")</f>
        <v>KAREN P. GONZAGA</v>
      </c>
      <c r="I10" s="291"/>
      <c r="J10" s="291"/>
      <c r="K10" s="291"/>
      <c r="L10" s="291"/>
      <c r="M10" s="291"/>
      <c r="N10" s="291"/>
      <c r="O10" s="291"/>
      <c r="P10" s="292"/>
      <c r="Q10" s="289" t="s">
        <v>30</v>
      </c>
      <c r="R10" s="289"/>
      <c r="S10" s="289"/>
      <c r="T10" s="289"/>
      <c r="U10" s="290" t="str">
        <f>IFERROR(IF(B8&lt;&gt;"INCORRECT SHEET. Do not use this sheet to input data.",UPPER(HELPER!G9),""),"")</f>
        <v>CORE</v>
      </c>
      <c r="V10" s="291"/>
      <c r="W10" s="291"/>
      <c r="X10" s="291"/>
      <c r="Y10" s="291"/>
      <c r="Z10" s="291"/>
      <c r="AA10" s="291"/>
      <c r="AB10" s="291"/>
      <c r="AC10" s="291"/>
      <c r="AD10" s="291"/>
      <c r="AE10" s="291"/>
      <c r="AF10" s="291"/>
      <c r="AG10" s="292"/>
      <c r="AH10" s="293" t="s">
        <v>173</v>
      </c>
      <c r="AI10" s="293"/>
      <c r="AJ10" s="222">
        <f>IFERROR(IF(B8&lt;&gt;"INCORRECT SHEET. Do not use this sheet to input data.",HELPER!G27,""),"")</f>
        <v>2</v>
      </c>
      <c r="AK10" s="931" t="s">
        <v>174</v>
      </c>
      <c r="AL10" s="295">
        <f>IFERROR(IF(B8&lt;&gt;"INCORRECT SHEET. Do not use this sheet to input data.",HELPER!G28,""),"")</f>
        <v>6</v>
      </c>
      <c r="AM10" s="932" t="s">
        <v>175</v>
      </c>
    </row>
    <row r="11" ht="20.4" spans="2:39">
      <c r="B11" s="286"/>
      <c r="C11" s="287"/>
      <c r="D11" s="297" t="s">
        <v>176</v>
      </c>
      <c r="E11" s="298"/>
      <c r="F11" s="298"/>
      <c r="G11" s="298"/>
      <c r="H11" s="298"/>
      <c r="I11" s="298"/>
      <c r="J11" s="298"/>
      <c r="K11" s="298"/>
      <c r="L11" s="298"/>
      <c r="M11" s="298"/>
      <c r="N11" s="298"/>
      <c r="O11" s="298"/>
      <c r="P11" s="299"/>
      <c r="Q11" s="297" t="s">
        <v>177</v>
      </c>
      <c r="R11" s="298"/>
      <c r="S11" s="298"/>
      <c r="T11" s="298"/>
      <c r="U11" s="298"/>
      <c r="V11" s="298"/>
      <c r="W11" s="298"/>
      <c r="X11" s="298"/>
      <c r="Y11" s="298"/>
      <c r="Z11" s="298"/>
      <c r="AA11" s="298"/>
      <c r="AB11" s="298"/>
      <c r="AC11" s="299"/>
      <c r="AD11" s="297" t="s">
        <v>178</v>
      </c>
      <c r="AE11" s="298"/>
      <c r="AF11" s="298"/>
      <c r="AG11" s="298"/>
      <c r="AH11" s="298"/>
      <c r="AI11" s="298"/>
      <c r="AJ11" s="298"/>
      <c r="AK11" s="300"/>
      <c r="AL11" s="301" t="s">
        <v>179</v>
      </c>
      <c r="AM11" s="302" t="s">
        <v>180</v>
      </c>
    </row>
    <row r="12" ht="21.15" spans="2:39">
      <c r="B12" s="286"/>
      <c r="C12" s="287"/>
      <c r="D12" s="303">
        <f>IF($U$9&lt;&gt;"",IFERROR(_xlfn.IFNA(HELPER!G13/100,""),""),"")</f>
        <v>0.2</v>
      </c>
      <c r="E12" s="304"/>
      <c r="F12" s="304"/>
      <c r="G12" s="304"/>
      <c r="H12" s="304"/>
      <c r="I12" s="304"/>
      <c r="J12" s="304"/>
      <c r="K12" s="304"/>
      <c r="L12" s="304"/>
      <c r="M12" s="304"/>
      <c r="N12" s="304"/>
      <c r="O12" s="304"/>
      <c r="P12" s="305"/>
      <c r="Q12" s="306">
        <f>IF($U$9&lt;&gt;"",IFERROR(_xlfn.IFNA(HELPER!G14/100,""),""),"")</f>
        <v>0.5</v>
      </c>
      <c r="R12" s="307"/>
      <c r="S12" s="307"/>
      <c r="T12" s="307"/>
      <c r="U12" s="307"/>
      <c r="V12" s="307"/>
      <c r="W12" s="307"/>
      <c r="X12" s="307"/>
      <c r="Y12" s="307"/>
      <c r="Z12" s="307"/>
      <c r="AA12" s="307"/>
      <c r="AB12" s="307"/>
      <c r="AC12" s="308"/>
      <c r="AD12" s="306">
        <f>IF($U$9&lt;&gt;"",IFERROR(_xlfn.IFNA(HELPER!G15/100,""),""),"")</f>
        <v>0.3</v>
      </c>
      <c r="AE12" s="307"/>
      <c r="AF12" s="307"/>
      <c r="AG12" s="307"/>
      <c r="AH12" s="307"/>
      <c r="AI12" s="307"/>
      <c r="AJ12" s="307"/>
      <c r="AK12" s="309"/>
      <c r="AL12" s="310"/>
      <c r="AM12" s="311"/>
    </row>
    <row r="13" ht="14.55" spans="2:39">
      <c r="B13" s="286"/>
      <c r="C13" s="287"/>
      <c r="D13" s="312">
        <v>1</v>
      </c>
      <c r="E13" s="313">
        <v>2</v>
      </c>
      <c r="F13" s="313">
        <v>3</v>
      </c>
      <c r="G13" s="313">
        <v>4</v>
      </c>
      <c r="H13" s="313">
        <v>5</v>
      </c>
      <c r="I13" s="314">
        <v>6</v>
      </c>
      <c r="J13" s="314">
        <v>7</v>
      </c>
      <c r="K13" s="314">
        <v>8</v>
      </c>
      <c r="L13" s="314">
        <v>9</v>
      </c>
      <c r="M13" s="315">
        <v>10</v>
      </c>
      <c r="N13" s="316" t="s">
        <v>181</v>
      </c>
      <c r="O13" s="317" t="s">
        <v>96</v>
      </c>
      <c r="P13" s="318" t="s">
        <v>93</v>
      </c>
      <c r="Q13" s="312">
        <v>1</v>
      </c>
      <c r="R13" s="313">
        <v>2</v>
      </c>
      <c r="S13" s="313">
        <v>3</v>
      </c>
      <c r="T13" s="314">
        <v>4</v>
      </c>
      <c r="U13" s="314">
        <v>5</v>
      </c>
      <c r="V13" s="314">
        <v>6</v>
      </c>
      <c r="W13" s="314">
        <v>7</v>
      </c>
      <c r="X13" s="314">
        <v>8</v>
      </c>
      <c r="Y13" s="314">
        <v>9</v>
      </c>
      <c r="Z13" s="315">
        <v>10</v>
      </c>
      <c r="AA13" s="316" t="s">
        <v>181</v>
      </c>
      <c r="AB13" s="317" t="s">
        <v>96</v>
      </c>
      <c r="AC13" s="318" t="s">
        <v>93</v>
      </c>
      <c r="AD13" s="319" t="s">
        <v>182</v>
      </c>
      <c r="AE13" s="314" t="s">
        <v>183</v>
      </c>
      <c r="AF13" s="315" t="s">
        <v>184</v>
      </c>
      <c r="AG13" s="316" t="s">
        <v>185</v>
      </c>
      <c r="AH13" s="317" t="s">
        <v>186</v>
      </c>
      <c r="AI13" s="318" t="s">
        <v>187</v>
      </c>
      <c r="AJ13" s="316" t="s">
        <v>96</v>
      </c>
      <c r="AK13" s="320" t="s">
        <v>93</v>
      </c>
      <c r="AL13" s="310"/>
      <c r="AM13" s="311"/>
    </row>
    <row r="14" spans="2:39">
      <c r="B14" s="321" t="s">
        <v>70</v>
      </c>
      <c r="C14" s="322"/>
      <c r="D14" s="323">
        <v>50</v>
      </c>
      <c r="E14" s="324">
        <v>10</v>
      </c>
      <c r="F14" s="324">
        <v>1</v>
      </c>
      <c r="G14" s="324">
        <v>1</v>
      </c>
      <c r="H14" s="324"/>
      <c r="I14" s="324"/>
      <c r="J14" s="324"/>
      <c r="K14" s="324"/>
      <c r="L14" s="324"/>
      <c r="M14" s="325"/>
      <c r="N14" s="326">
        <f>SUM(D14:M14)</f>
        <v>62</v>
      </c>
      <c r="O14" s="327">
        <v>100</v>
      </c>
      <c r="P14" s="328">
        <f>D12</f>
        <v>0.2</v>
      </c>
      <c r="Q14" s="323">
        <v>50</v>
      </c>
      <c r="R14" s="324">
        <v>12</v>
      </c>
      <c r="S14" s="324"/>
      <c r="T14" s="324"/>
      <c r="U14" s="324"/>
      <c r="V14" s="324"/>
      <c r="W14" s="324"/>
      <c r="X14" s="324"/>
      <c r="Y14" s="324"/>
      <c r="Z14" s="325"/>
      <c r="AA14" s="326">
        <f>SUM(Q14:Z14)</f>
        <v>62</v>
      </c>
      <c r="AB14" s="327">
        <v>100</v>
      </c>
      <c r="AC14" s="328">
        <f>Q12</f>
        <v>0.5</v>
      </c>
      <c r="AD14" s="323">
        <v>50</v>
      </c>
      <c r="AE14" s="324">
        <v>50</v>
      </c>
      <c r="AF14" s="325">
        <v>50</v>
      </c>
      <c r="AG14" s="329">
        <f>_xlfn.IFNA(HELPER!G17,"")</f>
        <v>30</v>
      </c>
      <c r="AH14" s="329">
        <f>_xlfn.IFNA(HELPER!G18,"")</f>
        <v>30</v>
      </c>
      <c r="AI14" s="329">
        <f>_xlfn.IFNA(HELPER!G19,"")</f>
        <v>40</v>
      </c>
      <c r="AJ14" s="326">
        <f>IF(AD12=0,"",100)</f>
        <v>100</v>
      </c>
      <c r="AK14" s="330">
        <f>AD12</f>
        <v>0.3</v>
      </c>
      <c r="AL14" s="310"/>
      <c r="AM14" s="311"/>
    </row>
    <row r="15" ht="18" spans="2:39">
      <c r="B15" s="331" t="s">
        <v>43</v>
      </c>
      <c r="C15" s="332"/>
      <c r="D15" s="333"/>
      <c r="E15" s="334"/>
      <c r="F15" s="334"/>
      <c r="G15" s="334"/>
      <c r="H15" s="334"/>
      <c r="I15" s="334"/>
      <c r="J15" s="334"/>
      <c r="K15" s="334"/>
      <c r="L15" s="334"/>
      <c r="M15" s="335"/>
      <c r="N15" s="333"/>
      <c r="O15" s="334"/>
      <c r="P15" s="336"/>
      <c r="Q15" s="333"/>
      <c r="R15" s="334"/>
      <c r="S15" s="334"/>
      <c r="T15" s="334"/>
      <c r="U15" s="334"/>
      <c r="V15" s="334"/>
      <c r="W15" s="334"/>
      <c r="X15" s="334"/>
      <c r="Y15" s="334"/>
      <c r="Z15" s="335"/>
      <c r="AA15" s="333"/>
      <c r="AB15" s="334"/>
      <c r="AC15" s="336"/>
      <c r="AD15" s="333"/>
      <c r="AE15" s="334"/>
      <c r="AF15" s="335"/>
      <c r="AG15" s="333"/>
      <c r="AH15" s="334"/>
      <c r="AI15" s="336"/>
      <c r="AJ15" s="333"/>
      <c r="AK15" s="337"/>
      <c r="AL15" s="333"/>
      <c r="AM15" s="336"/>
    </row>
    <row r="16" ht="14.55" spans="2:39">
      <c r="B16" s="338" t="s">
        <v>44</v>
      </c>
      <c r="C16" s="339"/>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1"/>
      <c r="AM16" s="342"/>
    </row>
    <row r="17" spans="2:39">
      <c r="B17" s="343">
        <v>1</v>
      </c>
      <c r="C17" s="344" t="str">
        <f>IFERROR(IF(OR($B$8="INCORRECT SHEET. Do not use this sheet to input data.",'INPUT DATA'!O11=""),"",'INPUT DATA'!O11),"")</f>
        <v>CALICA, LJAY</v>
      </c>
      <c r="D17" s="345">
        <v>49</v>
      </c>
      <c r="E17" s="346">
        <v>10</v>
      </c>
      <c r="F17" s="346">
        <v>1</v>
      </c>
      <c r="G17" s="346">
        <v>1</v>
      </c>
      <c r="H17" s="346"/>
      <c r="I17" s="346"/>
      <c r="J17" s="346"/>
      <c r="K17" s="346"/>
      <c r="L17" s="346"/>
      <c r="M17" s="347"/>
      <c r="N17" s="348">
        <f>IF(COUNT(D17:M17)=0,"",SUM(D17:M17))</f>
        <v>61</v>
      </c>
      <c r="O17" s="349">
        <f>IFERROR(IF(N17="","",ROUND(N17/N$14*O$14,2)),"")</f>
        <v>98.39</v>
      </c>
      <c r="P17" s="350">
        <f>IFERROR(IF(O17="","",ROUND(O17*P$14,2)),"")</f>
        <v>19.68</v>
      </c>
      <c r="Q17" s="345">
        <v>29</v>
      </c>
      <c r="R17" s="346">
        <v>12</v>
      </c>
      <c r="S17" s="346"/>
      <c r="T17" s="346"/>
      <c r="U17" s="346"/>
      <c r="V17" s="346"/>
      <c r="W17" s="346"/>
      <c r="X17" s="346"/>
      <c r="Y17" s="346"/>
      <c r="Z17" s="347"/>
      <c r="AA17" s="348">
        <f>IF(COUNT(Q17:Z17)=0,"",SUM(Q17:Z17))</f>
        <v>41</v>
      </c>
      <c r="AB17" s="349">
        <f>IFERROR(IF(AA17="","",ROUND(AA17/AA$14*AB$14,2)),"")</f>
        <v>66.13</v>
      </c>
      <c r="AC17" s="350">
        <f>IFERROR(IF(AB17="","",ROUND(AB17*AC$14,2)),"")</f>
        <v>33.07</v>
      </c>
      <c r="AD17" s="345">
        <v>50</v>
      </c>
      <c r="AE17" s="346">
        <v>49</v>
      </c>
      <c r="AF17" s="347">
        <v>44</v>
      </c>
      <c r="AG17" s="351">
        <f>IFERROR(IF(AD17="","",ROUND(AD17/$AD$14*$AG$14,2)),"")</f>
        <v>30</v>
      </c>
      <c r="AH17" s="349">
        <f>IFERROR(IF(AE17="","",ROUND(AE17/$AE$14*$AH$14,2)),"")</f>
        <v>29.4</v>
      </c>
      <c r="AI17" s="352">
        <f>IFERROR(IF(AF17="","",ROUND(AF17/$AF$14*$AI$14,2)),"")</f>
        <v>35.2</v>
      </c>
      <c r="AJ17" s="351">
        <f>IF($AD$12=0,"",IF(OR(AG17&lt;&gt;"",AH17&lt;&gt;"",AI17&lt;&gt;""),(SUM(AG17:AI17)/SUM($AG$14:$AI$14))*$AJ$14,""))</f>
        <v>94.6</v>
      </c>
      <c r="AK17" s="353">
        <f>IFERROR(IF(AJ17="","",ROUND(AJ17*$AK$14,2)),"")</f>
        <v>28.38</v>
      </c>
      <c r="AL17" s="354">
        <f>IF(AND(C17&lt;&gt;"",P17&lt;&gt;"",AC17&lt;&gt;"",$AD$12=0),SUM(P17,AC17),IF(AND(C17&lt;&gt;"",P17&lt;&gt;"",AC17&lt;&gt;"",AK17&lt;&gt;"",$D$12&gt;0,$Q$12&gt;0,$AD$12&gt;0),SUM(P17,AC17,AK17),""))</f>
        <v>81.13</v>
      </c>
      <c r="AM17" s="355">
        <f>IFERROR(_xlfn.XLOOKUP(AL17,HELPER!$C$7:$C$47,HELPER!$D$7:$D$47,,1),"")</f>
        <v>84</v>
      </c>
    </row>
    <row r="18" spans="2:39">
      <c r="B18" s="356">
        <v>2</v>
      </c>
      <c r="C18" s="357" t="str">
        <f>IFERROR(IF(OR($B$8="INCORRECT SHEET. Do not use this sheet to input data.",'INPUT DATA'!O12=""),"",'INPUT DATA'!O12),"")</f>
        <v/>
      </c>
      <c r="D18" s="358"/>
      <c r="E18" s="359"/>
      <c r="F18" s="359"/>
      <c r="G18" s="359"/>
      <c r="H18" s="359"/>
      <c r="I18" s="359"/>
      <c r="J18" s="359"/>
      <c r="K18" s="359"/>
      <c r="L18" s="359"/>
      <c r="M18" s="360"/>
      <c r="N18" s="361" t="str">
        <f t="shared" ref="N18:N66" si="0">IF(COUNT(D18:M18)=0,"",SUM(D18:M18))</f>
        <v/>
      </c>
      <c r="O18" s="362" t="str">
        <f t="shared" ref="O18:O66" si="1">IFERROR(IF(N18="","",ROUND(N18/N$14*O$14,2)),"")</f>
        <v/>
      </c>
      <c r="P18" s="363" t="str">
        <f t="shared" ref="P18:P66" si="2">IFERROR(IF(O18="","",ROUND(O18*P$14,2)),"")</f>
        <v/>
      </c>
      <c r="Q18" s="358"/>
      <c r="R18" s="359"/>
      <c r="S18" s="359"/>
      <c r="T18" s="359"/>
      <c r="U18" s="359"/>
      <c r="V18" s="359"/>
      <c r="W18" s="359"/>
      <c r="X18" s="359"/>
      <c r="Y18" s="359"/>
      <c r="Z18" s="360"/>
      <c r="AA18" s="361" t="str">
        <f t="shared" ref="AA18:AA66" si="3">IF(COUNT(Q18:Z18)=0,"",SUM(Q18:Z18))</f>
        <v/>
      </c>
      <c r="AB18" s="362" t="str">
        <f t="shared" ref="AB18:AB66" si="4">IFERROR(IF(AA18="","",ROUND(AA18/AA$14*AB$14,2)),"")</f>
        <v/>
      </c>
      <c r="AC18" s="363" t="str">
        <f t="shared" ref="AC18:AC66" si="5">IFERROR(IF(AB18="","",ROUND(AB18*AC$14,2)),"")</f>
        <v/>
      </c>
      <c r="AD18" s="358"/>
      <c r="AE18" s="359"/>
      <c r="AF18" s="360"/>
      <c r="AG18" s="364" t="str">
        <f t="shared" ref="AG18:AG66" si="6">IFERROR(IF(AD18="","",ROUND(AD18/$AD$14*$AG$14,2)),"")</f>
        <v/>
      </c>
      <c r="AH18" s="362" t="str">
        <f t="shared" ref="AH18:AH66" si="7">IFERROR(IF(AE18="","",ROUND(AE18/$AE$14*$AH$14,2)),"")</f>
        <v/>
      </c>
      <c r="AI18" s="365" t="str">
        <f t="shared" ref="AI18:AI66" si="8">IFERROR(IF(AF18="","",ROUND(AF18/$AF$14*$AI$14,2)),"")</f>
        <v/>
      </c>
      <c r="AJ18" s="364" t="str">
        <f t="shared" ref="AJ18:AJ66" si="9">IF($AD$12=0,"",IF(OR(AG18&lt;&gt;"",AH18&lt;&gt;"",AI18&lt;&gt;""),(SUM(AG18:AI18)/SUM($AG$14:$AI$14))*$AJ$14,""))</f>
        <v/>
      </c>
      <c r="AK18" s="366" t="str">
        <f t="shared" ref="AK18:AK66" si="10">IFERROR(IF(AJ18="","",ROUND(AJ18*$AK$14,2)),"")</f>
        <v/>
      </c>
      <c r="AL18" s="367" t="str">
        <f t="shared" ref="AL18:AL66" si="11">IF(AND(C18&lt;&gt;"",P18&lt;&gt;"",AC18&lt;&gt;"",$AD$12=0),SUM(P18,AC18),IF(AND(C18&lt;&gt;"",P18&lt;&gt;"",AC18&lt;&gt;"",AK18&lt;&gt;"",$D$12&gt;0,$Q$12&gt;0,$AD$12&gt;0),SUM(P18,AC18,AK18),""))</f>
        <v/>
      </c>
      <c r="AM18" s="368" t="str">
        <f>IFERROR(_xlfn.XLOOKUP(AL18,HELPER!$C$7:$C$47,HELPER!$D$7:$D$47,,1),"")</f>
        <v/>
      </c>
    </row>
    <row r="19" spans="2:39">
      <c r="B19" s="356">
        <v>3</v>
      </c>
      <c r="C19" s="357" t="str">
        <f>IFERROR(IF(OR($B$8="INCORRECT SHEET. Do not use this sheet to input data.",'INPUT DATA'!O13=""),"",'INPUT DATA'!O13),"")</f>
        <v/>
      </c>
      <c r="D19" s="358"/>
      <c r="E19" s="359"/>
      <c r="F19" s="359"/>
      <c r="G19" s="359"/>
      <c r="H19" s="359"/>
      <c r="I19" s="359"/>
      <c r="J19" s="359"/>
      <c r="K19" s="359"/>
      <c r="L19" s="359"/>
      <c r="M19" s="360"/>
      <c r="N19" s="361" t="str">
        <f t="shared" si="0"/>
        <v/>
      </c>
      <c r="O19" s="362" t="str">
        <f t="shared" si="1"/>
        <v/>
      </c>
      <c r="P19" s="363" t="str">
        <f t="shared" si="2"/>
        <v/>
      </c>
      <c r="Q19" s="358"/>
      <c r="R19" s="359"/>
      <c r="S19" s="359"/>
      <c r="T19" s="359"/>
      <c r="U19" s="359"/>
      <c r="V19" s="359"/>
      <c r="W19" s="359"/>
      <c r="X19" s="359"/>
      <c r="Y19" s="359"/>
      <c r="Z19" s="360"/>
      <c r="AA19" s="361" t="str">
        <f t="shared" si="3"/>
        <v/>
      </c>
      <c r="AB19" s="362" t="str">
        <f t="shared" si="4"/>
        <v/>
      </c>
      <c r="AC19" s="363" t="str">
        <f t="shared" si="5"/>
        <v/>
      </c>
      <c r="AD19" s="358"/>
      <c r="AE19" s="359"/>
      <c r="AF19" s="360"/>
      <c r="AG19" s="364" t="str">
        <f t="shared" si="6"/>
        <v/>
      </c>
      <c r="AH19" s="362" t="str">
        <f t="shared" si="7"/>
        <v/>
      </c>
      <c r="AI19" s="365" t="str">
        <f t="shared" si="8"/>
        <v/>
      </c>
      <c r="AJ19" s="364" t="str">
        <f t="shared" si="9"/>
        <v/>
      </c>
      <c r="AK19" s="366" t="str">
        <f t="shared" si="10"/>
        <v/>
      </c>
      <c r="AL19" s="367" t="str">
        <f t="shared" si="11"/>
        <v/>
      </c>
      <c r="AM19" s="368" t="str">
        <f>IFERROR(_xlfn.XLOOKUP(AL19,HELPER!$C$7:$C$47,HELPER!$D$7:$D$47,,1),"")</f>
        <v/>
      </c>
    </row>
    <row r="20" spans="2:39">
      <c r="B20" s="356">
        <v>4</v>
      </c>
      <c r="C20" s="357" t="str">
        <f>IFERROR(IF(OR($B$8="INCORRECT SHEET. Do not use this sheet to input data.",'INPUT DATA'!O14=""),"",'INPUT DATA'!O14),"")</f>
        <v/>
      </c>
      <c r="D20" s="358"/>
      <c r="E20" s="359"/>
      <c r="F20" s="359"/>
      <c r="G20" s="359"/>
      <c r="H20" s="359"/>
      <c r="I20" s="359"/>
      <c r="J20" s="359"/>
      <c r="K20" s="359"/>
      <c r="L20" s="359"/>
      <c r="M20" s="360"/>
      <c r="N20" s="361" t="str">
        <f t="shared" si="0"/>
        <v/>
      </c>
      <c r="O20" s="362" t="str">
        <f t="shared" si="1"/>
        <v/>
      </c>
      <c r="P20" s="363" t="str">
        <f t="shared" si="2"/>
        <v/>
      </c>
      <c r="Q20" s="358"/>
      <c r="R20" s="359"/>
      <c r="S20" s="359"/>
      <c r="T20" s="359"/>
      <c r="U20" s="359"/>
      <c r="V20" s="359"/>
      <c r="W20" s="359"/>
      <c r="X20" s="359"/>
      <c r="Y20" s="359"/>
      <c r="Z20" s="360"/>
      <c r="AA20" s="361" t="str">
        <f t="shared" si="3"/>
        <v/>
      </c>
      <c r="AB20" s="362" t="str">
        <f t="shared" si="4"/>
        <v/>
      </c>
      <c r="AC20" s="363" t="str">
        <f t="shared" si="5"/>
        <v/>
      </c>
      <c r="AD20" s="358"/>
      <c r="AE20" s="359"/>
      <c r="AF20" s="360"/>
      <c r="AG20" s="364" t="str">
        <f t="shared" si="6"/>
        <v/>
      </c>
      <c r="AH20" s="362" t="str">
        <f t="shared" si="7"/>
        <v/>
      </c>
      <c r="AI20" s="365" t="str">
        <f t="shared" si="8"/>
        <v/>
      </c>
      <c r="AJ20" s="364" t="str">
        <f t="shared" si="9"/>
        <v/>
      </c>
      <c r="AK20" s="366" t="str">
        <f t="shared" si="10"/>
        <v/>
      </c>
      <c r="AL20" s="367" t="str">
        <f t="shared" si="11"/>
        <v/>
      </c>
      <c r="AM20" s="368" t="str">
        <f>IFERROR(_xlfn.XLOOKUP(AL20,HELPER!$C$7:$C$47,HELPER!$D$7:$D$47,,1),"")</f>
        <v/>
      </c>
    </row>
    <row r="21" spans="2:39">
      <c r="B21" s="356">
        <v>5</v>
      </c>
      <c r="C21" s="357" t="str">
        <f>IFERROR(IF(OR($B$8="INCORRECT SHEET. Do not use this sheet to input data.",'INPUT DATA'!O15=""),"",'INPUT DATA'!O15),"")</f>
        <v/>
      </c>
      <c r="D21" s="358"/>
      <c r="E21" s="359"/>
      <c r="F21" s="359"/>
      <c r="G21" s="359"/>
      <c r="H21" s="359"/>
      <c r="I21" s="359"/>
      <c r="J21" s="359"/>
      <c r="K21" s="359"/>
      <c r="L21" s="359"/>
      <c r="M21" s="360"/>
      <c r="N21" s="361" t="str">
        <f t="shared" si="0"/>
        <v/>
      </c>
      <c r="O21" s="362" t="str">
        <f t="shared" si="1"/>
        <v/>
      </c>
      <c r="P21" s="363" t="str">
        <f t="shared" si="2"/>
        <v/>
      </c>
      <c r="Q21" s="358"/>
      <c r="R21" s="359"/>
      <c r="S21" s="359"/>
      <c r="T21" s="359"/>
      <c r="U21" s="359"/>
      <c r="V21" s="359"/>
      <c r="W21" s="359"/>
      <c r="X21" s="359"/>
      <c r="Y21" s="359"/>
      <c r="Z21" s="360"/>
      <c r="AA21" s="361" t="str">
        <f t="shared" si="3"/>
        <v/>
      </c>
      <c r="AB21" s="362" t="str">
        <f t="shared" si="4"/>
        <v/>
      </c>
      <c r="AC21" s="363" t="str">
        <f t="shared" si="5"/>
        <v/>
      </c>
      <c r="AD21" s="358"/>
      <c r="AE21" s="359"/>
      <c r="AF21" s="360"/>
      <c r="AG21" s="364" t="str">
        <f t="shared" si="6"/>
        <v/>
      </c>
      <c r="AH21" s="362" t="str">
        <f t="shared" si="7"/>
        <v/>
      </c>
      <c r="AI21" s="365" t="str">
        <f t="shared" si="8"/>
        <v/>
      </c>
      <c r="AJ21" s="364" t="str">
        <f t="shared" si="9"/>
        <v/>
      </c>
      <c r="AK21" s="366" t="str">
        <f t="shared" si="10"/>
        <v/>
      </c>
      <c r="AL21" s="367" t="str">
        <f t="shared" si="11"/>
        <v/>
      </c>
      <c r="AM21" s="368" t="str">
        <f>IFERROR(_xlfn.XLOOKUP(AL21,HELPER!$C$7:$C$47,HELPER!$D$7:$D$47,,1),"")</f>
        <v/>
      </c>
    </row>
    <row r="22" spans="2:39">
      <c r="B22" s="356">
        <v>6</v>
      </c>
      <c r="C22" s="357" t="str">
        <f>IFERROR(IF(OR($B$8="INCORRECT SHEET. Do not use this sheet to input data.",'INPUT DATA'!O16=""),"",'INPUT DATA'!O16),"")</f>
        <v/>
      </c>
      <c r="D22" s="358"/>
      <c r="E22" s="359"/>
      <c r="F22" s="359"/>
      <c r="G22" s="359"/>
      <c r="H22" s="359"/>
      <c r="I22" s="359"/>
      <c r="J22" s="359"/>
      <c r="K22" s="359"/>
      <c r="L22" s="359"/>
      <c r="M22" s="360"/>
      <c r="N22" s="361" t="str">
        <f t="shared" si="0"/>
        <v/>
      </c>
      <c r="O22" s="362" t="str">
        <f t="shared" si="1"/>
        <v/>
      </c>
      <c r="P22" s="363" t="str">
        <f t="shared" si="2"/>
        <v/>
      </c>
      <c r="Q22" s="358"/>
      <c r="R22" s="359"/>
      <c r="S22" s="359"/>
      <c r="T22" s="359"/>
      <c r="U22" s="359"/>
      <c r="V22" s="359"/>
      <c r="W22" s="359"/>
      <c r="X22" s="359"/>
      <c r="Y22" s="359"/>
      <c r="Z22" s="360"/>
      <c r="AA22" s="361" t="str">
        <f t="shared" si="3"/>
        <v/>
      </c>
      <c r="AB22" s="362" t="str">
        <f t="shared" si="4"/>
        <v/>
      </c>
      <c r="AC22" s="363" t="str">
        <f t="shared" si="5"/>
        <v/>
      </c>
      <c r="AD22" s="358"/>
      <c r="AE22" s="359"/>
      <c r="AF22" s="360"/>
      <c r="AG22" s="364" t="str">
        <f t="shared" si="6"/>
        <v/>
      </c>
      <c r="AH22" s="362" t="str">
        <f t="shared" si="7"/>
        <v/>
      </c>
      <c r="AI22" s="365" t="str">
        <f t="shared" si="8"/>
        <v/>
      </c>
      <c r="AJ22" s="364" t="str">
        <f t="shared" si="9"/>
        <v/>
      </c>
      <c r="AK22" s="366" t="str">
        <f t="shared" si="10"/>
        <v/>
      </c>
      <c r="AL22" s="367" t="str">
        <f t="shared" si="11"/>
        <v/>
      </c>
      <c r="AM22" s="368" t="str">
        <f>IFERROR(_xlfn.XLOOKUP(AL22,HELPER!$C$7:$C$47,HELPER!$D$7:$D$47,,1),"")</f>
        <v/>
      </c>
    </row>
    <row r="23" spans="2:39">
      <c r="B23" s="356">
        <v>7</v>
      </c>
      <c r="C23" s="357" t="str">
        <f>IFERROR(IF(OR($B$8="INCORRECT SHEET. Do not use this sheet to input data.",'INPUT DATA'!O17=""),"",'INPUT DATA'!O17),"")</f>
        <v/>
      </c>
      <c r="D23" s="358"/>
      <c r="E23" s="359"/>
      <c r="F23" s="359"/>
      <c r="G23" s="359"/>
      <c r="H23" s="359"/>
      <c r="I23" s="359"/>
      <c r="J23" s="359"/>
      <c r="K23" s="359"/>
      <c r="L23" s="359"/>
      <c r="M23" s="360"/>
      <c r="N23" s="361" t="str">
        <f t="shared" si="0"/>
        <v/>
      </c>
      <c r="O23" s="362" t="str">
        <f t="shared" si="1"/>
        <v/>
      </c>
      <c r="P23" s="363" t="str">
        <f t="shared" si="2"/>
        <v/>
      </c>
      <c r="Q23" s="358"/>
      <c r="R23" s="359"/>
      <c r="S23" s="359"/>
      <c r="T23" s="359"/>
      <c r="U23" s="359"/>
      <c r="V23" s="359"/>
      <c r="W23" s="359"/>
      <c r="X23" s="359"/>
      <c r="Y23" s="359"/>
      <c r="Z23" s="360"/>
      <c r="AA23" s="361" t="str">
        <f t="shared" si="3"/>
        <v/>
      </c>
      <c r="AB23" s="362" t="str">
        <f t="shared" si="4"/>
        <v/>
      </c>
      <c r="AC23" s="363" t="str">
        <f t="shared" si="5"/>
        <v/>
      </c>
      <c r="AD23" s="358"/>
      <c r="AE23" s="359"/>
      <c r="AF23" s="360"/>
      <c r="AG23" s="364" t="str">
        <f t="shared" si="6"/>
        <v/>
      </c>
      <c r="AH23" s="362" t="str">
        <f t="shared" si="7"/>
        <v/>
      </c>
      <c r="AI23" s="365" t="str">
        <f t="shared" si="8"/>
        <v/>
      </c>
      <c r="AJ23" s="364" t="str">
        <f t="shared" si="9"/>
        <v/>
      </c>
      <c r="AK23" s="366" t="str">
        <f t="shared" si="10"/>
        <v/>
      </c>
      <c r="AL23" s="367" t="str">
        <f t="shared" si="11"/>
        <v/>
      </c>
      <c r="AM23" s="368" t="str">
        <f>IFERROR(_xlfn.XLOOKUP(AL23,HELPER!$C$7:$C$47,HELPER!$D$7:$D$47,,1),"")</f>
        <v/>
      </c>
    </row>
    <row r="24" spans="2:39">
      <c r="B24" s="356">
        <v>8</v>
      </c>
      <c r="C24" s="357" t="str">
        <f>IFERROR(IF(OR($B$8="INCORRECT SHEET. Do not use this sheet to input data.",'INPUT DATA'!O18=""),"",'INPUT DATA'!O18),"")</f>
        <v/>
      </c>
      <c r="D24" s="358"/>
      <c r="E24" s="359"/>
      <c r="F24" s="359"/>
      <c r="G24" s="359"/>
      <c r="H24" s="359"/>
      <c r="I24" s="359"/>
      <c r="J24" s="359"/>
      <c r="K24" s="359"/>
      <c r="L24" s="359"/>
      <c r="M24" s="360"/>
      <c r="N24" s="361" t="str">
        <f t="shared" si="0"/>
        <v/>
      </c>
      <c r="O24" s="362" t="str">
        <f t="shared" si="1"/>
        <v/>
      </c>
      <c r="P24" s="363" t="str">
        <f t="shared" si="2"/>
        <v/>
      </c>
      <c r="Q24" s="358"/>
      <c r="R24" s="359"/>
      <c r="S24" s="359"/>
      <c r="T24" s="359"/>
      <c r="U24" s="359"/>
      <c r="V24" s="359"/>
      <c r="W24" s="359"/>
      <c r="X24" s="359"/>
      <c r="Y24" s="359"/>
      <c r="Z24" s="360"/>
      <c r="AA24" s="361" t="str">
        <f t="shared" si="3"/>
        <v/>
      </c>
      <c r="AB24" s="362" t="str">
        <f t="shared" si="4"/>
        <v/>
      </c>
      <c r="AC24" s="363" t="str">
        <f t="shared" si="5"/>
        <v/>
      </c>
      <c r="AD24" s="358"/>
      <c r="AE24" s="359"/>
      <c r="AF24" s="360"/>
      <c r="AG24" s="364" t="str">
        <f t="shared" si="6"/>
        <v/>
      </c>
      <c r="AH24" s="362" t="str">
        <f t="shared" si="7"/>
        <v/>
      </c>
      <c r="AI24" s="365" t="str">
        <f t="shared" si="8"/>
        <v/>
      </c>
      <c r="AJ24" s="364" t="str">
        <f t="shared" si="9"/>
        <v/>
      </c>
      <c r="AK24" s="366" t="str">
        <f t="shared" si="10"/>
        <v/>
      </c>
      <c r="AL24" s="367" t="str">
        <f t="shared" si="11"/>
        <v/>
      </c>
      <c r="AM24" s="368" t="str">
        <f>IFERROR(_xlfn.XLOOKUP(AL24,HELPER!$C$7:$C$47,HELPER!$D$7:$D$47,,1),"")</f>
        <v/>
      </c>
    </row>
    <row r="25" ht="14.55" spans="2:39">
      <c r="B25" s="356">
        <v>9</v>
      </c>
      <c r="C25" s="357" t="str">
        <f>IFERROR(IF(OR($B$8="INCORRECT SHEET. Do not use this sheet to input data.",'INPUT DATA'!O19=""),"",'INPUT DATA'!O19),"")</f>
        <v/>
      </c>
      <c r="D25" s="358"/>
      <c r="E25" s="359"/>
      <c r="F25" s="359"/>
      <c r="G25" s="359"/>
      <c r="H25" s="359"/>
      <c r="I25" s="359"/>
      <c r="J25" s="359"/>
      <c r="K25" s="359"/>
      <c r="L25" s="359"/>
      <c r="M25" s="360"/>
      <c r="N25" s="361" t="str">
        <f t="shared" si="0"/>
        <v/>
      </c>
      <c r="O25" s="362" t="str">
        <f t="shared" si="1"/>
        <v/>
      </c>
      <c r="P25" s="363" t="str">
        <f t="shared" si="2"/>
        <v/>
      </c>
      <c r="Q25" s="358"/>
      <c r="R25" s="359"/>
      <c r="S25" s="359"/>
      <c r="T25" s="359"/>
      <c r="U25" s="359"/>
      <c r="V25" s="359"/>
      <c r="W25" s="359"/>
      <c r="X25" s="359"/>
      <c r="Y25" s="359"/>
      <c r="Z25" s="360"/>
      <c r="AA25" s="361" t="str">
        <f t="shared" si="3"/>
        <v/>
      </c>
      <c r="AB25" s="362" t="str">
        <f t="shared" si="4"/>
        <v/>
      </c>
      <c r="AC25" s="363" t="str">
        <f t="shared" si="5"/>
        <v/>
      </c>
      <c r="AD25" s="358"/>
      <c r="AE25" s="359"/>
      <c r="AF25" s="360"/>
      <c r="AG25" s="364" t="str">
        <f t="shared" si="6"/>
        <v/>
      </c>
      <c r="AH25" s="362" t="str">
        <f t="shared" si="7"/>
        <v/>
      </c>
      <c r="AI25" s="365" t="str">
        <f t="shared" si="8"/>
        <v/>
      </c>
      <c r="AJ25" s="364" t="str">
        <f t="shared" si="9"/>
        <v/>
      </c>
      <c r="AK25" s="366" t="str">
        <f t="shared" si="10"/>
        <v/>
      </c>
      <c r="AL25" s="367" t="str">
        <f t="shared" si="11"/>
        <v/>
      </c>
      <c r="AM25" s="368" t="str">
        <f>IFERROR(_xlfn.XLOOKUP(AL25,HELPER!$C$7:$C$47,HELPER!$D$7:$D$47,,1),"")</f>
        <v/>
      </c>
    </row>
    <row r="26" hidden="1" spans="2:39">
      <c r="B26" s="356">
        <v>10</v>
      </c>
      <c r="C26" s="357" t="str">
        <f>IFERROR(IF(OR($B$8="INCORRECT SHEET. Do not use this sheet to input data.",'INPUT DATA'!O20=""),"",'INPUT DATA'!O20),"")</f>
        <v/>
      </c>
      <c r="D26" s="358"/>
      <c r="E26" s="359"/>
      <c r="F26" s="359"/>
      <c r="G26" s="359"/>
      <c r="H26" s="359"/>
      <c r="I26" s="359"/>
      <c r="J26" s="359"/>
      <c r="K26" s="359"/>
      <c r="L26" s="359"/>
      <c r="M26" s="360"/>
      <c r="N26" s="361" t="str">
        <f t="shared" si="0"/>
        <v/>
      </c>
      <c r="O26" s="362" t="str">
        <f t="shared" si="1"/>
        <v/>
      </c>
      <c r="P26" s="363" t="str">
        <f t="shared" si="2"/>
        <v/>
      </c>
      <c r="Q26" s="358"/>
      <c r="R26" s="359"/>
      <c r="S26" s="359"/>
      <c r="T26" s="359"/>
      <c r="U26" s="359"/>
      <c r="V26" s="359"/>
      <c r="W26" s="359"/>
      <c r="X26" s="359"/>
      <c r="Y26" s="359"/>
      <c r="Z26" s="360"/>
      <c r="AA26" s="361" t="str">
        <f t="shared" si="3"/>
        <v/>
      </c>
      <c r="AB26" s="362" t="str">
        <f t="shared" si="4"/>
        <v/>
      </c>
      <c r="AC26" s="363" t="str">
        <f t="shared" si="5"/>
        <v/>
      </c>
      <c r="AD26" s="358"/>
      <c r="AE26" s="359"/>
      <c r="AF26" s="360"/>
      <c r="AG26" s="364" t="str">
        <f t="shared" si="6"/>
        <v/>
      </c>
      <c r="AH26" s="362" t="str">
        <f t="shared" si="7"/>
        <v/>
      </c>
      <c r="AI26" s="365" t="str">
        <f t="shared" si="8"/>
        <v/>
      </c>
      <c r="AJ26" s="364" t="str">
        <f t="shared" si="9"/>
        <v/>
      </c>
      <c r="AK26" s="366" t="str">
        <f t="shared" si="10"/>
        <v/>
      </c>
      <c r="AL26" s="367" t="str">
        <f t="shared" si="11"/>
        <v/>
      </c>
      <c r="AM26" s="368" t="str">
        <f>IFERROR(_xlfn.XLOOKUP(AL26,HELPER!$C$7:$C$47,HELPER!$D$7:$D$47,,1),"")</f>
        <v/>
      </c>
    </row>
    <row r="27" hidden="1" spans="2:39">
      <c r="B27" s="356">
        <v>11</v>
      </c>
      <c r="C27" s="357" t="str">
        <f>IFERROR(IF(OR($B$8="INCORRECT SHEET. Do not use this sheet to input data.",'INPUT DATA'!O21=""),"",'INPUT DATA'!O21),"")</f>
        <v/>
      </c>
      <c r="D27" s="358"/>
      <c r="E27" s="359"/>
      <c r="F27" s="359"/>
      <c r="G27" s="359"/>
      <c r="H27" s="359"/>
      <c r="I27" s="359"/>
      <c r="J27" s="359"/>
      <c r="K27" s="359"/>
      <c r="L27" s="359"/>
      <c r="M27" s="360"/>
      <c r="N27" s="361" t="str">
        <f t="shared" si="0"/>
        <v/>
      </c>
      <c r="O27" s="362" t="str">
        <f t="shared" si="1"/>
        <v/>
      </c>
      <c r="P27" s="363" t="str">
        <f t="shared" si="2"/>
        <v/>
      </c>
      <c r="Q27" s="358"/>
      <c r="R27" s="359"/>
      <c r="S27" s="359"/>
      <c r="T27" s="359"/>
      <c r="U27" s="359"/>
      <c r="V27" s="359"/>
      <c r="W27" s="359"/>
      <c r="X27" s="359"/>
      <c r="Y27" s="359"/>
      <c r="Z27" s="360"/>
      <c r="AA27" s="361" t="str">
        <f t="shared" si="3"/>
        <v/>
      </c>
      <c r="AB27" s="362" t="str">
        <f t="shared" si="4"/>
        <v/>
      </c>
      <c r="AC27" s="363" t="str">
        <f t="shared" si="5"/>
        <v/>
      </c>
      <c r="AD27" s="358"/>
      <c r="AE27" s="359"/>
      <c r="AF27" s="360"/>
      <c r="AG27" s="364" t="str">
        <f t="shared" si="6"/>
        <v/>
      </c>
      <c r="AH27" s="362" t="str">
        <f t="shared" si="7"/>
        <v/>
      </c>
      <c r="AI27" s="365" t="str">
        <f t="shared" si="8"/>
        <v/>
      </c>
      <c r="AJ27" s="364" t="str">
        <f t="shared" si="9"/>
        <v/>
      </c>
      <c r="AK27" s="366" t="str">
        <f t="shared" si="10"/>
        <v/>
      </c>
      <c r="AL27" s="367" t="str">
        <f t="shared" si="11"/>
        <v/>
      </c>
      <c r="AM27" s="368" t="str">
        <f>IFERROR(_xlfn.XLOOKUP(AL27,HELPER!$C$7:$C$47,HELPER!$D$7:$D$47,,1),"")</f>
        <v/>
      </c>
    </row>
    <row r="28" hidden="1" spans="2:39">
      <c r="B28" s="356">
        <v>12</v>
      </c>
      <c r="C28" s="357" t="str">
        <f>IFERROR(IF(OR($B$8="INCORRECT SHEET. Do not use this sheet to input data.",'INPUT DATA'!O22=""),"",'INPUT DATA'!O22),"")</f>
        <v/>
      </c>
      <c r="D28" s="358"/>
      <c r="E28" s="359"/>
      <c r="F28" s="359"/>
      <c r="G28" s="359"/>
      <c r="H28" s="359"/>
      <c r="I28" s="359"/>
      <c r="J28" s="359"/>
      <c r="K28" s="359"/>
      <c r="L28" s="359"/>
      <c r="M28" s="360"/>
      <c r="N28" s="361" t="str">
        <f t="shared" si="0"/>
        <v/>
      </c>
      <c r="O28" s="362" t="str">
        <f t="shared" si="1"/>
        <v/>
      </c>
      <c r="P28" s="363" t="str">
        <f t="shared" si="2"/>
        <v/>
      </c>
      <c r="Q28" s="358"/>
      <c r="R28" s="359"/>
      <c r="S28" s="359"/>
      <c r="T28" s="359"/>
      <c r="U28" s="359"/>
      <c r="V28" s="359"/>
      <c r="W28" s="359"/>
      <c r="X28" s="359"/>
      <c r="Y28" s="359"/>
      <c r="Z28" s="360"/>
      <c r="AA28" s="361" t="str">
        <f t="shared" si="3"/>
        <v/>
      </c>
      <c r="AB28" s="362" t="str">
        <f t="shared" si="4"/>
        <v/>
      </c>
      <c r="AC28" s="363" t="str">
        <f t="shared" si="5"/>
        <v/>
      </c>
      <c r="AD28" s="358"/>
      <c r="AE28" s="359"/>
      <c r="AF28" s="360"/>
      <c r="AG28" s="364" t="str">
        <f t="shared" si="6"/>
        <v/>
      </c>
      <c r="AH28" s="362" t="str">
        <f t="shared" si="7"/>
        <v/>
      </c>
      <c r="AI28" s="365" t="str">
        <f t="shared" si="8"/>
        <v/>
      </c>
      <c r="AJ28" s="364" t="str">
        <f t="shared" si="9"/>
        <v/>
      </c>
      <c r="AK28" s="366" t="str">
        <f t="shared" si="10"/>
        <v/>
      </c>
      <c r="AL28" s="367" t="str">
        <f t="shared" si="11"/>
        <v/>
      </c>
      <c r="AM28" s="368" t="str">
        <f>IFERROR(_xlfn.XLOOKUP(AL28,HELPER!$C$7:$C$47,HELPER!$D$7:$D$47,,1),"")</f>
        <v/>
      </c>
    </row>
    <row r="29" hidden="1" spans="2:39">
      <c r="B29" s="356">
        <v>13</v>
      </c>
      <c r="C29" s="357" t="str">
        <f>IFERROR(IF(OR($B$8="INCORRECT SHEET. Do not use this sheet to input data.",'INPUT DATA'!O23=""),"",'INPUT DATA'!O23),"")</f>
        <v/>
      </c>
      <c r="D29" s="358"/>
      <c r="E29" s="359"/>
      <c r="F29" s="359"/>
      <c r="G29" s="359"/>
      <c r="H29" s="359"/>
      <c r="I29" s="359"/>
      <c r="J29" s="359"/>
      <c r="K29" s="359"/>
      <c r="L29" s="359"/>
      <c r="M29" s="360"/>
      <c r="N29" s="361" t="str">
        <f t="shared" si="0"/>
        <v/>
      </c>
      <c r="O29" s="362" t="str">
        <f t="shared" si="1"/>
        <v/>
      </c>
      <c r="P29" s="363" t="str">
        <f t="shared" si="2"/>
        <v/>
      </c>
      <c r="Q29" s="358"/>
      <c r="R29" s="359"/>
      <c r="S29" s="359"/>
      <c r="T29" s="359"/>
      <c r="U29" s="359"/>
      <c r="V29" s="359"/>
      <c r="W29" s="359"/>
      <c r="X29" s="359"/>
      <c r="Y29" s="359"/>
      <c r="Z29" s="360"/>
      <c r="AA29" s="361" t="str">
        <f t="shared" si="3"/>
        <v/>
      </c>
      <c r="AB29" s="362" t="str">
        <f t="shared" si="4"/>
        <v/>
      </c>
      <c r="AC29" s="363" t="str">
        <f t="shared" si="5"/>
        <v/>
      </c>
      <c r="AD29" s="358"/>
      <c r="AE29" s="359"/>
      <c r="AF29" s="360"/>
      <c r="AG29" s="364" t="str">
        <f t="shared" si="6"/>
        <v/>
      </c>
      <c r="AH29" s="362" t="str">
        <f t="shared" si="7"/>
        <v/>
      </c>
      <c r="AI29" s="365" t="str">
        <f t="shared" si="8"/>
        <v/>
      </c>
      <c r="AJ29" s="364" t="str">
        <f t="shared" si="9"/>
        <v/>
      </c>
      <c r="AK29" s="366" t="str">
        <f t="shared" si="10"/>
        <v/>
      </c>
      <c r="AL29" s="367" t="str">
        <f t="shared" si="11"/>
        <v/>
      </c>
      <c r="AM29" s="368" t="str">
        <f>IFERROR(_xlfn.XLOOKUP(AL29,HELPER!$C$7:$C$47,HELPER!$D$7:$D$47,,1),"")</f>
        <v/>
      </c>
    </row>
    <row r="30" hidden="1" spans="2:39">
      <c r="B30" s="356">
        <v>14</v>
      </c>
      <c r="C30" s="357" t="str">
        <f>IFERROR(IF(OR($B$8="INCORRECT SHEET. Do not use this sheet to input data.",'INPUT DATA'!O24=""),"",'INPUT DATA'!O24),"")</f>
        <v/>
      </c>
      <c r="D30" s="358"/>
      <c r="E30" s="359"/>
      <c r="F30" s="359"/>
      <c r="G30" s="359"/>
      <c r="H30" s="359"/>
      <c r="I30" s="359"/>
      <c r="J30" s="359"/>
      <c r="K30" s="359"/>
      <c r="L30" s="359"/>
      <c r="M30" s="360"/>
      <c r="N30" s="361" t="str">
        <f t="shared" si="0"/>
        <v/>
      </c>
      <c r="O30" s="362" t="str">
        <f t="shared" si="1"/>
        <v/>
      </c>
      <c r="P30" s="363" t="str">
        <f t="shared" si="2"/>
        <v/>
      </c>
      <c r="Q30" s="358"/>
      <c r="R30" s="359"/>
      <c r="S30" s="359"/>
      <c r="T30" s="359"/>
      <c r="U30" s="359"/>
      <c r="V30" s="359"/>
      <c r="W30" s="359"/>
      <c r="X30" s="359"/>
      <c r="Y30" s="359"/>
      <c r="Z30" s="360"/>
      <c r="AA30" s="361" t="str">
        <f t="shared" si="3"/>
        <v/>
      </c>
      <c r="AB30" s="362" t="str">
        <f t="shared" si="4"/>
        <v/>
      </c>
      <c r="AC30" s="363" t="str">
        <f t="shared" si="5"/>
        <v/>
      </c>
      <c r="AD30" s="358"/>
      <c r="AE30" s="359"/>
      <c r="AF30" s="360"/>
      <c r="AG30" s="364" t="str">
        <f t="shared" si="6"/>
        <v/>
      </c>
      <c r="AH30" s="362" t="str">
        <f t="shared" si="7"/>
        <v/>
      </c>
      <c r="AI30" s="365" t="str">
        <f t="shared" si="8"/>
        <v/>
      </c>
      <c r="AJ30" s="364" t="str">
        <f t="shared" si="9"/>
        <v/>
      </c>
      <c r="AK30" s="366" t="str">
        <f t="shared" si="10"/>
        <v/>
      </c>
      <c r="AL30" s="367" t="str">
        <f t="shared" si="11"/>
        <v/>
      </c>
      <c r="AM30" s="368" t="str">
        <f>IFERROR(_xlfn.XLOOKUP(AL30,HELPER!$C$7:$C$47,HELPER!$D$7:$D$47,,1),"")</f>
        <v/>
      </c>
    </row>
    <row r="31" hidden="1" spans="2:39">
      <c r="B31" s="356">
        <v>15</v>
      </c>
      <c r="C31" s="357" t="str">
        <f>IFERROR(IF(OR($B$8="INCORRECT SHEET. Do not use this sheet to input data.",'INPUT DATA'!O25=""),"",'INPUT DATA'!O25),"")</f>
        <v/>
      </c>
      <c r="D31" s="358"/>
      <c r="E31" s="359"/>
      <c r="F31" s="359"/>
      <c r="G31" s="359"/>
      <c r="H31" s="359"/>
      <c r="I31" s="359"/>
      <c r="J31" s="359"/>
      <c r="K31" s="359"/>
      <c r="L31" s="359"/>
      <c r="M31" s="360"/>
      <c r="N31" s="361" t="str">
        <f t="shared" si="0"/>
        <v/>
      </c>
      <c r="O31" s="362" t="str">
        <f t="shared" si="1"/>
        <v/>
      </c>
      <c r="P31" s="363" t="str">
        <f t="shared" si="2"/>
        <v/>
      </c>
      <c r="Q31" s="358"/>
      <c r="R31" s="359"/>
      <c r="S31" s="359"/>
      <c r="T31" s="359"/>
      <c r="U31" s="359"/>
      <c r="V31" s="359"/>
      <c r="W31" s="359"/>
      <c r="X31" s="359"/>
      <c r="Y31" s="359"/>
      <c r="Z31" s="360"/>
      <c r="AA31" s="361" t="str">
        <f t="shared" si="3"/>
        <v/>
      </c>
      <c r="AB31" s="362" t="str">
        <f t="shared" si="4"/>
        <v/>
      </c>
      <c r="AC31" s="363" t="str">
        <f t="shared" si="5"/>
        <v/>
      </c>
      <c r="AD31" s="358"/>
      <c r="AE31" s="359"/>
      <c r="AF31" s="360"/>
      <c r="AG31" s="364" t="str">
        <f t="shared" si="6"/>
        <v/>
      </c>
      <c r="AH31" s="362" t="str">
        <f t="shared" si="7"/>
        <v/>
      </c>
      <c r="AI31" s="365" t="str">
        <f t="shared" si="8"/>
        <v/>
      </c>
      <c r="AJ31" s="364" t="str">
        <f t="shared" si="9"/>
        <v/>
      </c>
      <c r="AK31" s="366" t="str">
        <f t="shared" si="10"/>
        <v/>
      </c>
      <c r="AL31" s="367" t="str">
        <f t="shared" si="11"/>
        <v/>
      </c>
      <c r="AM31" s="368" t="str">
        <f>IFERROR(_xlfn.XLOOKUP(AL31,HELPER!$C$7:$C$47,HELPER!$D$7:$D$47,,1),"")</f>
        <v/>
      </c>
    </row>
    <row r="32" hidden="1" spans="2:39">
      <c r="B32" s="356">
        <v>16</v>
      </c>
      <c r="C32" s="357" t="str">
        <f>IFERROR(IF(OR($B$8="INCORRECT SHEET. Do not use this sheet to input data.",'INPUT DATA'!O26=""),"",'INPUT DATA'!O26),"")</f>
        <v/>
      </c>
      <c r="D32" s="358"/>
      <c r="E32" s="359"/>
      <c r="F32" s="359"/>
      <c r="G32" s="359"/>
      <c r="H32" s="359"/>
      <c r="I32" s="359"/>
      <c r="J32" s="359"/>
      <c r="K32" s="359"/>
      <c r="L32" s="359"/>
      <c r="M32" s="360"/>
      <c r="N32" s="361" t="str">
        <f t="shared" si="0"/>
        <v/>
      </c>
      <c r="O32" s="362" t="str">
        <f t="shared" si="1"/>
        <v/>
      </c>
      <c r="P32" s="363" t="str">
        <f t="shared" si="2"/>
        <v/>
      </c>
      <c r="Q32" s="358"/>
      <c r="R32" s="359"/>
      <c r="S32" s="359"/>
      <c r="T32" s="359"/>
      <c r="U32" s="359"/>
      <c r="V32" s="359"/>
      <c r="W32" s="359"/>
      <c r="X32" s="359"/>
      <c r="Y32" s="359"/>
      <c r="Z32" s="360"/>
      <c r="AA32" s="361" t="str">
        <f t="shared" si="3"/>
        <v/>
      </c>
      <c r="AB32" s="362" t="str">
        <f t="shared" si="4"/>
        <v/>
      </c>
      <c r="AC32" s="363" t="str">
        <f t="shared" si="5"/>
        <v/>
      </c>
      <c r="AD32" s="358"/>
      <c r="AE32" s="359"/>
      <c r="AF32" s="360"/>
      <c r="AG32" s="364" t="str">
        <f t="shared" si="6"/>
        <v/>
      </c>
      <c r="AH32" s="362" t="str">
        <f t="shared" si="7"/>
        <v/>
      </c>
      <c r="AI32" s="365" t="str">
        <f t="shared" si="8"/>
        <v/>
      </c>
      <c r="AJ32" s="364" t="str">
        <f t="shared" si="9"/>
        <v/>
      </c>
      <c r="AK32" s="366" t="str">
        <f t="shared" si="10"/>
        <v/>
      </c>
      <c r="AL32" s="367" t="str">
        <f t="shared" si="11"/>
        <v/>
      </c>
      <c r="AM32" s="368" t="str">
        <f>IFERROR(_xlfn.XLOOKUP(AL32,HELPER!$C$7:$C$47,HELPER!$D$7:$D$47,,1),"")</f>
        <v/>
      </c>
    </row>
    <row r="33" hidden="1" spans="2:39">
      <c r="B33" s="356">
        <v>17</v>
      </c>
      <c r="C33" s="357" t="str">
        <f>IFERROR(IF(OR($B$8="INCORRECT SHEET. Do not use this sheet to input data.",'INPUT DATA'!O27=""),"",'INPUT DATA'!O27),"")</f>
        <v/>
      </c>
      <c r="D33" s="358"/>
      <c r="E33" s="359"/>
      <c r="F33" s="359"/>
      <c r="G33" s="359"/>
      <c r="H33" s="359"/>
      <c r="I33" s="359"/>
      <c r="J33" s="359"/>
      <c r="K33" s="359"/>
      <c r="L33" s="359"/>
      <c r="M33" s="360"/>
      <c r="N33" s="361" t="str">
        <f t="shared" si="0"/>
        <v/>
      </c>
      <c r="O33" s="362" t="str">
        <f t="shared" si="1"/>
        <v/>
      </c>
      <c r="P33" s="363" t="str">
        <f t="shared" si="2"/>
        <v/>
      </c>
      <c r="Q33" s="358"/>
      <c r="R33" s="359"/>
      <c r="S33" s="359"/>
      <c r="T33" s="359"/>
      <c r="U33" s="359"/>
      <c r="V33" s="359"/>
      <c r="W33" s="359"/>
      <c r="X33" s="359"/>
      <c r="Y33" s="359"/>
      <c r="Z33" s="360"/>
      <c r="AA33" s="361" t="str">
        <f t="shared" si="3"/>
        <v/>
      </c>
      <c r="AB33" s="362" t="str">
        <f t="shared" si="4"/>
        <v/>
      </c>
      <c r="AC33" s="363" t="str">
        <f t="shared" si="5"/>
        <v/>
      </c>
      <c r="AD33" s="358"/>
      <c r="AE33" s="359"/>
      <c r="AF33" s="360"/>
      <c r="AG33" s="364" t="str">
        <f t="shared" si="6"/>
        <v/>
      </c>
      <c r="AH33" s="362" t="str">
        <f t="shared" si="7"/>
        <v/>
      </c>
      <c r="AI33" s="365" t="str">
        <f t="shared" si="8"/>
        <v/>
      </c>
      <c r="AJ33" s="364" t="str">
        <f t="shared" si="9"/>
        <v/>
      </c>
      <c r="AK33" s="366" t="str">
        <f t="shared" si="10"/>
        <v/>
      </c>
      <c r="AL33" s="367" t="str">
        <f t="shared" si="11"/>
        <v/>
      </c>
      <c r="AM33" s="368" t="str">
        <f>IFERROR(_xlfn.XLOOKUP(AL33,HELPER!$C$7:$C$47,HELPER!$D$7:$D$47,,1),"")</f>
        <v/>
      </c>
    </row>
    <row r="34" hidden="1" spans="2:39">
      <c r="B34" s="356">
        <v>18</v>
      </c>
      <c r="C34" s="357" t="str">
        <f>IFERROR(IF(OR($B$8="INCORRECT SHEET. Do not use this sheet to input data.",'INPUT DATA'!O28=""),"",'INPUT DATA'!O28),"")</f>
        <v/>
      </c>
      <c r="D34" s="358"/>
      <c r="E34" s="359"/>
      <c r="F34" s="359"/>
      <c r="G34" s="359"/>
      <c r="H34" s="359"/>
      <c r="I34" s="359"/>
      <c r="J34" s="359"/>
      <c r="K34" s="359"/>
      <c r="L34" s="359"/>
      <c r="M34" s="360"/>
      <c r="N34" s="361" t="str">
        <f t="shared" si="0"/>
        <v/>
      </c>
      <c r="O34" s="362" t="str">
        <f t="shared" si="1"/>
        <v/>
      </c>
      <c r="P34" s="363" t="str">
        <f t="shared" si="2"/>
        <v/>
      </c>
      <c r="Q34" s="358"/>
      <c r="R34" s="359"/>
      <c r="S34" s="359"/>
      <c r="T34" s="359"/>
      <c r="U34" s="359"/>
      <c r="V34" s="359"/>
      <c r="W34" s="359"/>
      <c r="X34" s="359"/>
      <c r="Y34" s="359"/>
      <c r="Z34" s="360"/>
      <c r="AA34" s="361" t="str">
        <f t="shared" si="3"/>
        <v/>
      </c>
      <c r="AB34" s="362" t="str">
        <f t="shared" si="4"/>
        <v/>
      </c>
      <c r="AC34" s="363" t="str">
        <f t="shared" si="5"/>
        <v/>
      </c>
      <c r="AD34" s="358"/>
      <c r="AE34" s="359"/>
      <c r="AF34" s="360"/>
      <c r="AG34" s="364" t="str">
        <f t="shared" si="6"/>
        <v/>
      </c>
      <c r="AH34" s="362" t="str">
        <f t="shared" si="7"/>
        <v/>
      </c>
      <c r="AI34" s="365" t="str">
        <f t="shared" si="8"/>
        <v/>
      </c>
      <c r="AJ34" s="364" t="str">
        <f t="shared" si="9"/>
        <v/>
      </c>
      <c r="AK34" s="366" t="str">
        <f t="shared" si="10"/>
        <v/>
      </c>
      <c r="AL34" s="367" t="str">
        <f t="shared" si="11"/>
        <v/>
      </c>
      <c r="AM34" s="368" t="str">
        <f>IFERROR(_xlfn.XLOOKUP(AL34,HELPER!$C$7:$C$47,HELPER!$D$7:$D$47,,1),"")</f>
        <v/>
      </c>
    </row>
    <row r="35" hidden="1" spans="2:39">
      <c r="B35" s="356">
        <v>19</v>
      </c>
      <c r="C35" s="357" t="str">
        <f>IFERROR(IF(OR($B$8="INCORRECT SHEET. Do not use this sheet to input data.",'INPUT DATA'!O29=""),"",'INPUT DATA'!O29),"")</f>
        <v/>
      </c>
      <c r="D35" s="358"/>
      <c r="E35" s="359"/>
      <c r="F35" s="359"/>
      <c r="G35" s="359"/>
      <c r="H35" s="359"/>
      <c r="I35" s="359"/>
      <c r="J35" s="359"/>
      <c r="K35" s="359"/>
      <c r="L35" s="359"/>
      <c r="M35" s="360"/>
      <c r="N35" s="361" t="str">
        <f t="shared" si="0"/>
        <v/>
      </c>
      <c r="O35" s="362" t="str">
        <f t="shared" si="1"/>
        <v/>
      </c>
      <c r="P35" s="363" t="str">
        <f t="shared" si="2"/>
        <v/>
      </c>
      <c r="Q35" s="358"/>
      <c r="R35" s="359"/>
      <c r="S35" s="359"/>
      <c r="T35" s="359"/>
      <c r="U35" s="359"/>
      <c r="V35" s="359"/>
      <c r="W35" s="359"/>
      <c r="X35" s="359"/>
      <c r="Y35" s="359"/>
      <c r="Z35" s="360"/>
      <c r="AA35" s="361" t="str">
        <f t="shared" si="3"/>
        <v/>
      </c>
      <c r="AB35" s="362" t="str">
        <f t="shared" si="4"/>
        <v/>
      </c>
      <c r="AC35" s="363" t="str">
        <f t="shared" si="5"/>
        <v/>
      </c>
      <c r="AD35" s="358"/>
      <c r="AE35" s="359"/>
      <c r="AF35" s="360"/>
      <c r="AG35" s="364" t="str">
        <f t="shared" si="6"/>
        <v/>
      </c>
      <c r="AH35" s="362" t="str">
        <f t="shared" si="7"/>
        <v/>
      </c>
      <c r="AI35" s="365" t="str">
        <f t="shared" si="8"/>
        <v/>
      </c>
      <c r="AJ35" s="364" t="str">
        <f t="shared" si="9"/>
        <v/>
      </c>
      <c r="AK35" s="366" t="str">
        <f t="shared" si="10"/>
        <v/>
      </c>
      <c r="AL35" s="367" t="str">
        <f t="shared" si="11"/>
        <v/>
      </c>
      <c r="AM35" s="368" t="str">
        <f>IFERROR(_xlfn.XLOOKUP(AL35,HELPER!$C$7:$C$47,HELPER!$D$7:$D$47,,1),"")</f>
        <v/>
      </c>
    </row>
    <row r="36" hidden="1" spans="2:39">
      <c r="B36" s="356">
        <v>20</v>
      </c>
      <c r="C36" s="357" t="str">
        <f>IFERROR(IF(OR($B$8="INCORRECT SHEET. Do not use this sheet to input data.",'INPUT DATA'!O30=""),"",'INPUT DATA'!O30),"")</f>
        <v/>
      </c>
      <c r="D36" s="358"/>
      <c r="E36" s="359"/>
      <c r="F36" s="359"/>
      <c r="G36" s="359"/>
      <c r="H36" s="359"/>
      <c r="I36" s="359"/>
      <c r="J36" s="359"/>
      <c r="K36" s="359"/>
      <c r="L36" s="359"/>
      <c r="M36" s="360"/>
      <c r="N36" s="361" t="str">
        <f t="shared" si="0"/>
        <v/>
      </c>
      <c r="O36" s="362" t="str">
        <f t="shared" si="1"/>
        <v/>
      </c>
      <c r="P36" s="363" t="str">
        <f t="shared" si="2"/>
        <v/>
      </c>
      <c r="Q36" s="358"/>
      <c r="R36" s="359"/>
      <c r="S36" s="359"/>
      <c r="T36" s="359"/>
      <c r="U36" s="359"/>
      <c r="V36" s="359"/>
      <c r="W36" s="359"/>
      <c r="X36" s="359"/>
      <c r="Y36" s="359"/>
      <c r="Z36" s="360"/>
      <c r="AA36" s="361" t="str">
        <f t="shared" si="3"/>
        <v/>
      </c>
      <c r="AB36" s="362" t="str">
        <f t="shared" si="4"/>
        <v/>
      </c>
      <c r="AC36" s="363" t="str">
        <f t="shared" si="5"/>
        <v/>
      </c>
      <c r="AD36" s="358"/>
      <c r="AE36" s="359"/>
      <c r="AF36" s="360"/>
      <c r="AG36" s="364" t="str">
        <f t="shared" si="6"/>
        <v/>
      </c>
      <c r="AH36" s="362" t="str">
        <f t="shared" si="7"/>
        <v/>
      </c>
      <c r="AI36" s="365" t="str">
        <f t="shared" si="8"/>
        <v/>
      </c>
      <c r="AJ36" s="364" t="str">
        <f t="shared" si="9"/>
        <v/>
      </c>
      <c r="AK36" s="366" t="str">
        <f t="shared" si="10"/>
        <v/>
      </c>
      <c r="AL36" s="367" t="str">
        <f t="shared" si="11"/>
        <v/>
      </c>
      <c r="AM36" s="368" t="str">
        <f>IFERROR(_xlfn.XLOOKUP(AL36,HELPER!$C$7:$C$47,HELPER!$D$7:$D$47,,1),"")</f>
        <v/>
      </c>
    </row>
    <row r="37" hidden="1" spans="2:39">
      <c r="B37" s="356">
        <v>21</v>
      </c>
      <c r="C37" s="357" t="str">
        <f>IFERROR(IF(OR($B$8="INCORRECT SHEET. Do not use this sheet to input data.",'INPUT DATA'!O31=""),"",'INPUT DATA'!O31),"")</f>
        <v/>
      </c>
      <c r="D37" s="358"/>
      <c r="E37" s="359"/>
      <c r="F37" s="359"/>
      <c r="G37" s="359"/>
      <c r="H37" s="359"/>
      <c r="I37" s="359"/>
      <c r="J37" s="359"/>
      <c r="K37" s="359"/>
      <c r="L37" s="359"/>
      <c r="M37" s="360"/>
      <c r="N37" s="361" t="str">
        <f t="shared" si="0"/>
        <v/>
      </c>
      <c r="O37" s="362" t="str">
        <f t="shared" si="1"/>
        <v/>
      </c>
      <c r="P37" s="363" t="str">
        <f t="shared" si="2"/>
        <v/>
      </c>
      <c r="Q37" s="358"/>
      <c r="R37" s="359"/>
      <c r="S37" s="359"/>
      <c r="T37" s="359"/>
      <c r="U37" s="359"/>
      <c r="V37" s="359"/>
      <c r="W37" s="359"/>
      <c r="X37" s="359"/>
      <c r="Y37" s="359"/>
      <c r="Z37" s="360"/>
      <c r="AA37" s="361" t="str">
        <f t="shared" si="3"/>
        <v/>
      </c>
      <c r="AB37" s="362" t="str">
        <f t="shared" si="4"/>
        <v/>
      </c>
      <c r="AC37" s="363" t="str">
        <f t="shared" si="5"/>
        <v/>
      </c>
      <c r="AD37" s="358"/>
      <c r="AE37" s="359"/>
      <c r="AF37" s="360"/>
      <c r="AG37" s="364" t="str">
        <f t="shared" si="6"/>
        <v/>
      </c>
      <c r="AH37" s="362" t="str">
        <f t="shared" si="7"/>
        <v/>
      </c>
      <c r="AI37" s="365" t="str">
        <f t="shared" si="8"/>
        <v/>
      </c>
      <c r="AJ37" s="364" t="str">
        <f t="shared" si="9"/>
        <v/>
      </c>
      <c r="AK37" s="366" t="str">
        <f t="shared" si="10"/>
        <v/>
      </c>
      <c r="AL37" s="367" t="str">
        <f t="shared" si="11"/>
        <v/>
      </c>
      <c r="AM37" s="368" t="str">
        <f>IFERROR(_xlfn.XLOOKUP(AL37,HELPER!$C$7:$C$47,HELPER!$D$7:$D$47,,1),"")</f>
        <v/>
      </c>
    </row>
    <row r="38" hidden="1" spans="2:39">
      <c r="B38" s="356">
        <v>22</v>
      </c>
      <c r="C38" s="357" t="str">
        <f>IFERROR(IF(OR($B$8="INCORRECT SHEET. Do not use this sheet to input data.",'INPUT DATA'!O32=""),"",'INPUT DATA'!O32),"")</f>
        <v/>
      </c>
      <c r="D38" s="358"/>
      <c r="E38" s="359"/>
      <c r="F38" s="359"/>
      <c r="G38" s="359"/>
      <c r="H38" s="359"/>
      <c r="I38" s="359"/>
      <c r="J38" s="359"/>
      <c r="K38" s="359"/>
      <c r="L38" s="359"/>
      <c r="M38" s="360"/>
      <c r="N38" s="361" t="str">
        <f t="shared" si="0"/>
        <v/>
      </c>
      <c r="O38" s="362" t="str">
        <f t="shared" si="1"/>
        <v/>
      </c>
      <c r="P38" s="363" t="str">
        <f t="shared" si="2"/>
        <v/>
      </c>
      <c r="Q38" s="358"/>
      <c r="R38" s="359"/>
      <c r="S38" s="359"/>
      <c r="T38" s="359"/>
      <c r="U38" s="359"/>
      <c r="V38" s="359"/>
      <c r="W38" s="359"/>
      <c r="X38" s="359"/>
      <c r="Y38" s="359"/>
      <c r="Z38" s="360"/>
      <c r="AA38" s="361" t="str">
        <f t="shared" si="3"/>
        <v/>
      </c>
      <c r="AB38" s="362" t="str">
        <f t="shared" si="4"/>
        <v/>
      </c>
      <c r="AC38" s="363" t="str">
        <f t="shared" si="5"/>
        <v/>
      </c>
      <c r="AD38" s="358"/>
      <c r="AE38" s="359"/>
      <c r="AF38" s="360"/>
      <c r="AG38" s="364" t="str">
        <f t="shared" si="6"/>
        <v/>
      </c>
      <c r="AH38" s="362" t="str">
        <f t="shared" si="7"/>
        <v/>
      </c>
      <c r="AI38" s="365" t="str">
        <f t="shared" si="8"/>
        <v/>
      </c>
      <c r="AJ38" s="364" t="str">
        <f t="shared" si="9"/>
        <v/>
      </c>
      <c r="AK38" s="366" t="str">
        <f t="shared" si="10"/>
        <v/>
      </c>
      <c r="AL38" s="367" t="str">
        <f t="shared" si="11"/>
        <v/>
      </c>
      <c r="AM38" s="368" t="str">
        <f>IFERROR(_xlfn.XLOOKUP(AL38,HELPER!$C$7:$C$47,HELPER!$D$7:$D$47,,1),"")</f>
        <v/>
      </c>
    </row>
    <row r="39" hidden="1" spans="2:39">
      <c r="B39" s="356">
        <v>23</v>
      </c>
      <c r="C39" s="357" t="str">
        <f>IFERROR(IF(OR($B$8="INCORRECT SHEET. Do not use this sheet to input data.",'INPUT DATA'!O33=""),"",'INPUT DATA'!O33),"")</f>
        <v/>
      </c>
      <c r="D39" s="358"/>
      <c r="E39" s="359"/>
      <c r="F39" s="359"/>
      <c r="G39" s="359"/>
      <c r="H39" s="359"/>
      <c r="I39" s="359"/>
      <c r="J39" s="359"/>
      <c r="K39" s="359"/>
      <c r="L39" s="359"/>
      <c r="M39" s="360"/>
      <c r="N39" s="361" t="str">
        <f t="shared" si="0"/>
        <v/>
      </c>
      <c r="O39" s="362" t="str">
        <f t="shared" si="1"/>
        <v/>
      </c>
      <c r="P39" s="363" t="str">
        <f t="shared" si="2"/>
        <v/>
      </c>
      <c r="Q39" s="358"/>
      <c r="R39" s="359"/>
      <c r="S39" s="359"/>
      <c r="T39" s="359"/>
      <c r="U39" s="359"/>
      <c r="V39" s="359"/>
      <c r="W39" s="359"/>
      <c r="X39" s="359"/>
      <c r="Y39" s="359"/>
      <c r="Z39" s="360"/>
      <c r="AA39" s="361" t="str">
        <f t="shared" si="3"/>
        <v/>
      </c>
      <c r="AB39" s="362" t="str">
        <f t="shared" si="4"/>
        <v/>
      </c>
      <c r="AC39" s="363" t="str">
        <f t="shared" si="5"/>
        <v/>
      </c>
      <c r="AD39" s="358"/>
      <c r="AE39" s="359"/>
      <c r="AF39" s="360"/>
      <c r="AG39" s="364" t="str">
        <f t="shared" si="6"/>
        <v/>
      </c>
      <c r="AH39" s="362" t="str">
        <f t="shared" si="7"/>
        <v/>
      </c>
      <c r="AI39" s="365" t="str">
        <f t="shared" si="8"/>
        <v/>
      </c>
      <c r="AJ39" s="364" t="str">
        <f t="shared" si="9"/>
        <v/>
      </c>
      <c r="AK39" s="366" t="str">
        <f t="shared" si="10"/>
        <v/>
      </c>
      <c r="AL39" s="367" t="str">
        <f t="shared" si="11"/>
        <v/>
      </c>
      <c r="AM39" s="368" t="str">
        <f>IFERROR(_xlfn.XLOOKUP(AL39,HELPER!$C$7:$C$47,HELPER!$D$7:$D$47,,1),"")</f>
        <v/>
      </c>
    </row>
    <row r="40" hidden="1" spans="2:39">
      <c r="B40" s="356">
        <v>24</v>
      </c>
      <c r="C40" s="357" t="str">
        <f>IFERROR(IF(OR($B$8="INCORRECT SHEET. Do not use this sheet to input data.",'INPUT DATA'!O34=""),"",'INPUT DATA'!O34),"")</f>
        <v/>
      </c>
      <c r="D40" s="358"/>
      <c r="E40" s="359"/>
      <c r="F40" s="359"/>
      <c r="G40" s="359"/>
      <c r="H40" s="359"/>
      <c r="I40" s="359"/>
      <c r="J40" s="359"/>
      <c r="K40" s="359"/>
      <c r="L40" s="359"/>
      <c r="M40" s="360"/>
      <c r="N40" s="361" t="str">
        <f t="shared" si="0"/>
        <v/>
      </c>
      <c r="O40" s="362" t="str">
        <f t="shared" si="1"/>
        <v/>
      </c>
      <c r="P40" s="363" t="str">
        <f t="shared" si="2"/>
        <v/>
      </c>
      <c r="Q40" s="358"/>
      <c r="R40" s="359"/>
      <c r="S40" s="359"/>
      <c r="T40" s="359"/>
      <c r="U40" s="359"/>
      <c r="V40" s="359"/>
      <c r="W40" s="359"/>
      <c r="X40" s="359"/>
      <c r="Y40" s="359"/>
      <c r="Z40" s="360"/>
      <c r="AA40" s="361" t="str">
        <f t="shared" si="3"/>
        <v/>
      </c>
      <c r="AB40" s="362" t="str">
        <f t="shared" si="4"/>
        <v/>
      </c>
      <c r="AC40" s="363" t="str">
        <f t="shared" si="5"/>
        <v/>
      </c>
      <c r="AD40" s="358"/>
      <c r="AE40" s="359"/>
      <c r="AF40" s="360"/>
      <c r="AG40" s="364" t="str">
        <f t="shared" si="6"/>
        <v/>
      </c>
      <c r="AH40" s="362" t="str">
        <f t="shared" si="7"/>
        <v/>
      </c>
      <c r="AI40" s="365" t="str">
        <f t="shared" si="8"/>
        <v/>
      </c>
      <c r="AJ40" s="364" t="str">
        <f t="shared" si="9"/>
        <v/>
      </c>
      <c r="AK40" s="366" t="str">
        <f t="shared" si="10"/>
        <v/>
      </c>
      <c r="AL40" s="367" t="str">
        <f t="shared" si="11"/>
        <v/>
      </c>
      <c r="AM40" s="368" t="str">
        <f>IFERROR(_xlfn.XLOOKUP(AL40,HELPER!$C$7:$C$47,HELPER!$D$7:$D$47,,1),"")</f>
        <v/>
      </c>
    </row>
    <row r="41" hidden="1" spans="2:39">
      <c r="B41" s="356">
        <v>25</v>
      </c>
      <c r="C41" s="357" t="str">
        <f>IFERROR(IF(OR($B$8="INCORRECT SHEET. Do not use this sheet to input data.",'INPUT DATA'!O35=""),"",'INPUT DATA'!O35),"")</f>
        <v/>
      </c>
      <c r="D41" s="358"/>
      <c r="E41" s="359"/>
      <c r="F41" s="359"/>
      <c r="G41" s="359"/>
      <c r="H41" s="359"/>
      <c r="I41" s="359"/>
      <c r="J41" s="359"/>
      <c r="K41" s="359"/>
      <c r="L41" s="359"/>
      <c r="M41" s="360"/>
      <c r="N41" s="361" t="str">
        <f t="shared" si="0"/>
        <v/>
      </c>
      <c r="O41" s="362" t="str">
        <f t="shared" si="1"/>
        <v/>
      </c>
      <c r="P41" s="363" t="str">
        <f t="shared" si="2"/>
        <v/>
      </c>
      <c r="Q41" s="358"/>
      <c r="R41" s="359"/>
      <c r="S41" s="359"/>
      <c r="T41" s="359"/>
      <c r="U41" s="359"/>
      <c r="V41" s="359"/>
      <c r="W41" s="359"/>
      <c r="X41" s="359"/>
      <c r="Y41" s="359"/>
      <c r="Z41" s="360"/>
      <c r="AA41" s="361" t="str">
        <f t="shared" si="3"/>
        <v/>
      </c>
      <c r="AB41" s="362" t="str">
        <f t="shared" si="4"/>
        <v/>
      </c>
      <c r="AC41" s="363" t="str">
        <f t="shared" si="5"/>
        <v/>
      </c>
      <c r="AD41" s="358"/>
      <c r="AE41" s="359"/>
      <c r="AF41" s="360"/>
      <c r="AG41" s="364" t="str">
        <f t="shared" si="6"/>
        <v/>
      </c>
      <c r="AH41" s="362" t="str">
        <f t="shared" si="7"/>
        <v/>
      </c>
      <c r="AI41" s="365" t="str">
        <f t="shared" si="8"/>
        <v/>
      </c>
      <c r="AJ41" s="364" t="str">
        <f t="shared" si="9"/>
        <v/>
      </c>
      <c r="AK41" s="366" t="str">
        <f t="shared" si="10"/>
        <v/>
      </c>
      <c r="AL41" s="367" t="str">
        <f t="shared" si="11"/>
        <v/>
      </c>
      <c r="AM41" s="368" t="str">
        <f>IFERROR(_xlfn.XLOOKUP(AL41,HELPER!$C$7:$C$47,HELPER!$D$7:$D$47,,1),"")</f>
        <v/>
      </c>
    </row>
    <row r="42" hidden="1" spans="2:39">
      <c r="B42" s="356">
        <v>26</v>
      </c>
      <c r="C42" s="357" t="str">
        <f>IFERROR(IF(OR($B$8="INCORRECT SHEET. Do not use this sheet to input data.",'INPUT DATA'!O36=""),"",'INPUT DATA'!O36),"")</f>
        <v/>
      </c>
      <c r="D42" s="358"/>
      <c r="E42" s="359"/>
      <c r="F42" s="359"/>
      <c r="G42" s="359"/>
      <c r="H42" s="359"/>
      <c r="I42" s="359"/>
      <c r="J42" s="359"/>
      <c r="K42" s="359"/>
      <c r="L42" s="359"/>
      <c r="M42" s="360"/>
      <c r="N42" s="361" t="str">
        <f t="shared" si="0"/>
        <v/>
      </c>
      <c r="O42" s="362" t="str">
        <f t="shared" si="1"/>
        <v/>
      </c>
      <c r="P42" s="363" t="str">
        <f t="shared" si="2"/>
        <v/>
      </c>
      <c r="Q42" s="358"/>
      <c r="R42" s="359"/>
      <c r="S42" s="359"/>
      <c r="T42" s="359"/>
      <c r="U42" s="359"/>
      <c r="V42" s="359"/>
      <c r="W42" s="359"/>
      <c r="X42" s="359"/>
      <c r="Y42" s="359"/>
      <c r="Z42" s="360"/>
      <c r="AA42" s="361" t="str">
        <f t="shared" si="3"/>
        <v/>
      </c>
      <c r="AB42" s="362" t="str">
        <f t="shared" si="4"/>
        <v/>
      </c>
      <c r="AC42" s="363" t="str">
        <f t="shared" si="5"/>
        <v/>
      </c>
      <c r="AD42" s="358"/>
      <c r="AE42" s="359"/>
      <c r="AF42" s="360"/>
      <c r="AG42" s="364" t="str">
        <f t="shared" si="6"/>
        <v/>
      </c>
      <c r="AH42" s="362" t="str">
        <f t="shared" si="7"/>
        <v/>
      </c>
      <c r="AI42" s="365" t="str">
        <f t="shared" si="8"/>
        <v/>
      </c>
      <c r="AJ42" s="364" t="str">
        <f t="shared" si="9"/>
        <v/>
      </c>
      <c r="AK42" s="366" t="str">
        <f t="shared" si="10"/>
        <v/>
      </c>
      <c r="AL42" s="367" t="str">
        <f t="shared" si="11"/>
        <v/>
      </c>
      <c r="AM42" s="368" t="str">
        <f>IFERROR(_xlfn.XLOOKUP(AL42,HELPER!$C$7:$C$47,HELPER!$D$7:$D$47,,1),"")</f>
        <v/>
      </c>
    </row>
    <row r="43" hidden="1" spans="2:39">
      <c r="B43" s="356">
        <v>27</v>
      </c>
      <c r="C43" s="357" t="str">
        <f>IFERROR(IF(OR($B$8="INCORRECT SHEET. Do not use this sheet to input data.",'INPUT DATA'!O37=""),"",'INPUT DATA'!O37),"")</f>
        <v/>
      </c>
      <c r="D43" s="358"/>
      <c r="E43" s="359"/>
      <c r="F43" s="359"/>
      <c r="G43" s="359"/>
      <c r="H43" s="359"/>
      <c r="I43" s="359"/>
      <c r="J43" s="359"/>
      <c r="K43" s="359"/>
      <c r="L43" s="359"/>
      <c r="M43" s="360"/>
      <c r="N43" s="361" t="str">
        <f t="shared" si="0"/>
        <v/>
      </c>
      <c r="O43" s="362" t="str">
        <f t="shared" si="1"/>
        <v/>
      </c>
      <c r="P43" s="363" t="str">
        <f t="shared" si="2"/>
        <v/>
      </c>
      <c r="Q43" s="358"/>
      <c r="R43" s="359"/>
      <c r="S43" s="359"/>
      <c r="T43" s="359"/>
      <c r="U43" s="359"/>
      <c r="V43" s="359"/>
      <c r="W43" s="359"/>
      <c r="X43" s="359"/>
      <c r="Y43" s="359"/>
      <c r="Z43" s="360"/>
      <c r="AA43" s="361" t="str">
        <f t="shared" si="3"/>
        <v/>
      </c>
      <c r="AB43" s="362" t="str">
        <f t="shared" si="4"/>
        <v/>
      </c>
      <c r="AC43" s="363" t="str">
        <f t="shared" si="5"/>
        <v/>
      </c>
      <c r="AD43" s="358"/>
      <c r="AE43" s="359"/>
      <c r="AF43" s="360"/>
      <c r="AG43" s="364" t="str">
        <f t="shared" si="6"/>
        <v/>
      </c>
      <c r="AH43" s="362" t="str">
        <f t="shared" si="7"/>
        <v/>
      </c>
      <c r="AI43" s="365" t="str">
        <f t="shared" si="8"/>
        <v/>
      </c>
      <c r="AJ43" s="364" t="str">
        <f t="shared" si="9"/>
        <v/>
      </c>
      <c r="AK43" s="366" t="str">
        <f t="shared" si="10"/>
        <v/>
      </c>
      <c r="AL43" s="367" t="str">
        <f t="shared" si="11"/>
        <v/>
      </c>
      <c r="AM43" s="368" t="str">
        <f>IFERROR(_xlfn.XLOOKUP(AL43,HELPER!$C$7:$C$47,HELPER!$D$7:$D$47,,1),"")</f>
        <v/>
      </c>
    </row>
    <row r="44" hidden="1" spans="2:39">
      <c r="B44" s="356">
        <v>28</v>
      </c>
      <c r="C44" s="357" t="str">
        <f>IFERROR(IF(OR($B$8="INCORRECT SHEET. Do not use this sheet to input data.",'INPUT DATA'!O38=""),"",'INPUT DATA'!O38),"")</f>
        <v/>
      </c>
      <c r="D44" s="358"/>
      <c r="E44" s="359"/>
      <c r="F44" s="359"/>
      <c r="G44" s="359"/>
      <c r="H44" s="359"/>
      <c r="I44" s="359"/>
      <c r="J44" s="359"/>
      <c r="K44" s="359"/>
      <c r="L44" s="359"/>
      <c r="M44" s="360"/>
      <c r="N44" s="361" t="str">
        <f t="shared" si="0"/>
        <v/>
      </c>
      <c r="O44" s="362" t="str">
        <f t="shared" si="1"/>
        <v/>
      </c>
      <c r="P44" s="363" t="str">
        <f t="shared" si="2"/>
        <v/>
      </c>
      <c r="Q44" s="358"/>
      <c r="R44" s="359"/>
      <c r="S44" s="359"/>
      <c r="T44" s="359"/>
      <c r="U44" s="359"/>
      <c r="V44" s="359"/>
      <c r="W44" s="359"/>
      <c r="X44" s="359"/>
      <c r="Y44" s="359"/>
      <c r="Z44" s="360"/>
      <c r="AA44" s="361" t="str">
        <f t="shared" si="3"/>
        <v/>
      </c>
      <c r="AB44" s="362" t="str">
        <f t="shared" si="4"/>
        <v/>
      </c>
      <c r="AC44" s="363" t="str">
        <f t="shared" si="5"/>
        <v/>
      </c>
      <c r="AD44" s="358"/>
      <c r="AE44" s="359"/>
      <c r="AF44" s="360"/>
      <c r="AG44" s="364" t="str">
        <f t="shared" si="6"/>
        <v/>
      </c>
      <c r="AH44" s="362" t="str">
        <f t="shared" si="7"/>
        <v/>
      </c>
      <c r="AI44" s="365" t="str">
        <f t="shared" si="8"/>
        <v/>
      </c>
      <c r="AJ44" s="364" t="str">
        <f t="shared" si="9"/>
        <v/>
      </c>
      <c r="AK44" s="366" t="str">
        <f t="shared" si="10"/>
        <v/>
      </c>
      <c r="AL44" s="367" t="str">
        <f t="shared" si="11"/>
        <v/>
      </c>
      <c r="AM44" s="368" t="str">
        <f>IFERROR(_xlfn.XLOOKUP(AL44,HELPER!$C$7:$C$47,HELPER!$D$7:$D$47,,1),"")</f>
        <v/>
      </c>
    </row>
    <row r="45" hidden="1" spans="2:39">
      <c r="B45" s="356">
        <v>29</v>
      </c>
      <c r="C45" s="357" t="str">
        <f>IFERROR(IF(OR($B$8="INCORRECT SHEET. Do not use this sheet to input data.",'INPUT DATA'!O39=""),"",'INPUT DATA'!O39),"")</f>
        <v/>
      </c>
      <c r="D45" s="358"/>
      <c r="E45" s="359"/>
      <c r="F45" s="359"/>
      <c r="G45" s="359"/>
      <c r="H45" s="359"/>
      <c r="I45" s="359"/>
      <c r="J45" s="359"/>
      <c r="K45" s="359"/>
      <c r="L45" s="359"/>
      <c r="M45" s="360"/>
      <c r="N45" s="361" t="str">
        <f t="shared" si="0"/>
        <v/>
      </c>
      <c r="O45" s="362" t="str">
        <f t="shared" si="1"/>
        <v/>
      </c>
      <c r="P45" s="363" t="str">
        <f t="shared" si="2"/>
        <v/>
      </c>
      <c r="Q45" s="358"/>
      <c r="R45" s="359"/>
      <c r="S45" s="359"/>
      <c r="T45" s="359"/>
      <c r="U45" s="359"/>
      <c r="V45" s="359"/>
      <c r="W45" s="359"/>
      <c r="X45" s="359"/>
      <c r="Y45" s="359"/>
      <c r="Z45" s="360"/>
      <c r="AA45" s="361" t="str">
        <f t="shared" si="3"/>
        <v/>
      </c>
      <c r="AB45" s="362" t="str">
        <f t="shared" si="4"/>
        <v/>
      </c>
      <c r="AC45" s="363" t="str">
        <f t="shared" si="5"/>
        <v/>
      </c>
      <c r="AD45" s="358"/>
      <c r="AE45" s="359"/>
      <c r="AF45" s="360"/>
      <c r="AG45" s="364" t="str">
        <f t="shared" si="6"/>
        <v/>
      </c>
      <c r="AH45" s="362" t="str">
        <f t="shared" si="7"/>
        <v/>
      </c>
      <c r="AI45" s="365" t="str">
        <f t="shared" si="8"/>
        <v/>
      </c>
      <c r="AJ45" s="364" t="str">
        <f t="shared" si="9"/>
        <v/>
      </c>
      <c r="AK45" s="366" t="str">
        <f t="shared" si="10"/>
        <v/>
      </c>
      <c r="AL45" s="367" t="str">
        <f t="shared" si="11"/>
        <v/>
      </c>
      <c r="AM45" s="368" t="str">
        <f>IFERROR(_xlfn.XLOOKUP(AL45,HELPER!$C$7:$C$47,HELPER!$D$7:$D$47,,1),"")</f>
        <v/>
      </c>
    </row>
    <row r="46" hidden="1" spans="2:39">
      <c r="B46" s="356">
        <v>30</v>
      </c>
      <c r="C46" s="357" t="str">
        <f>IFERROR(IF(OR($B$8="INCORRECT SHEET. Do not use this sheet to input data.",'INPUT DATA'!O40=""),"",'INPUT DATA'!O40),"")</f>
        <v/>
      </c>
      <c r="D46" s="358"/>
      <c r="E46" s="359"/>
      <c r="F46" s="359"/>
      <c r="G46" s="359"/>
      <c r="H46" s="359"/>
      <c r="I46" s="359"/>
      <c r="J46" s="359"/>
      <c r="K46" s="359"/>
      <c r="L46" s="359"/>
      <c r="M46" s="360"/>
      <c r="N46" s="361" t="str">
        <f t="shared" si="0"/>
        <v/>
      </c>
      <c r="O46" s="362" t="str">
        <f t="shared" si="1"/>
        <v/>
      </c>
      <c r="P46" s="363" t="str">
        <f t="shared" si="2"/>
        <v/>
      </c>
      <c r="Q46" s="358"/>
      <c r="R46" s="359"/>
      <c r="S46" s="359"/>
      <c r="T46" s="359"/>
      <c r="U46" s="359"/>
      <c r="V46" s="359"/>
      <c r="W46" s="359"/>
      <c r="X46" s="359"/>
      <c r="Y46" s="359"/>
      <c r="Z46" s="360"/>
      <c r="AA46" s="361" t="str">
        <f t="shared" si="3"/>
        <v/>
      </c>
      <c r="AB46" s="362" t="str">
        <f t="shared" si="4"/>
        <v/>
      </c>
      <c r="AC46" s="363" t="str">
        <f t="shared" si="5"/>
        <v/>
      </c>
      <c r="AD46" s="358"/>
      <c r="AE46" s="359"/>
      <c r="AF46" s="360"/>
      <c r="AG46" s="364" t="str">
        <f t="shared" si="6"/>
        <v/>
      </c>
      <c r="AH46" s="362" t="str">
        <f t="shared" si="7"/>
        <v/>
      </c>
      <c r="AI46" s="365" t="str">
        <f t="shared" si="8"/>
        <v/>
      </c>
      <c r="AJ46" s="364" t="str">
        <f t="shared" si="9"/>
        <v/>
      </c>
      <c r="AK46" s="366" t="str">
        <f t="shared" si="10"/>
        <v/>
      </c>
      <c r="AL46" s="367" t="str">
        <f t="shared" si="11"/>
        <v/>
      </c>
      <c r="AM46" s="368" t="str">
        <f>IFERROR(_xlfn.XLOOKUP(AL46,HELPER!$C$7:$C$47,HELPER!$D$7:$D$47,,1),"")</f>
        <v/>
      </c>
    </row>
    <row r="47" hidden="1" spans="2:39">
      <c r="B47" s="356">
        <v>31</v>
      </c>
      <c r="C47" s="357" t="str">
        <f>IFERROR(IF(OR($B$8="INCORRECT SHEET. Do not use this sheet to input data.",'INPUT DATA'!O41=""),"",'INPUT DATA'!O41),"")</f>
        <v/>
      </c>
      <c r="D47" s="358"/>
      <c r="E47" s="359"/>
      <c r="F47" s="359"/>
      <c r="G47" s="359"/>
      <c r="H47" s="359"/>
      <c r="I47" s="359"/>
      <c r="J47" s="359"/>
      <c r="K47" s="359"/>
      <c r="L47" s="359"/>
      <c r="M47" s="360"/>
      <c r="N47" s="361" t="str">
        <f t="shared" si="0"/>
        <v/>
      </c>
      <c r="O47" s="362" t="str">
        <f t="shared" si="1"/>
        <v/>
      </c>
      <c r="P47" s="363" t="str">
        <f t="shared" si="2"/>
        <v/>
      </c>
      <c r="Q47" s="358"/>
      <c r="R47" s="359"/>
      <c r="S47" s="359"/>
      <c r="T47" s="359"/>
      <c r="U47" s="359"/>
      <c r="V47" s="359"/>
      <c r="W47" s="359"/>
      <c r="X47" s="359"/>
      <c r="Y47" s="359"/>
      <c r="Z47" s="360"/>
      <c r="AA47" s="361" t="str">
        <f t="shared" si="3"/>
        <v/>
      </c>
      <c r="AB47" s="362" t="str">
        <f t="shared" si="4"/>
        <v/>
      </c>
      <c r="AC47" s="363" t="str">
        <f t="shared" si="5"/>
        <v/>
      </c>
      <c r="AD47" s="358"/>
      <c r="AE47" s="359"/>
      <c r="AF47" s="360"/>
      <c r="AG47" s="364" t="str">
        <f t="shared" si="6"/>
        <v/>
      </c>
      <c r="AH47" s="362" t="str">
        <f t="shared" si="7"/>
        <v/>
      </c>
      <c r="AI47" s="365" t="str">
        <f t="shared" si="8"/>
        <v/>
      </c>
      <c r="AJ47" s="364" t="str">
        <f t="shared" si="9"/>
        <v/>
      </c>
      <c r="AK47" s="366" t="str">
        <f t="shared" si="10"/>
        <v/>
      </c>
      <c r="AL47" s="367" t="str">
        <f t="shared" si="11"/>
        <v/>
      </c>
      <c r="AM47" s="368" t="str">
        <f>IFERROR(_xlfn.XLOOKUP(AL47,HELPER!$C$7:$C$47,HELPER!$D$7:$D$47,,1),"")</f>
        <v/>
      </c>
    </row>
    <row r="48" hidden="1" spans="2:39">
      <c r="B48" s="356">
        <v>32</v>
      </c>
      <c r="C48" s="357" t="str">
        <f>IFERROR(IF(OR($B$8="INCORRECT SHEET. Do not use this sheet to input data.",'INPUT DATA'!O42=""),"",'INPUT DATA'!O42),"")</f>
        <v/>
      </c>
      <c r="D48" s="358"/>
      <c r="E48" s="359"/>
      <c r="F48" s="359"/>
      <c r="G48" s="359"/>
      <c r="H48" s="359"/>
      <c r="I48" s="359"/>
      <c r="J48" s="359"/>
      <c r="K48" s="359"/>
      <c r="L48" s="359"/>
      <c r="M48" s="360"/>
      <c r="N48" s="361" t="str">
        <f t="shared" si="0"/>
        <v/>
      </c>
      <c r="O48" s="362" t="str">
        <f t="shared" si="1"/>
        <v/>
      </c>
      <c r="P48" s="363" t="str">
        <f t="shared" si="2"/>
        <v/>
      </c>
      <c r="Q48" s="358"/>
      <c r="R48" s="359"/>
      <c r="S48" s="359"/>
      <c r="T48" s="359"/>
      <c r="U48" s="359"/>
      <c r="V48" s="359"/>
      <c r="W48" s="359"/>
      <c r="X48" s="359"/>
      <c r="Y48" s="359"/>
      <c r="Z48" s="360"/>
      <c r="AA48" s="361" t="str">
        <f t="shared" si="3"/>
        <v/>
      </c>
      <c r="AB48" s="362" t="str">
        <f t="shared" si="4"/>
        <v/>
      </c>
      <c r="AC48" s="363" t="str">
        <f t="shared" si="5"/>
        <v/>
      </c>
      <c r="AD48" s="358"/>
      <c r="AE48" s="359"/>
      <c r="AF48" s="360"/>
      <c r="AG48" s="364" t="str">
        <f t="shared" si="6"/>
        <v/>
      </c>
      <c r="AH48" s="362" t="str">
        <f t="shared" si="7"/>
        <v/>
      </c>
      <c r="AI48" s="365" t="str">
        <f t="shared" si="8"/>
        <v/>
      </c>
      <c r="AJ48" s="364" t="str">
        <f t="shared" si="9"/>
        <v/>
      </c>
      <c r="AK48" s="366" t="str">
        <f t="shared" si="10"/>
        <v/>
      </c>
      <c r="AL48" s="367" t="str">
        <f t="shared" si="11"/>
        <v/>
      </c>
      <c r="AM48" s="368" t="str">
        <f>IFERROR(_xlfn.XLOOKUP(AL48,HELPER!$C$7:$C$47,HELPER!$D$7:$D$47,,1),"")</f>
        <v/>
      </c>
    </row>
    <row r="49" hidden="1" spans="2:39">
      <c r="B49" s="356">
        <v>33</v>
      </c>
      <c r="C49" s="357" t="str">
        <f>IFERROR(IF(OR($B$8="INCORRECT SHEET. Do not use this sheet to input data.",'INPUT DATA'!O43=""),"",'INPUT DATA'!O43),"")</f>
        <v/>
      </c>
      <c r="D49" s="358"/>
      <c r="E49" s="359"/>
      <c r="F49" s="359"/>
      <c r="G49" s="359"/>
      <c r="H49" s="359"/>
      <c r="I49" s="359"/>
      <c r="J49" s="359"/>
      <c r="K49" s="359"/>
      <c r="L49" s="359"/>
      <c r="M49" s="360"/>
      <c r="N49" s="361" t="str">
        <f t="shared" si="0"/>
        <v/>
      </c>
      <c r="O49" s="362" t="str">
        <f t="shared" si="1"/>
        <v/>
      </c>
      <c r="P49" s="363" t="str">
        <f t="shared" si="2"/>
        <v/>
      </c>
      <c r="Q49" s="358"/>
      <c r="R49" s="359"/>
      <c r="S49" s="359"/>
      <c r="T49" s="359"/>
      <c r="U49" s="359"/>
      <c r="V49" s="359"/>
      <c r="W49" s="359"/>
      <c r="X49" s="359"/>
      <c r="Y49" s="359"/>
      <c r="Z49" s="360"/>
      <c r="AA49" s="361" t="str">
        <f t="shared" si="3"/>
        <v/>
      </c>
      <c r="AB49" s="362" t="str">
        <f t="shared" si="4"/>
        <v/>
      </c>
      <c r="AC49" s="363" t="str">
        <f t="shared" si="5"/>
        <v/>
      </c>
      <c r="AD49" s="358"/>
      <c r="AE49" s="359"/>
      <c r="AF49" s="360"/>
      <c r="AG49" s="364" t="str">
        <f t="shared" si="6"/>
        <v/>
      </c>
      <c r="AH49" s="362" t="str">
        <f t="shared" si="7"/>
        <v/>
      </c>
      <c r="AI49" s="365" t="str">
        <f t="shared" si="8"/>
        <v/>
      </c>
      <c r="AJ49" s="364" t="str">
        <f t="shared" si="9"/>
        <v/>
      </c>
      <c r="AK49" s="366" t="str">
        <f t="shared" si="10"/>
        <v/>
      </c>
      <c r="AL49" s="367" t="str">
        <f t="shared" si="11"/>
        <v/>
      </c>
      <c r="AM49" s="368" t="str">
        <f>IFERROR(_xlfn.XLOOKUP(AL49,HELPER!$C$7:$C$47,HELPER!$D$7:$D$47,,1),"")</f>
        <v/>
      </c>
    </row>
    <row r="50" hidden="1" spans="2:39">
      <c r="B50" s="356">
        <v>34</v>
      </c>
      <c r="C50" s="357" t="str">
        <f>IFERROR(IF(OR($B$8="INCORRECT SHEET. Do not use this sheet to input data.",'INPUT DATA'!O44=""),"",'INPUT DATA'!O44),"")</f>
        <v/>
      </c>
      <c r="D50" s="358"/>
      <c r="E50" s="359"/>
      <c r="F50" s="359"/>
      <c r="G50" s="359"/>
      <c r="H50" s="359"/>
      <c r="I50" s="359"/>
      <c r="J50" s="359"/>
      <c r="K50" s="359"/>
      <c r="L50" s="359"/>
      <c r="M50" s="360"/>
      <c r="N50" s="361" t="str">
        <f t="shared" si="0"/>
        <v/>
      </c>
      <c r="O50" s="362" t="str">
        <f t="shared" si="1"/>
        <v/>
      </c>
      <c r="P50" s="363" t="str">
        <f t="shared" si="2"/>
        <v/>
      </c>
      <c r="Q50" s="358"/>
      <c r="R50" s="359"/>
      <c r="S50" s="359"/>
      <c r="T50" s="359"/>
      <c r="U50" s="359"/>
      <c r="V50" s="359"/>
      <c r="W50" s="359"/>
      <c r="X50" s="359"/>
      <c r="Y50" s="359"/>
      <c r="Z50" s="360"/>
      <c r="AA50" s="361" t="str">
        <f t="shared" si="3"/>
        <v/>
      </c>
      <c r="AB50" s="362" t="str">
        <f t="shared" si="4"/>
        <v/>
      </c>
      <c r="AC50" s="363" t="str">
        <f t="shared" si="5"/>
        <v/>
      </c>
      <c r="AD50" s="358"/>
      <c r="AE50" s="359"/>
      <c r="AF50" s="360"/>
      <c r="AG50" s="364" t="str">
        <f t="shared" si="6"/>
        <v/>
      </c>
      <c r="AH50" s="362" t="str">
        <f t="shared" si="7"/>
        <v/>
      </c>
      <c r="AI50" s="365" t="str">
        <f t="shared" si="8"/>
        <v/>
      </c>
      <c r="AJ50" s="364" t="str">
        <f t="shared" si="9"/>
        <v/>
      </c>
      <c r="AK50" s="366" t="str">
        <f t="shared" si="10"/>
        <v/>
      </c>
      <c r="AL50" s="367" t="str">
        <f t="shared" si="11"/>
        <v/>
      </c>
      <c r="AM50" s="368" t="str">
        <f>IFERROR(_xlfn.XLOOKUP(AL50,HELPER!$C$7:$C$47,HELPER!$D$7:$D$47,,1),"")</f>
        <v/>
      </c>
    </row>
    <row r="51" hidden="1" spans="2:39">
      <c r="B51" s="356">
        <v>35</v>
      </c>
      <c r="C51" s="357" t="str">
        <f>IFERROR(IF(OR($B$8="INCORRECT SHEET. Do not use this sheet to input data.",'INPUT DATA'!O45=""),"",'INPUT DATA'!O45),"")</f>
        <v/>
      </c>
      <c r="D51" s="358"/>
      <c r="E51" s="359"/>
      <c r="F51" s="359"/>
      <c r="G51" s="359"/>
      <c r="H51" s="359"/>
      <c r="I51" s="359"/>
      <c r="J51" s="359"/>
      <c r="K51" s="359"/>
      <c r="L51" s="359"/>
      <c r="M51" s="360"/>
      <c r="N51" s="361" t="str">
        <f t="shared" si="0"/>
        <v/>
      </c>
      <c r="O51" s="362" t="str">
        <f t="shared" si="1"/>
        <v/>
      </c>
      <c r="P51" s="363" t="str">
        <f t="shared" si="2"/>
        <v/>
      </c>
      <c r="Q51" s="358"/>
      <c r="R51" s="359"/>
      <c r="S51" s="359"/>
      <c r="T51" s="359"/>
      <c r="U51" s="359"/>
      <c r="V51" s="359"/>
      <c r="W51" s="359"/>
      <c r="X51" s="359"/>
      <c r="Y51" s="359"/>
      <c r="Z51" s="360"/>
      <c r="AA51" s="361" t="str">
        <f t="shared" si="3"/>
        <v/>
      </c>
      <c r="AB51" s="362" t="str">
        <f t="shared" si="4"/>
        <v/>
      </c>
      <c r="AC51" s="363" t="str">
        <f t="shared" si="5"/>
        <v/>
      </c>
      <c r="AD51" s="358"/>
      <c r="AE51" s="359"/>
      <c r="AF51" s="360"/>
      <c r="AG51" s="364" t="str">
        <f t="shared" si="6"/>
        <v/>
      </c>
      <c r="AH51" s="362" t="str">
        <f t="shared" si="7"/>
        <v/>
      </c>
      <c r="AI51" s="365" t="str">
        <f t="shared" si="8"/>
        <v/>
      </c>
      <c r="AJ51" s="364" t="str">
        <f t="shared" si="9"/>
        <v/>
      </c>
      <c r="AK51" s="366" t="str">
        <f t="shared" si="10"/>
        <v/>
      </c>
      <c r="AL51" s="367" t="str">
        <f t="shared" si="11"/>
        <v/>
      </c>
      <c r="AM51" s="368" t="str">
        <f>IFERROR(_xlfn.XLOOKUP(AL51,HELPER!$C$7:$C$47,HELPER!$D$7:$D$47,,1),"")</f>
        <v/>
      </c>
    </row>
    <row r="52" hidden="1" spans="2:39">
      <c r="B52" s="356">
        <v>36</v>
      </c>
      <c r="C52" s="357" t="str">
        <f>IFERROR(IF(OR($B$8="INCORRECT SHEET. Do not use this sheet to input data.",'INPUT DATA'!O46=""),"",'INPUT DATA'!O46),"")</f>
        <v/>
      </c>
      <c r="D52" s="358"/>
      <c r="E52" s="359"/>
      <c r="F52" s="359"/>
      <c r="G52" s="359"/>
      <c r="H52" s="359"/>
      <c r="I52" s="359"/>
      <c r="J52" s="359"/>
      <c r="K52" s="359"/>
      <c r="L52" s="359"/>
      <c r="M52" s="360"/>
      <c r="N52" s="361" t="str">
        <f t="shared" si="0"/>
        <v/>
      </c>
      <c r="O52" s="362" t="str">
        <f t="shared" si="1"/>
        <v/>
      </c>
      <c r="P52" s="363" t="str">
        <f t="shared" si="2"/>
        <v/>
      </c>
      <c r="Q52" s="358"/>
      <c r="R52" s="359"/>
      <c r="S52" s="359"/>
      <c r="T52" s="359"/>
      <c r="U52" s="359"/>
      <c r="V52" s="359"/>
      <c r="W52" s="359"/>
      <c r="X52" s="359"/>
      <c r="Y52" s="359"/>
      <c r="Z52" s="360"/>
      <c r="AA52" s="361" t="str">
        <f t="shared" si="3"/>
        <v/>
      </c>
      <c r="AB52" s="362" t="str">
        <f t="shared" si="4"/>
        <v/>
      </c>
      <c r="AC52" s="363" t="str">
        <f t="shared" si="5"/>
        <v/>
      </c>
      <c r="AD52" s="358"/>
      <c r="AE52" s="359"/>
      <c r="AF52" s="360"/>
      <c r="AG52" s="364" t="str">
        <f t="shared" si="6"/>
        <v/>
      </c>
      <c r="AH52" s="362" t="str">
        <f t="shared" si="7"/>
        <v/>
      </c>
      <c r="AI52" s="365" t="str">
        <f t="shared" si="8"/>
        <v/>
      </c>
      <c r="AJ52" s="364" t="str">
        <f t="shared" si="9"/>
        <v/>
      </c>
      <c r="AK52" s="366" t="str">
        <f t="shared" si="10"/>
        <v/>
      </c>
      <c r="AL52" s="367" t="str">
        <f t="shared" si="11"/>
        <v/>
      </c>
      <c r="AM52" s="368" t="str">
        <f>IFERROR(_xlfn.XLOOKUP(AL52,HELPER!$C$7:$C$47,HELPER!$D$7:$D$47,,1),"")</f>
        <v/>
      </c>
    </row>
    <row r="53" hidden="1" spans="2:39">
      <c r="B53" s="356">
        <v>37</v>
      </c>
      <c r="C53" s="357" t="str">
        <f>IFERROR(IF(OR($B$8="INCORRECT SHEET. Do not use this sheet to input data.",'INPUT DATA'!O47=""),"",'INPUT DATA'!O47),"")</f>
        <v/>
      </c>
      <c r="D53" s="358"/>
      <c r="E53" s="359"/>
      <c r="F53" s="359"/>
      <c r="G53" s="359"/>
      <c r="H53" s="359"/>
      <c r="I53" s="359"/>
      <c r="J53" s="359"/>
      <c r="K53" s="359"/>
      <c r="L53" s="359"/>
      <c r="M53" s="360"/>
      <c r="N53" s="361" t="str">
        <f t="shared" si="0"/>
        <v/>
      </c>
      <c r="O53" s="362" t="str">
        <f t="shared" si="1"/>
        <v/>
      </c>
      <c r="P53" s="363" t="str">
        <f t="shared" si="2"/>
        <v/>
      </c>
      <c r="Q53" s="358"/>
      <c r="R53" s="359"/>
      <c r="S53" s="359"/>
      <c r="T53" s="359"/>
      <c r="U53" s="359"/>
      <c r="V53" s="359"/>
      <c r="W53" s="359"/>
      <c r="X53" s="359"/>
      <c r="Y53" s="359"/>
      <c r="Z53" s="360"/>
      <c r="AA53" s="361" t="str">
        <f t="shared" si="3"/>
        <v/>
      </c>
      <c r="AB53" s="362" t="str">
        <f t="shared" si="4"/>
        <v/>
      </c>
      <c r="AC53" s="363" t="str">
        <f t="shared" si="5"/>
        <v/>
      </c>
      <c r="AD53" s="358"/>
      <c r="AE53" s="359"/>
      <c r="AF53" s="360"/>
      <c r="AG53" s="364" t="str">
        <f t="shared" si="6"/>
        <v/>
      </c>
      <c r="AH53" s="362" t="str">
        <f t="shared" si="7"/>
        <v/>
      </c>
      <c r="AI53" s="365" t="str">
        <f t="shared" si="8"/>
        <v/>
      </c>
      <c r="AJ53" s="364" t="str">
        <f t="shared" si="9"/>
        <v/>
      </c>
      <c r="AK53" s="366" t="str">
        <f t="shared" si="10"/>
        <v/>
      </c>
      <c r="AL53" s="367" t="str">
        <f t="shared" si="11"/>
        <v/>
      </c>
      <c r="AM53" s="368" t="str">
        <f>IFERROR(_xlfn.XLOOKUP(AL53,HELPER!$C$7:$C$47,HELPER!$D$7:$D$47,,1),"")</f>
        <v/>
      </c>
    </row>
    <row r="54" hidden="1" spans="2:39">
      <c r="B54" s="356">
        <v>38</v>
      </c>
      <c r="C54" s="357" t="str">
        <f>IFERROR(IF(OR($B$8="INCORRECT SHEET. Do not use this sheet to input data.",'INPUT DATA'!O48=""),"",'INPUT DATA'!O48),"")</f>
        <v/>
      </c>
      <c r="D54" s="358"/>
      <c r="E54" s="359"/>
      <c r="F54" s="359"/>
      <c r="G54" s="359"/>
      <c r="H54" s="359"/>
      <c r="I54" s="359"/>
      <c r="J54" s="359"/>
      <c r="K54" s="359"/>
      <c r="L54" s="359"/>
      <c r="M54" s="360"/>
      <c r="N54" s="361" t="str">
        <f t="shared" si="0"/>
        <v/>
      </c>
      <c r="O54" s="362" t="str">
        <f t="shared" si="1"/>
        <v/>
      </c>
      <c r="P54" s="363" t="str">
        <f t="shared" si="2"/>
        <v/>
      </c>
      <c r="Q54" s="358"/>
      <c r="R54" s="359"/>
      <c r="S54" s="359"/>
      <c r="T54" s="359"/>
      <c r="U54" s="359"/>
      <c r="V54" s="359"/>
      <c r="W54" s="359"/>
      <c r="X54" s="359"/>
      <c r="Y54" s="359"/>
      <c r="Z54" s="360"/>
      <c r="AA54" s="361" t="str">
        <f t="shared" si="3"/>
        <v/>
      </c>
      <c r="AB54" s="362" t="str">
        <f t="shared" si="4"/>
        <v/>
      </c>
      <c r="AC54" s="363" t="str">
        <f t="shared" si="5"/>
        <v/>
      </c>
      <c r="AD54" s="358"/>
      <c r="AE54" s="359"/>
      <c r="AF54" s="360"/>
      <c r="AG54" s="364" t="str">
        <f t="shared" si="6"/>
        <v/>
      </c>
      <c r="AH54" s="362" t="str">
        <f t="shared" si="7"/>
        <v/>
      </c>
      <c r="AI54" s="365" t="str">
        <f t="shared" si="8"/>
        <v/>
      </c>
      <c r="AJ54" s="364" t="str">
        <f t="shared" si="9"/>
        <v/>
      </c>
      <c r="AK54" s="366" t="str">
        <f t="shared" si="10"/>
        <v/>
      </c>
      <c r="AL54" s="367" t="str">
        <f t="shared" si="11"/>
        <v/>
      </c>
      <c r="AM54" s="368" t="str">
        <f>IFERROR(_xlfn.XLOOKUP(AL54,HELPER!$C$7:$C$47,HELPER!$D$7:$D$47,,1),"")</f>
        <v/>
      </c>
    </row>
    <row r="55" hidden="1" spans="2:39">
      <c r="B55" s="356">
        <v>39</v>
      </c>
      <c r="C55" s="357" t="str">
        <f>IFERROR(IF(OR($B$8="INCORRECT SHEET. Do not use this sheet to input data.",'INPUT DATA'!O49=""),"",'INPUT DATA'!O49),"")</f>
        <v/>
      </c>
      <c r="D55" s="358"/>
      <c r="E55" s="359"/>
      <c r="F55" s="359"/>
      <c r="G55" s="359"/>
      <c r="H55" s="359"/>
      <c r="I55" s="359"/>
      <c r="J55" s="359"/>
      <c r="K55" s="359"/>
      <c r="L55" s="359"/>
      <c r="M55" s="360"/>
      <c r="N55" s="361" t="str">
        <f t="shared" si="0"/>
        <v/>
      </c>
      <c r="O55" s="362" t="str">
        <f t="shared" si="1"/>
        <v/>
      </c>
      <c r="P55" s="363" t="str">
        <f t="shared" si="2"/>
        <v/>
      </c>
      <c r="Q55" s="358"/>
      <c r="R55" s="359"/>
      <c r="S55" s="359"/>
      <c r="T55" s="359"/>
      <c r="U55" s="359"/>
      <c r="V55" s="359"/>
      <c r="W55" s="359"/>
      <c r="X55" s="359"/>
      <c r="Y55" s="359"/>
      <c r="Z55" s="360"/>
      <c r="AA55" s="361" t="str">
        <f t="shared" si="3"/>
        <v/>
      </c>
      <c r="AB55" s="362" t="str">
        <f t="shared" si="4"/>
        <v/>
      </c>
      <c r="AC55" s="363" t="str">
        <f t="shared" si="5"/>
        <v/>
      </c>
      <c r="AD55" s="358"/>
      <c r="AE55" s="359"/>
      <c r="AF55" s="360"/>
      <c r="AG55" s="364" t="str">
        <f t="shared" si="6"/>
        <v/>
      </c>
      <c r="AH55" s="362" t="str">
        <f t="shared" si="7"/>
        <v/>
      </c>
      <c r="AI55" s="365" t="str">
        <f t="shared" si="8"/>
        <v/>
      </c>
      <c r="AJ55" s="364" t="str">
        <f t="shared" si="9"/>
        <v/>
      </c>
      <c r="AK55" s="366" t="str">
        <f t="shared" si="10"/>
        <v/>
      </c>
      <c r="AL55" s="367" t="str">
        <f t="shared" si="11"/>
        <v/>
      </c>
      <c r="AM55" s="368" t="str">
        <f>IFERROR(_xlfn.XLOOKUP(AL55,HELPER!$C$7:$C$47,HELPER!$D$7:$D$47,,1),"")</f>
        <v/>
      </c>
    </row>
    <row r="56" hidden="1" spans="2:39">
      <c r="B56" s="356">
        <v>40</v>
      </c>
      <c r="C56" s="357" t="str">
        <f>IFERROR(IF(OR($B$8="INCORRECT SHEET. Do not use this sheet to input data.",'INPUT DATA'!O50=""),"",'INPUT DATA'!O50),"")</f>
        <v/>
      </c>
      <c r="D56" s="358"/>
      <c r="E56" s="359"/>
      <c r="F56" s="359"/>
      <c r="G56" s="359"/>
      <c r="H56" s="359"/>
      <c r="I56" s="359"/>
      <c r="J56" s="359"/>
      <c r="K56" s="359"/>
      <c r="L56" s="359"/>
      <c r="M56" s="360"/>
      <c r="N56" s="361" t="str">
        <f t="shared" si="0"/>
        <v/>
      </c>
      <c r="O56" s="362" t="str">
        <f t="shared" si="1"/>
        <v/>
      </c>
      <c r="P56" s="363" t="str">
        <f t="shared" si="2"/>
        <v/>
      </c>
      <c r="Q56" s="358"/>
      <c r="R56" s="359"/>
      <c r="S56" s="359"/>
      <c r="T56" s="359"/>
      <c r="U56" s="359"/>
      <c r="V56" s="359"/>
      <c r="W56" s="359"/>
      <c r="X56" s="359"/>
      <c r="Y56" s="359"/>
      <c r="Z56" s="360"/>
      <c r="AA56" s="361" t="str">
        <f t="shared" si="3"/>
        <v/>
      </c>
      <c r="AB56" s="362" t="str">
        <f t="shared" si="4"/>
        <v/>
      </c>
      <c r="AC56" s="363" t="str">
        <f t="shared" si="5"/>
        <v/>
      </c>
      <c r="AD56" s="358"/>
      <c r="AE56" s="359"/>
      <c r="AF56" s="360"/>
      <c r="AG56" s="364" t="str">
        <f t="shared" si="6"/>
        <v/>
      </c>
      <c r="AH56" s="362" t="str">
        <f t="shared" si="7"/>
        <v/>
      </c>
      <c r="AI56" s="365" t="str">
        <f t="shared" si="8"/>
        <v/>
      </c>
      <c r="AJ56" s="364" t="str">
        <f t="shared" si="9"/>
        <v/>
      </c>
      <c r="AK56" s="366" t="str">
        <f t="shared" si="10"/>
        <v/>
      </c>
      <c r="AL56" s="367" t="str">
        <f t="shared" si="11"/>
        <v/>
      </c>
      <c r="AM56" s="368" t="str">
        <f>IFERROR(_xlfn.XLOOKUP(AL56,HELPER!$C$7:$C$47,HELPER!$D$7:$D$47,,1),"")</f>
        <v/>
      </c>
    </row>
    <row r="57" hidden="1" spans="2:39">
      <c r="B57" s="356">
        <v>41</v>
      </c>
      <c r="C57" s="357" t="str">
        <f>IFERROR(IF(OR($B$8="INCORRECT SHEET. Do not use this sheet to input data.",'INPUT DATA'!O51=""),"",'INPUT DATA'!O51),"")</f>
        <v/>
      </c>
      <c r="D57" s="358"/>
      <c r="E57" s="359"/>
      <c r="F57" s="359"/>
      <c r="G57" s="359"/>
      <c r="H57" s="359"/>
      <c r="I57" s="359"/>
      <c r="J57" s="359"/>
      <c r="K57" s="359"/>
      <c r="L57" s="359"/>
      <c r="M57" s="360"/>
      <c r="N57" s="361" t="str">
        <f t="shared" si="0"/>
        <v/>
      </c>
      <c r="O57" s="362" t="str">
        <f t="shared" si="1"/>
        <v/>
      </c>
      <c r="P57" s="363" t="str">
        <f t="shared" si="2"/>
        <v/>
      </c>
      <c r="Q57" s="358"/>
      <c r="R57" s="359"/>
      <c r="S57" s="359"/>
      <c r="T57" s="359"/>
      <c r="U57" s="359"/>
      <c r="V57" s="359"/>
      <c r="W57" s="359"/>
      <c r="X57" s="359"/>
      <c r="Y57" s="359"/>
      <c r="Z57" s="360"/>
      <c r="AA57" s="361" t="str">
        <f t="shared" si="3"/>
        <v/>
      </c>
      <c r="AB57" s="362" t="str">
        <f t="shared" si="4"/>
        <v/>
      </c>
      <c r="AC57" s="363" t="str">
        <f t="shared" si="5"/>
        <v/>
      </c>
      <c r="AD57" s="358"/>
      <c r="AE57" s="359"/>
      <c r="AF57" s="360"/>
      <c r="AG57" s="364" t="str">
        <f t="shared" si="6"/>
        <v/>
      </c>
      <c r="AH57" s="362" t="str">
        <f t="shared" si="7"/>
        <v/>
      </c>
      <c r="AI57" s="365" t="str">
        <f t="shared" si="8"/>
        <v/>
      </c>
      <c r="AJ57" s="364" t="str">
        <f t="shared" si="9"/>
        <v/>
      </c>
      <c r="AK57" s="366" t="str">
        <f t="shared" si="10"/>
        <v/>
      </c>
      <c r="AL57" s="367" t="str">
        <f t="shared" si="11"/>
        <v/>
      </c>
      <c r="AM57" s="368" t="str">
        <f>IFERROR(_xlfn.XLOOKUP(AL57,HELPER!$C$7:$C$47,HELPER!$D$7:$D$47,,1),"")</f>
        <v/>
      </c>
    </row>
    <row r="58" hidden="1" spans="2:39">
      <c r="B58" s="356">
        <v>42</v>
      </c>
      <c r="C58" s="357" t="str">
        <f>IFERROR(IF(OR($B$8="INCORRECT SHEET. Do not use this sheet to input data.",'INPUT DATA'!O52=""),"",'INPUT DATA'!O52),"")</f>
        <v/>
      </c>
      <c r="D58" s="358"/>
      <c r="E58" s="359"/>
      <c r="F58" s="359"/>
      <c r="G58" s="359"/>
      <c r="H58" s="359"/>
      <c r="I58" s="359"/>
      <c r="J58" s="359"/>
      <c r="K58" s="359"/>
      <c r="L58" s="359"/>
      <c r="M58" s="360"/>
      <c r="N58" s="361" t="str">
        <f t="shared" si="0"/>
        <v/>
      </c>
      <c r="O58" s="362" t="str">
        <f t="shared" si="1"/>
        <v/>
      </c>
      <c r="P58" s="363" t="str">
        <f t="shared" si="2"/>
        <v/>
      </c>
      <c r="Q58" s="358"/>
      <c r="R58" s="359"/>
      <c r="S58" s="359"/>
      <c r="T58" s="359"/>
      <c r="U58" s="359"/>
      <c r="V58" s="359"/>
      <c r="W58" s="359"/>
      <c r="X58" s="359"/>
      <c r="Y58" s="359"/>
      <c r="Z58" s="360"/>
      <c r="AA58" s="361" t="str">
        <f t="shared" si="3"/>
        <v/>
      </c>
      <c r="AB58" s="362" t="str">
        <f t="shared" si="4"/>
        <v/>
      </c>
      <c r="AC58" s="363" t="str">
        <f t="shared" si="5"/>
        <v/>
      </c>
      <c r="AD58" s="358"/>
      <c r="AE58" s="359"/>
      <c r="AF58" s="360"/>
      <c r="AG58" s="364" t="str">
        <f t="shared" si="6"/>
        <v/>
      </c>
      <c r="AH58" s="362" t="str">
        <f t="shared" si="7"/>
        <v/>
      </c>
      <c r="AI58" s="365" t="str">
        <f t="shared" si="8"/>
        <v/>
      </c>
      <c r="AJ58" s="364" t="str">
        <f t="shared" si="9"/>
        <v/>
      </c>
      <c r="AK58" s="366" t="str">
        <f t="shared" si="10"/>
        <v/>
      </c>
      <c r="AL58" s="367" t="str">
        <f t="shared" si="11"/>
        <v/>
      </c>
      <c r="AM58" s="368" t="str">
        <f>IFERROR(_xlfn.XLOOKUP(AL58,HELPER!$C$7:$C$47,HELPER!$D$7:$D$47,,1),"")</f>
        <v/>
      </c>
    </row>
    <row r="59" hidden="1" spans="2:39">
      <c r="B59" s="356">
        <v>43</v>
      </c>
      <c r="C59" s="357" t="str">
        <f>IFERROR(IF(OR($B$8="INCORRECT SHEET. Do not use this sheet to input data.",'INPUT DATA'!O53=""),"",'INPUT DATA'!O53),"")</f>
        <v/>
      </c>
      <c r="D59" s="358"/>
      <c r="E59" s="359"/>
      <c r="F59" s="359"/>
      <c r="G59" s="359"/>
      <c r="H59" s="359"/>
      <c r="I59" s="359"/>
      <c r="J59" s="359"/>
      <c r="K59" s="359"/>
      <c r="L59" s="359"/>
      <c r="M59" s="360"/>
      <c r="N59" s="361" t="str">
        <f t="shared" si="0"/>
        <v/>
      </c>
      <c r="O59" s="362" t="str">
        <f t="shared" si="1"/>
        <v/>
      </c>
      <c r="P59" s="363" t="str">
        <f t="shared" si="2"/>
        <v/>
      </c>
      <c r="Q59" s="358"/>
      <c r="R59" s="359"/>
      <c r="S59" s="359"/>
      <c r="T59" s="359"/>
      <c r="U59" s="359"/>
      <c r="V59" s="359"/>
      <c r="W59" s="359"/>
      <c r="X59" s="359"/>
      <c r="Y59" s="359"/>
      <c r="Z59" s="360"/>
      <c r="AA59" s="361" t="str">
        <f t="shared" si="3"/>
        <v/>
      </c>
      <c r="AB59" s="362" t="str">
        <f t="shared" si="4"/>
        <v/>
      </c>
      <c r="AC59" s="363" t="str">
        <f t="shared" si="5"/>
        <v/>
      </c>
      <c r="AD59" s="358"/>
      <c r="AE59" s="359"/>
      <c r="AF59" s="360"/>
      <c r="AG59" s="364" t="str">
        <f t="shared" si="6"/>
        <v/>
      </c>
      <c r="AH59" s="362" t="str">
        <f t="shared" si="7"/>
        <v/>
      </c>
      <c r="AI59" s="365" t="str">
        <f t="shared" si="8"/>
        <v/>
      </c>
      <c r="AJ59" s="364" t="str">
        <f t="shared" si="9"/>
        <v/>
      </c>
      <c r="AK59" s="366" t="str">
        <f t="shared" si="10"/>
        <v/>
      </c>
      <c r="AL59" s="367" t="str">
        <f t="shared" si="11"/>
        <v/>
      </c>
      <c r="AM59" s="368" t="str">
        <f>IFERROR(_xlfn.XLOOKUP(AL59,HELPER!$C$7:$C$47,HELPER!$D$7:$D$47,,1),"")</f>
        <v/>
      </c>
    </row>
    <row r="60" hidden="1" spans="2:39">
      <c r="B60" s="356">
        <v>44</v>
      </c>
      <c r="C60" s="357" t="str">
        <f>IFERROR(IF(OR($B$8="INCORRECT SHEET. Do not use this sheet to input data.",'INPUT DATA'!O54=""),"",'INPUT DATA'!O54),"")</f>
        <v/>
      </c>
      <c r="D60" s="358"/>
      <c r="E60" s="359"/>
      <c r="F60" s="359"/>
      <c r="G60" s="359"/>
      <c r="H60" s="359"/>
      <c r="I60" s="359"/>
      <c r="J60" s="359"/>
      <c r="K60" s="359"/>
      <c r="L60" s="359"/>
      <c r="M60" s="360"/>
      <c r="N60" s="361" t="str">
        <f t="shared" si="0"/>
        <v/>
      </c>
      <c r="O60" s="362" t="str">
        <f t="shared" si="1"/>
        <v/>
      </c>
      <c r="P60" s="363" t="str">
        <f t="shared" si="2"/>
        <v/>
      </c>
      <c r="Q60" s="358"/>
      <c r="R60" s="359"/>
      <c r="S60" s="359"/>
      <c r="T60" s="359"/>
      <c r="U60" s="359"/>
      <c r="V60" s="359"/>
      <c r="W60" s="359"/>
      <c r="X60" s="359"/>
      <c r="Y60" s="359"/>
      <c r="Z60" s="360"/>
      <c r="AA60" s="361" t="str">
        <f t="shared" si="3"/>
        <v/>
      </c>
      <c r="AB60" s="362" t="str">
        <f t="shared" si="4"/>
        <v/>
      </c>
      <c r="AC60" s="363" t="str">
        <f t="shared" si="5"/>
        <v/>
      </c>
      <c r="AD60" s="358"/>
      <c r="AE60" s="359"/>
      <c r="AF60" s="360"/>
      <c r="AG60" s="364" t="str">
        <f t="shared" si="6"/>
        <v/>
      </c>
      <c r="AH60" s="362" t="str">
        <f t="shared" si="7"/>
        <v/>
      </c>
      <c r="AI60" s="365" t="str">
        <f t="shared" si="8"/>
        <v/>
      </c>
      <c r="AJ60" s="364" t="str">
        <f t="shared" si="9"/>
        <v/>
      </c>
      <c r="AK60" s="366" t="str">
        <f t="shared" si="10"/>
        <v/>
      </c>
      <c r="AL60" s="367" t="str">
        <f t="shared" si="11"/>
        <v/>
      </c>
      <c r="AM60" s="368" t="str">
        <f>IFERROR(_xlfn.XLOOKUP(AL60,HELPER!$C$7:$C$47,HELPER!$D$7:$D$47,,1),"")</f>
        <v/>
      </c>
    </row>
    <row r="61" hidden="1" spans="2:39">
      <c r="B61" s="356">
        <v>45</v>
      </c>
      <c r="C61" s="357" t="str">
        <f>IFERROR(IF(OR($B$8="INCORRECT SHEET. Do not use this sheet to input data.",'INPUT DATA'!O55=""),"",'INPUT DATA'!O55),"")</f>
        <v/>
      </c>
      <c r="D61" s="358"/>
      <c r="E61" s="359"/>
      <c r="F61" s="359"/>
      <c r="G61" s="359"/>
      <c r="H61" s="359"/>
      <c r="I61" s="359"/>
      <c r="J61" s="359"/>
      <c r="K61" s="359"/>
      <c r="L61" s="359"/>
      <c r="M61" s="360"/>
      <c r="N61" s="361" t="str">
        <f t="shared" si="0"/>
        <v/>
      </c>
      <c r="O61" s="362" t="str">
        <f t="shared" si="1"/>
        <v/>
      </c>
      <c r="P61" s="363" t="str">
        <f t="shared" si="2"/>
        <v/>
      </c>
      <c r="Q61" s="358"/>
      <c r="R61" s="359"/>
      <c r="S61" s="359"/>
      <c r="T61" s="359"/>
      <c r="U61" s="359"/>
      <c r="V61" s="359"/>
      <c r="W61" s="359"/>
      <c r="X61" s="359"/>
      <c r="Y61" s="359"/>
      <c r="Z61" s="360"/>
      <c r="AA61" s="361" t="str">
        <f t="shared" si="3"/>
        <v/>
      </c>
      <c r="AB61" s="362" t="str">
        <f t="shared" si="4"/>
        <v/>
      </c>
      <c r="AC61" s="363" t="str">
        <f t="shared" si="5"/>
        <v/>
      </c>
      <c r="AD61" s="358"/>
      <c r="AE61" s="359"/>
      <c r="AF61" s="360"/>
      <c r="AG61" s="364" t="str">
        <f t="shared" si="6"/>
        <v/>
      </c>
      <c r="AH61" s="362" t="str">
        <f t="shared" si="7"/>
        <v/>
      </c>
      <c r="AI61" s="365" t="str">
        <f t="shared" si="8"/>
        <v/>
      </c>
      <c r="AJ61" s="364" t="str">
        <f t="shared" si="9"/>
        <v/>
      </c>
      <c r="AK61" s="366" t="str">
        <f t="shared" si="10"/>
        <v/>
      </c>
      <c r="AL61" s="367" t="str">
        <f t="shared" si="11"/>
        <v/>
      </c>
      <c r="AM61" s="368" t="str">
        <f>IFERROR(_xlfn.XLOOKUP(AL61,HELPER!$C$7:$C$47,HELPER!$D$7:$D$47,,1),"")</f>
        <v/>
      </c>
    </row>
    <row r="62" hidden="1" spans="2:39">
      <c r="B62" s="356">
        <v>46</v>
      </c>
      <c r="C62" s="357" t="str">
        <f>IFERROR(IF(OR($B$8="INCORRECT SHEET. Do not use this sheet to input data.",'INPUT DATA'!O56=""),"",'INPUT DATA'!O56),"")</f>
        <v/>
      </c>
      <c r="D62" s="358"/>
      <c r="E62" s="359"/>
      <c r="F62" s="359"/>
      <c r="G62" s="359"/>
      <c r="H62" s="359"/>
      <c r="I62" s="359"/>
      <c r="J62" s="359"/>
      <c r="K62" s="359"/>
      <c r="L62" s="359"/>
      <c r="M62" s="360"/>
      <c r="N62" s="361" t="str">
        <f t="shared" si="0"/>
        <v/>
      </c>
      <c r="O62" s="362" t="str">
        <f t="shared" si="1"/>
        <v/>
      </c>
      <c r="P62" s="363" t="str">
        <f t="shared" si="2"/>
        <v/>
      </c>
      <c r="Q62" s="358"/>
      <c r="R62" s="359"/>
      <c r="S62" s="359"/>
      <c r="T62" s="359"/>
      <c r="U62" s="359"/>
      <c r="V62" s="359"/>
      <c r="W62" s="359"/>
      <c r="X62" s="359"/>
      <c r="Y62" s="359"/>
      <c r="Z62" s="360"/>
      <c r="AA62" s="361" t="str">
        <f t="shared" si="3"/>
        <v/>
      </c>
      <c r="AB62" s="362" t="str">
        <f t="shared" si="4"/>
        <v/>
      </c>
      <c r="AC62" s="363" t="str">
        <f t="shared" si="5"/>
        <v/>
      </c>
      <c r="AD62" s="358"/>
      <c r="AE62" s="359"/>
      <c r="AF62" s="360"/>
      <c r="AG62" s="364" t="str">
        <f t="shared" si="6"/>
        <v/>
      </c>
      <c r="AH62" s="362" t="str">
        <f t="shared" si="7"/>
        <v/>
      </c>
      <c r="AI62" s="365" t="str">
        <f t="shared" si="8"/>
        <v/>
      </c>
      <c r="AJ62" s="364" t="str">
        <f t="shared" si="9"/>
        <v/>
      </c>
      <c r="AK62" s="366" t="str">
        <f t="shared" si="10"/>
        <v/>
      </c>
      <c r="AL62" s="367" t="str">
        <f t="shared" si="11"/>
        <v/>
      </c>
      <c r="AM62" s="368" t="str">
        <f>IFERROR(_xlfn.XLOOKUP(AL62,HELPER!$C$7:$C$47,HELPER!$D$7:$D$47,,1),"")</f>
        <v/>
      </c>
    </row>
    <row r="63" hidden="1" spans="2:39">
      <c r="B63" s="356">
        <v>47</v>
      </c>
      <c r="C63" s="357" t="str">
        <f>IFERROR(IF(OR($B$8="INCORRECT SHEET. Do not use this sheet to input data.",'INPUT DATA'!O57=""),"",'INPUT DATA'!O57),"")</f>
        <v/>
      </c>
      <c r="D63" s="358"/>
      <c r="E63" s="359"/>
      <c r="F63" s="359"/>
      <c r="G63" s="359"/>
      <c r="H63" s="359"/>
      <c r="I63" s="359"/>
      <c r="J63" s="359"/>
      <c r="K63" s="359"/>
      <c r="L63" s="359"/>
      <c r="M63" s="360"/>
      <c r="N63" s="361" t="str">
        <f t="shared" si="0"/>
        <v/>
      </c>
      <c r="O63" s="362" t="str">
        <f t="shared" si="1"/>
        <v/>
      </c>
      <c r="P63" s="363" t="str">
        <f t="shared" si="2"/>
        <v/>
      </c>
      <c r="Q63" s="358"/>
      <c r="R63" s="359"/>
      <c r="S63" s="359"/>
      <c r="T63" s="359"/>
      <c r="U63" s="359"/>
      <c r="V63" s="359"/>
      <c r="W63" s="359"/>
      <c r="X63" s="359"/>
      <c r="Y63" s="359"/>
      <c r="Z63" s="360"/>
      <c r="AA63" s="361" t="str">
        <f t="shared" si="3"/>
        <v/>
      </c>
      <c r="AB63" s="362" t="str">
        <f t="shared" si="4"/>
        <v/>
      </c>
      <c r="AC63" s="363" t="str">
        <f t="shared" si="5"/>
        <v/>
      </c>
      <c r="AD63" s="358"/>
      <c r="AE63" s="359"/>
      <c r="AF63" s="360"/>
      <c r="AG63" s="364" t="str">
        <f t="shared" si="6"/>
        <v/>
      </c>
      <c r="AH63" s="362" t="str">
        <f t="shared" si="7"/>
        <v/>
      </c>
      <c r="AI63" s="365" t="str">
        <f t="shared" si="8"/>
        <v/>
      </c>
      <c r="AJ63" s="364" t="str">
        <f t="shared" si="9"/>
        <v/>
      </c>
      <c r="AK63" s="366" t="str">
        <f t="shared" si="10"/>
        <v/>
      </c>
      <c r="AL63" s="367" t="str">
        <f t="shared" si="11"/>
        <v/>
      </c>
      <c r="AM63" s="368" t="str">
        <f>IFERROR(_xlfn.XLOOKUP(AL63,HELPER!$C$7:$C$47,HELPER!$D$7:$D$47,,1),"")</f>
        <v/>
      </c>
    </row>
    <row r="64" hidden="1" spans="2:39">
      <c r="B64" s="356">
        <v>48</v>
      </c>
      <c r="C64" s="357" t="str">
        <f>IFERROR(IF(OR($B$8="INCORRECT SHEET. Do not use this sheet to input data.",'INPUT DATA'!O58=""),"",'INPUT DATA'!O58),"")</f>
        <v/>
      </c>
      <c r="D64" s="358"/>
      <c r="E64" s="359"/>
      <c r="F64" s="359"/>
      <c r="G64" s="359"/>
      <c r="H64" s="359"/>
      <c r="I64" s="359"/>
      <c r="J64" s="359"/>
      <c r="K64" s="359"/>
      <c r="L64" s="359"/>
      <c r="M64" s="360"/>
      <c r="N64" s="361" t="str">
        <f t="shared" si="0"/>
        <v/>
      </c>
      <c r="O64" s="362" t="str">
        <f t="shared" si="1"/>
        <v/>
      </c>
      <c r="P64" s="363" t="str">
        <f t="shared" si="2"/>
        <v/>
      </c>
      <c r="Q64" s="358"/>
      <c r="R64" s="359"/>
      <c r="S64" s="359"/>
      <c r="T64" s="359"/>
      <c r="U64" s="359"/>
      <c r="V64" s="359"/>
      <c r="W64" s="359"/>
      <c r="X64" s="359"/>
      <c r="Y64" s="359"/>
      <c r="Z64" s="360"/>
      <c r="AA64" s="361" t="str">
        <f t="shared" si="3"/>
        <v/>
      </c>
      <c r="AB64" s="362" t="str">
        <f t="shared" si="4"/>
        <v/>
      </c>
      <c r="AC64" s="363" t="str">
        <f t="shared" si="5"/>
        <v/>
      </c>
      <c r="AD64" s="358"/>
      <c r="AE64" s="359"/>
      <c r="AF64" s="360"/>
      <c r="AG64" s="364" t="str">
        <f t="shared" si="6"/>
        <v/>
      </c>
      <c r="AH64" s="362" t="str">
        <f t="shared" si="7"/>
        <v/>
      </c>
      <c r="AI64" s="365" t="str">
        <f t="shared" si="8"/>
        <v/>
      </c>
      <c r="AJ64" s="364" t="str">
        <f t="shared" si="9"/>
        <v/>
      </c>
      <c r="AK64" s="366" t="str">
        <f t="shared" si="10"/>
        <v/>
      </c>
      <c r="AL64" s="367" t="str">
        <f t="shared" si="11"/>
        <v/>
      </c>
      <c r="AM64" s="368" t="str">
        <f>IFERROR(_xlfn.XLOOKUP(AL64,HELPER!$C$7:$C$47,HELPER!$D$7:$D$47,,1),"")</f>
        <v/>
      </c>
    </row>
    <row r="65" hidden="1" spans="2:39">
      <c r="B65" s="356">
        <v>49</v>
      </c>
      <c r="C65" s="357" t="str">
        <f>IFERROR(IF(OR($B$8="INCORRECT SHEET. Do not use this sheet to input data.",'INPUT DATA'!O59=""),"",'INPUT DATA'!O59),"")</f>
        <v/>
      </c>
      <c r="D65" s="358"/>
      <c r="E65" s="359"/>
      <c r="F65" s="359"/>
      <c r="G65" s="359"/>
      <c r="H65" s="359"/>
      <c r="I65" s="359"/>
      <c r="J65" s="359"/>
      <c r="K65" s="359"/>
      <c r="L65" s="359"/>
      <c r="M65" s="360"/>
      <c r="N65" s="361" t="str">
        <f t="shared" si="0"/>
        <v/>
      </c>
      <c r="O65" s="362" t="str">
        <f t="shared" si="1"/>
        <v/>
      </c>
      <c r="P65" s="363" t="str">
        <f t="shared" si="2"/>
        <v/>
      </c>
      <c r="Q65" s="358"/>
      <c r="R65" s="359"/>
      <c r="S65" s="359"/>
      <c r="T65" s="359"/>
      <c r="U65" s="359"/>
      <c r="V65" s="359"/>
      <c r="W65" s="359"/>
      <c r="X65" s="359"/>
      <c r="Y65" s="359"/>
      <c r="Z65" s="360"/>
      <c r="AA65" s="361" t="str">
        <f t="shared" si="3"/>
        <v/>
      </c>
      <c r="AB65" s="362" t="str">
        <f t="shared" si="4"/>
        <v/>
      </c>
      <c r="AC65" s="363" t="str">
        <f t="shared" si="5"/>
        <v/>
      </c>
      <c r="AD65" s="358"/>
      <c r="AE65" s="359"/>
      <c r="AF65" s="360"/>
      <c r="AG65" s="364" t="str">
        <f t="shared" si="6"/>
        <v/>
      </c>
      <c r="AH65" s="362" t="str">
        <f t="shared" si="7"/>
        <v/>
      </c>
      <c r="AI65" s="365" t="str">
        <f t="shared" si="8"/>
        <v/>
      </c>
      <c r="AJ65" s="364" t="str">
        <f t="shared" si="9"/>
        <v/>
      </c>
      <c r="AK65" s="366" t="str">
        <f t="shared" si="10"/>
        <v/>
      </c>
      <c r="AL65" s="367" t="str">
        <f t="shared" si="11"/>
        <v/>
      </c>
      <c r="AM65" s="368" t="str">
        <f>IFERROR(_xlfn.XLOOKUP(AL65,HELPER!$C$7:$C$47,HELPER!$D$7:$D$47,,1),"")</f>
        <v/>
      </c>
    </row>
    <row r="66" ht="14.55" hidden="1" spans="2:39">
      <c r="B66" s="369">
        <v>50</v>
      </c>
      <c r="C66" s="370" t="str">
        <f>IFERROR(IF(OR($B$8="INCORRECT SHEET. Do not use this sheet to input data.",'INPUT DATA'!O60=""),"",'INPUT DATA'!O60),"")</f>
        <v/>
      </c>
      <c r="D66" s="371"/>
      <c r="E66" s="372"/>
      <c r="F66" s="372"/>
      <c r="G66" s="372"/>
      <c r="H66" s="372"/>
      <c r="I66" s="372"/>
      <c r="J66" s="372"/>
      <c r="K66" s="372"/>
      <c r="L66" s="372"/>
      <c r="M66" s="373"/>
      <c r="N66" s="374" t="str">
        <f t="shared" si="0"/>
        <v/>
      </c>
      <c r="O66" s="375" t="str">
        <f t="shared" si="1"/>
        <v/>
      </c>
      <c r="P66" s="376" t="str">
        <f t="shared" si="2"/>
        <v/>
      </c>
      <c r="Q66" s="371"/>
      <c r="R66" s="372"/>
      <c r="S66" s="372"/>
      <c r="T66" s="372"/>
      <c r="U66" s="372"/>
      <c r="V66" s="372"/>
      <c r="W66" s="372"/>
      <c r="X66" s="372"/>
      <c r="Y66" s="372"/>
      <c r="Z66" s="373"/>
      <c r="AA66" s="374" t="str">
        <f t="shared" si="3"/>
        <v/>
      </c>
      <c r="AB66" s="375" t="str">
        <f t="shared" si="4"/>
        <v/>
      </c>
      <c r="AC66" s="376" t="str">
        <f t="shared" si="5"/>
        <v/>
      </c>
      <c r="AD66" s="371"/>
      <c r="AE66" s="372"/>
      <c r="AF66" s="373"/>
      <c r="AG66" s="377" t="str">
        <f t="shared" si="6"/>
        <v/>
      </c>
      <c r="AH66" s="375" t="str">
        <f t="shared" si="7"/>
        <v/>
      </c>
      <c r="AI66" s="378" t="str">
        <f t="shared" si="8"/>
        <v/>
      </c>
      <c r="AJ66" s="377" t="str">
        <f t="shared" si="9"/>
        <v/>
      </c>
      <c r="AK66" s="379" t="str">
        <f t="shared" si="10"/>
        <v/>
      </c>
      <c r="AL66" s="380" t="str">
        <f t="shared" si="11"/>
        <v/>
      </c>
      <c r="AM66" s="381" t="str">
        <f>IFERROR(_xlfn.XLOOKUP(AL66,HELPER!$C$7:$C$47,HELPER!$D$7:$D$47,,1),"")</f>
        <v/>
      </c>
    </row>
    <row r="67" ht="14.55" spans="2:39">
      <c r="B67" s="382" t="s">
        <v>45</v>
      </c>
      <c r="C67" s="383"/>
      <c r="D67" s="384"/>
      <c r="E67" s="384"/>
      <c r="F67" s="384"/>
      <c r="G67" s="384"/>
      <c r="H67" s="384"/>
      <c r="I67" s="384"/>
      <c r="J67" s="384"/>
      <c r="K67" s="384"/>
      <c r="L67" s="384"/>
      <c r="M67" s="384"/>
      <c r="N67" s="385"/>
      <c r="O67" s="386"/>
      <c r="P67" s="387"/>
      <c r="Q67" s="384"/>
      <c r="R67" s="384"/>
      <c r="S67" s="384"/>
      <c r="T67" s="384"/>
      <c r="U67" s="384"/>
      <c r="V67" s="384"/>
      <c r="W67" s="384"/>
      <c r="X67" s="384"/>
      <c r="Y67" s="384"/>
      <c r="Z67" s="384"/>
      <c r="AA67" s="385"/>
      <c r="AB67" s="386"/>
      <c r="AC67" s="387"/>
      <c r="AD67" s="384"/>
      <c r="AE67" s="384"/>
      <c r="AF67" s="384"/>
      <c r="AG67" s="385"/>
      <c r="AH67" s="385"/>
      <c r="AI67" s="385"/>
      <c r="AJ67" s="386"/>
      <c r="AK67" s="387"/>
      <c r="AL67" s="388"/>
      <c r="AM67" s="389"/>
    </row>
    <row r="68" spans="2:39">
      <c r="B68" s="390">
        <v>1</v>
      </c>
      <c r="C68" s="391" t="str">
        <f>IFERROR(IF(OR($B$8="INCORRECT SHEET. Do not use this sheet to input data.",'INPUT DATA'!S11=""),"",'INPUT DATA'!S11),"")</f>
        <v/>
      </c>
      <c r="D68" s="392"/>
      <c r="E68" s="393"/>
      <c r="F68" s="393"/>
      <c r="G68" s="393"/>
      <c r="H68" s="393"/>
      <c r="I68" s="393"/>
      <c r="J68" s="393"/>
      <c r="K68" s="393"/>
      <c r="L68" s="393"/>
      <c r="M68" s="394"/>
      <c r="N68" s="395" t="str">
        <f>IF(COUNT(D68:M68)=0,"",SUM(D68:M68))</f>
        <v/>
      </c>
      <c r="O68" s="396" t="str">
        <f>IFERROR(IF(N68="","",ROUND(N68/N$14*O$14,2)),"")</f>
        <v/>
      </c>
      <c r="P68" s="397" t="str">
        <f>IFERROR(IF(O68="","",ROUND(O68*P$14,2)),"")</f>
        <v/>
      </c>
      <c r="Q68" s="392"/>
      <c r="R68" s="393"/>
      <c r="S68" s="393"/>
      <c r="T68" s="393"/>
      <c r="U68" s="393"/>
      <c r="V68" s="393"/>
      <c r="W68" s="393"/>
      <c r="X68" s="393"/>
      <c r="Y68" s="393"/>
      <c r="Z68" s="394"/>
      <c r="AA68" s="395" t="str">
        <f>IF(COUNT(Q68:Z68)=0,"",SUM(Q68:Z68))</f>
        <v/>
      </c>
      <c r="AB68" s="396" t="str">
        <f>IFERROR(IF(AA68="","",ROUND(AA68/AA$14*AB$14,2)),"")</f>
        <v/>
      </c>
      <c r="AC68" s="397" t="str">
        <f>IFERROR(IF(AB68="","",ROUND(AB68*AC$14,2)),"")</f>
        <v/>
      </c>
      <c r="AD68" s="392"/>
      <c r="AE68" s="393"/>
      <c r="AF68" s="394"/>
      <c r="AG68" s="398" t="str">
        <f>IFERROR(IF(AD68="","",ROUND(AD68/$AD$14*$AG$14,2)),"")</f>
        <v/>
      </c>
      <c r="AH68" s="396" t="str">
        <f>IFERROR(IF(AE68="","",ROUND(AE68/$AE$14*$AH$14,2)),"")</f>
        <v/>
      </c>
      <c r="AI68" s="399" t="str">
        <f>IFERROR(IF(AF68="","",ROUND(AF68/$AF$14*$AI$14,2)),"")</f>
        <v/>
      </c>
      <c r="AJ68" s="398" t="str">
        <f>IF($AD$12=0,"",IF(OR(AG68&lt;&gt;"",AH68&lt;&gt;"",AI68&lt;&gt;""),(SUM(AG68:AI68)/SUM($AG$14:$AI$14))*$AJ$14,""))</f>
        <v/>
      </c>
      <c r="AK68" s="400" t="str">
        <f>IFERROR(IF(AJ68="","",ROUND(AJ68*$AK$14,2)),"")</f>
        <v/>
      </c>
      <c r="AL68" s="401" t="str">
        <f t="shared" ref="AL68:AL114" si="12">IF(AND(C68&lt;&gt;"",P68&lt;&gt;"",AC68&lt;&gt;"",$AD$12=0),SUM(P68,AC68),IF(AND(C68&lt;&gt;"",P68&lt;&gt;"",AC68&lt;&gt;"",AK68&lt;&gt;"",$D$12&gt;0,$Q$12&gt;0,$AD$12&gt;0),SUM(P68,AC68,AK68),""))</f>
        <v/>
      </c>
      <c r="AM68" s="218" t="str">
        <f>IFERROR(_xlfn.XLOOKUP(AL68,HELPER!$C$7:$C$47,HELPER!$D$7:$D$47,,1),"")</f>
        <v/>
      </c>
    </row>
    <row r="69" spans="2:39">
      <c r="B69" s="402">
        <v>2</v>
      </c>
      <c r="C69" s="391" t="str">
        <f>IFERROR(IF(OR($B$8="INCORRECT SHEET. Do not use this sheet to input data.",'INPUT DATA'!S12=""),"",'INPUT DATA'!S12),"")</f>
        <v/>
      </c>
      <c r="D69" s="358"/>
      <c r="E69" s="359"/>
      <c r="F69" s="359"/>
      <c r="G69" s="359"/>
      <c r="H69" s="359"/>
      <c r="I69" s="359"/>
      <c r="J69" s="359"/>
      <c r="K69" s="359"/>
      <c r="L69" s="359"/>
      <c r="M69" s="360"/>
      <c r="N69" s="361" t="str">
        <f t="shared" ref="N69:N117" si="13">IF(COUNT(D69:M69)=0,"",SUM(D69:M69))</f>
        <v/>
      </c>
      <c r="O69" s="362" t="str">
        <f t="shared" ref="O69:O117" si="14">IFERROR(IF(N69="","",ROUND(N69/N$14*O$14,2)),"")</f>
        <v/>
      </c>
      <c r="P69" s="363" t="str">
        <f t="shared" ref="P69:P117" si="15">IFERROR(IF(O69="","",ROUND(O69*P$14,2)),"")</f>
        <v/>
      </c>
      <c r="Q69" s="358"/>
      <c r="R69" s="359"/>
      <c r="S69" s="359"/>
      <c r="T69" s="359"/>
      <c r="U69" s="359"/>
      <c r="V69" s="359"/>
      <c r="W69" s="359"/>
      <c r="X69" s="359"/>
      <c r="Y69" s="359"/>
      <c r="Z69" s="360"/>
      <c r="AA69" s="361" t="str">
        <f t="shared" ref="AA69:AA117" si="16">IF(COUNT(Q69:Z69)=0,"",SUM(Q69:Z69))</f>
        <v/>
      </c>
      <c r="AB69" s="362" t="str">
        <f t="shared" ref="AB69:AB117" si="17">IFERROR(IF(AA69="","",ROUND(AA69/AA$14*AB$14,2)),"")</f>
        <v/>
      </c>
      <c r="AC69" s="363" t="str">
        <f t="shared" ref="AC69:AC117" si="18">IFERROR(IF(AB69="","",ROUND(AB69*AC$14,2)),"")</f>
        <v/>
      </c>
      <c r="AD69" s="358"/>
      <c r="AE69" s="359"/>
      <c r="AF69" s="360"/>
      <c r="AG69" s="364" t="str">
        <f t="shared" ref="AG69:AG117" si="19">IFERROR(IF(AD69="","",ROUND(AD69/$AD$14*$AG$14,2)),"")</f>
        <v/>
      </c>
      <c r="AH69" s="362" t="str">
        <f t="shared" ref="AH69:AH117" si="20">IFERROR(IF(AE69="","",ROUND(AE69/$AE$14*$AH$14,2)),"")</f>
        <v/>
      </c>
      <c r="AI69" s="365" t="str">
        <f t="shared" ref="AI69:AI117" si="21">IFERROR(IF(AF69="","",ROUND(AF69/$AF$14*$AI$14,2)),"")</f>
        <v/>
      </c>
      <c r="AJ69" s="364" t="str">
        <f t="shared" ref="AJ69:AJ117" si="22">IF($AD$12=0,"",IF(OR(AG69&lt;&gt;"",AH69&lt;&gt;"",AI69&lt;&gt;""),(SUM(AG69:AI69)/SUM($AG$14:$AI$14))*$AJ$14,""))</f>
        <v/>
      </c>
      <c r="AK69" s="366" t="str">
        <f t="shared" ref="AK69:AK117" si="23">IFERROR(IF(AJ69="","",ROUND(AJ69*$AK$14,2)),"")</f>
        <v/>
      </c>
      <c r="AL69" s="367" t="str">
        <f t="shared" si="12"/>
        <v/>
      </c>
      <c r="AM69" s="368" t="str">
        <f>IFERROR(_xlfn.XLOOKUP(AL69,HELPER!$C$7:$C$47,HELPER!$D$7:$D$47,,1),"")</f>
        <v/>
      </c>
    </row>
    <row r="70" spans="2:39">
      <c r="B70" s="402">
        <v>3</v>
      </c>
      <c r="C70" s="391" t="str">
        <f>IFERROR(IF(OR($B$8="INCORRECT SHEET. Do not use this sheet to input data.",'INPUT DATA'!S13=""),"",'INPUT DATA'!S13),"")</f>
        <v/>
      </c>
      <c r="D70" s="358"/>
      <c r="E70" s="359"/>
      <c r="F70" s="359"/>
      <c r="G70" s="359"/>
      <c r="H70" s="359"/>
      <c r="I70" s="359"/>
      <c r="J70" s="359"/>
      <c r="K70" s="359"/>
      <c r="L70" s="359"/>
      <c r="M70" s="360"/>
      <c r="N70" s="361" t="str">
        <f t="shared" si="13"/>
        <v/>
      </c>
      <c r="O70" s="362" t="str">
        <f t="shared" si="14"/>
        <v/>
      </c>
      <c r="P70" s="363" t="str">
        <f t="shared" si="15"/>
        <v/>
      </c>
      <c r="Q70" s="358"/>
      <c r="R70" s="359"/>
      <c r="S70" s="359"/>
      <c r="T70" s="359"/>
      <c r="U70" s="359"/>
      <c r="V70" s="359"/>
      <c r="W70" s="359"/>
      <c r="X70" s="359"/>
      <c r="Y70" s="359"/>
      <c r="Z70" s="360"/>
      <c r="AA70" s="361" t="str">
        <f t="shared" si="16"/>
        <v/>
      </c>
      <c r="AB70" s="362" t="str">
        <f t="shared" si="17"/>
        <v/>
      </c>
      <c r="AC70" s="363" t="str">
        <f t="shared" si="18"/>
        <v/>
      </c>
      <c r="AD70" s="358"/>
      <c r="AE70" s="359"/>
      <c r="AF70" s="360"/>
      <c r="AG70" s="364" t="str">
        <f t="shared" si="19"/>
        <v/>
      </c>
      <c r="AH70" s="362" t="str">
        <f t="shared" si="20"/>
        <v/>
      </c>
      <c r="AI70" s="365" t="str">
        <f t="shared" si="21"/>
        <v/>
      </c>
      <c r="AJ70" s="364" t="str">
        <f t="shared" si="22"/>
        <v/>
      </c>
      <c r="AK70" s="366" t="str">
        <f t="shared" si="23"/>
        <v/>
      </c>
      <c r="AL70" s="367" t="str">
        <f t="shared" si="12"/>
        <v/>
      </c>
      <c r="AM70" s="368" t="str">
        <f>IFERROR(_xlfn.XLOOKUP(AL70,HELPER!$C$7:$C$47,HELPER!$D$7:$D$47,,1),"")</f>
        <v/>
      </c>
    </row>
    <row r="71" spans="2:39">
      <c r="B71" s="402">
        <v>4</v>
      </c>
      <c r="C71" s="391" t="str">
        <f>IFERROR(IF(OR($B$8="INCORRECT SHEET. Do not use this sheet to input data.",'INPUT DATA'!S14=""),"",'INPUT DATA'!S14),"")</f>
        <v/>
      </c>
      <c r="D71" s="358"/>
      <c r="E71" s="359"/>
      <c r="F71" s="359"/>
      <c r="G71" s="359"/>
      <c r="H71" s="359"/>
      <c r="I71" s="359"/>
      <c r="J71" s="359"/>
      <c r="K71" s="359"/>
      <c r="L71" s="359"/>
      <c r="M71" s="360"/>
      <c r="N71" s="361" t="str">
        <f t="shared" si="13"/>
        <v/>
      </c>
      <c r="O71" s="362" t="str">
        <f t="shared" si="14"/>
        <v/>
      </c>
      <c r="P71" s="363" t="str">
        <f t="shared" si="15"/>
        <v/>
      </c>
      <c r="Q71" s="358"/>
      <c r="R71" s="359"/>
      <c r="S71" s="359"/>
      <c r="T71" s="359"/>
      <c r="U71" s="359"/>
      <c r="V71" s="359"/>
      <c r="W71" s="359"/>
      <c r="X71" s="359"/>
      <c r="Y71" s="359"/>
      <c r="Z71" s="360"/>
      <c r="AA71" s="361" t="str">
        <f t="shared" si="16"/>
        <v/>
      </c>
      <c r="AB71" s="362" t="str">
        <f t="shared" si="17"/>
        <v/>
      </c>
      <c r="AC71" s="363" t="str">
        <f t="shared" si="18"/>
        <v/>
      </c>
      <c r="AD71" s="358"/>
      <c r="AE71" s="359"/>
      <c r="AF71" s="360"/>
      <c r="AG71" s="364" t="str">
        <f t="shared" si="19"/>
        <v/>
      </c>
      <c r="AH71" s="362" t="str">
        <f t="shared" si="20"/>
        <v/>
      </c>
      <c r="AI71" s="365" t="str">
        <f t="shared" si="21"/>
        <v/>
      </c>
      <c r="AJ71" s="364" t="str">
        <f t="shared" si="22"/>
        <v/>
      </c>
      <c r="AK71" s="366" t="str">
        <f t="shared" si="23"/>
        <v/>
      </c>
      <c r="AL71" s="367" t="str">
        <f t="shared" si="12"/>
        <v/>
      </c>
      <c r="AM71" s="368" t="str">
        <f>IFERROR(_xlfn.XLOOKUP(AL71,HELPER!$C$7:$C$47,HELPER!$D$7:$D$47,,1),"")</f>
        <v/>
      </c>
    </row>
    <row r="72" spans="2:39">
      <c r="B72" s="402">
        <v>5</v>
      </c>
      <c r="C72" s="391" t="str">
        <f>IFERROR(IF(OR($B$8="INCORRECT SHEET. Do not use this sheet to input data.",'INPUT DATA'!S15=""),"",'INPUT DATA'!S15),"")</f>
        <v/>
      </c>
      <c r="D72" s="358"/>
      <c r="E72" s="359"/>
      <c r="F72" s="359"/>
      <c r="G72" s="359"/>
      <c r="H72" s="359"/>
      <c r="I72" s="359"/>
      <c r="J72" s="359"/>
      <c r="K72" s="359"/>
      <c r="L72" s="359"/>
      <c r="M72" s="360"/>
      <c r="N72" s="361" t="str">
        <f t="shared" si="13"/>
        <v/>
      </c>
      <c r="O72" s="362" t="str">
        <f t="shared" si="14"/>
        <v/>
      </c>
      <c r="P72" s="363" t="str">
        <f t="shared" si="15"/>
        <v/>
      </c>
      <c r="Q72" s="358"/>
      <c r="R72" s="359"/>
      <c r="S72" s="359"/>
      <c r="T72" s="359"/>
      <c r="U72" s="359"/>
      <c r="V72" s="359"/>
      <c r="W72" s="359"/>
      <c r="X72" s="359"/>
      <c r="Y72" s="359"/>
      <c r="Z72" s="360"/>
      <c r="AA72" s="361" t="str">
        <f t="shared" si="16"/>
        <v/>
      </c>
      <c r="AB72" s="362" t="str">
        <f t="shared" si="17"/>
        <v/>
      </c>
      <c r="AC72" s="363" t="str">
        <f t="shared" si="18"/>
        <v/>
      </c>
      <c r="AD72" s="358"/>
      <c r="AE72" s="359"/>
      <c r="AF72" s="360"/>
      <c r="AG72" s="364" t="str">
        <f t="shared" si="19"/>
        <v/>
      </c>
      <c r="AH72" s="362" t="str">
        <f t="shared" si="20"/>
        <v/>
      </c>
      <c r="AI72" s="365" t="str">
        <f t="shared" si="21"/>
        <v/>
      </c>
      <c r="AJ72" s="364" t="str">
        <f t="shared" si="22"/>
        <v/>
      </c>
      <c r="AK72" s="366" t="str">
        <f t="shared" si="23"/>
        <v/>
      </c>
      <c r="AL72" s="367" t="str">
        <f t="shared" si="12"/>
        <v/>
      </c>
      <c r="AM72" s="368" t="str">
        <f>IFERROR(_xlfn.XLOOKUP(AL72,HELPER!$C$7:$C$47,HELPER!$D$7:$D$47,,1),"")</f>
        <v/>
      </c>
    </row>
    <row r="73" spans="2:39">
      <c r="B73" s="402">
        <v>6</v>
      </c>
      <c r="C73" s="391" t="str">
        <f>IFERROR(IF(OR($B$8="INCORRECT SHEET. Do not use this sheet to input data.",'INPUT DATA'!S16=""),"",'INPUT DATA'!S16),"")</f>
        <v/>
      </c>
      <c r="D73" s="358"/>
      <c r="E73" s="359"/>
      <c r="F73" s="359"/>
      <c r="G73" s="359"/>
      <c r="H73" s="359"/>
      <c r="I73" s="359"/>
      <c r="J73" s="359"/>
      <c r="K73" s="359"/>
      <c r="L73" s="359"/>
      <c r="M73" s="360"/>
      <c r="N73" s="361" t="str">
        <f t="shared" si="13"/>
        <v/>
      </c>
      <c r="O73" s="362" t="str">
        <f t="shared" si="14"/>
        <v/>
      </c>
      <c r="P73" s="363" t="str">
        <f t="shared" si="15"/>
        <v/>
      </c>
      <c r="Q73" s="358"/>
      <c r="R73" s="359"/>
      <c r="S73" s="359"/>
      <c r="T73" s="359"/>
      <c r="U73" s="359"/>
      <c r="V73" s="359"/>
      <c r="W73" s="359"/>
      <c r="X73" s="359"/>
      <c r="Y73" s="359"/>
      <c r="Z73" s="360"/>
      <c r="AA73" s="361" t="str">
        <f t="shared" si="16"/>
        <v/>
      </c>
      <c r="AB73" s="362" t="str">
        <f t="shared" si="17"/>
        <v/>
      </c>
      <c r="AC73" s="363" t="str">
        <f t="shared" si="18"/>
        <v/>
      </c>
      <c r="AD73" s="358"/>
      <c r="AE73" s="359"/>
      <c r="AF73" s="360"/>
      <c r="AG73" s="364" t="str">
        <f t="shared" si="19"/>
        <v/>
      </c>
      <c r="AH73" s="362" t="str">
        <f t="shared" si="20"/>
        <v/>
      </c>
      <c r="AI73" s="365" t="str">
        <f t="shared" si="21"/>
        <v/>
      </c>
      <c r="AJ73" s="364" t="str">
        <f t="shared" si="22"/>
        <v/>
      </c>
      <c r="AK73" s="366" t="str">
        <f t="shared" si="23"/>
        <v/>
      </c>
      <c r="AL73" s="367" t="str">
        <f t="shared" si="12"/>
        <v/>
      </c>
      <c r="AM73" s="368" t="str">
        <f>IFERROR(_xlfn.XLOOKUP(AL73,HELPER!$C$7:$C$47,HELPER!$D$7:$D$47,,1),"")</f>
        <v/>
      </c>
    </row>
    <row r="74" spans="2:39">
      <c r="B74" s="402">
        <v>7</v>
      </c>
      <c r="C74" s="391" t="str">
        <f>IFERROR(IF(OR($B$8="INCORRECT SHEET. Do not use this sheet to input data.",'INPUT DATA'!S17=""),"",'INPUT DATA'!S17),"")</f>
        <v/>
      </c>
      <c r="D74" s="358"/>
      <c r="E74" s="359"/>
      <c r="F74" s="359"/>
      <c r="G74" s="359"/>
      <c r="H74" s="359"/>
      <c r="I74" s="359"/>
      <c r="J74" s="359"/>
      <c r="K74" s="359"/>
      <c r="L74" s="359"/>
      <c r="M74" s="360"/>
      <c r="N74" s="361" t="str">
        <f t="shared" si="13"/>
        <v/>
      </c>
      <c r="O74" s="362" t="str">
        <f t="shared" si="14"/>
        <v/>
      </c>
      <c r="P74" s="363" t="str">
        <f t="shared" si="15"/>
        <v/>
      </c>
      <c r="Q74" s="358"/>
      <c r="R74" s="359"/>
      <c r="S74" s="359"/>
      <c r="T74" s="359"/>
      <c r="U74" s="359"/>
      <c r="V74" s="359"/>
      <c r="W74" s="359"/>
      <c r="X74" s="359"/>
      <c r="Y74" s="359"/>
      <c r="Z74" s="360"/>
      <c r="AA74" s="361" t="str">
        <f t="shared" si="16"/>
        <v/>
      </c>
      <c r="AB74" s="362" t="str">
        <f t="shared" si="17"/>
        <v/>
      </c>
      <c r="AC74" s="363" t="str">
        <f t="shared" si="18"/>
        <v/>
      </c>
      <c r="AD74" s="358"/>
      <c r="AE74" s="359"/>
      <c r="AF74" s="360"/>
      <c r="AG74" s="364" t="str">
        <f t="shared" si="19"/>
        <v/>
      </c>
      <c r="AH74" s="362" t="str">
        <f t="shared" si="20"/>
        <v/>
      </c>
      <c r="AI74" s="365" t="str">
        <f t="shared" si="21"/>
        <v/>
      </c>
      <c r="AJ74" s="364" t="str">
        <f t="shared" si="22"/>
        <v/>
      </c>
      <c r="AK74" s="366" t="str">
        <f t="shared" si="23"/>
        <v/>
      </c>
      <c r="AL74" s="367" t="str">
        <f t="shared" si="12"/>
        <v/>
      </c>
      <c r="AM74" s="368" t="str">
        <f>IFERROR(_xlfn.XLOOKUP(AL74,HELPER!$C$7:$C$47,HELPER!$D$7:$D$47,,1),"")</f>
        <v/>
      </c>
    </row>
    <row r="75" spans="2:39">
      <c r="B75" s="402">
        <v>8</v>
      </c>
      <c r="C75" s="391" t="str">
        <f>IFERROR(IF(OR($B$8="INCORRECT SHEET. Do not use this sheet to input data.",'INPUT DATA'!S18=""),"",'INPUT DATA'!S18),"")</f>
        <v/>
      </c>
      <c r="D75" s="358"/>
      <c r="E75" s="359"/>
      <c r="F75" s="359"/>
      <c r="G75" s="359"/>
      <c r="H75" s="359"/>
      <c r="I75" s="359"/>
      <c r="J75" s="359"/>
      <c r="K75" s="359"/>
      <c r="L75" s="359"/>
      <c r="M75" s="360"/>
      <c r="N75" s="361" t="str">
        <f t="shared" si="13"/>
        <v/>
      </c>
      <c r="O75" s="362" t="str">
        <f t="shared" si="14"/>
        <v/>
      </c>
      <c r="P75" s="363" t="str">
        <f t="shared" si="15"/>
        <v/>
      </c>
      <c r="Q75" s="358"/>
      <c r="R75" s="359"/>
      <c r="S75" s="359"/>
      <c r="T75" s="359"/>
      <c r="U75" s="359"/>
      <c r="V75" s="359"/>
      <c r="W75" s="359"/>
      <c r="X75" s="359"/>
      <c r="Y75" s="359"/>
      <c r="Z75" s="360"/>
      <c r="AA75" s="361" t="str">
        <f t="shared" si="16"/>
        <v/>
      </c>
      <c r="AB75" s="362" t="str">
        <f t="shared" si="17"/>
        <v/>
      </c>
      <c r="AC75" s="363" t="str">
        <f t="shared" si="18"/>
        <v/>
      </c>
      <c r="AD75" s="358"/>
      <c r="AE75" s="359"/>
      <c r="AF75" s="360"/>
      <c r="AG75" s="364" t="str">
        <f t="shared" si="19"/>
        <v/>
      </c>
      <c r="AH75" s="362" t="str">
        <f t="shared" si="20"/>
        <v/>
      </c>
      <c r="AI75" s="365" t="str">
        <f t="shared" si="21"/>
        <v/>
      </c>
      <c r="AJ75" s="364" t="str">
        <f t="shared" si="22"/>
        <v/>
      </c>
      <c r="AK75" s="366" t="str">
        <f t="shared" si="23"/>
        <v/>
      </c>
      <c r="AL75" s="367" t="str">
        <f t="shared" si="12"/>
        <v/>
      </c>
      <c r="AM75" s="368" t="str">
        <f>IFERROR(_xlfn.XLOOKUP(AL75,HELPER!$C$7:$C$47,HELPER!$D$7:$D$47,,1),"")</f>
        <v/>
      </c>
    </row>
    <row r="76" spans="2:39">
      <c r="B76" s="402">
        <v>9</v>
      </c>
      <c r="C76" s="391" t="str">
        <f>IFERROR(IF(OR($B$8="INCORRECT SHEET. Do not use this sheet to input data.",'INPUT DATA'!S19=""),"",'INPUT DATA'!S19),"")</f>
        <v/>
      </c>
      <c r="D76" s="358"/>
      <c r="E76" s="359"/>
      <c r="F76" s="359"/>
      <c r="G76" s="359"/>
      <c r="H76" s="359"/>
      <c r="I76" s="359"/>
      <c r="J76" s="359"/>
      <c r="K76" s="359"/>
      <c r="L76" s="359"/>
      <c r="M76" s="360"/>
      <c r="N76" s="361" t="str">
        <f t="shared" si="13"/>
        <v/>
      </c>
      <c r="O76" s="362" t="str">
        <f t="shared" si="14"/>
        <v/>
      </c>
      <c r="P76" s="363" t="str">
        <f t="shared" si="15"/>
        <v/>
      </c>
      <c r="Q76" s="358"/>
      <c r="R76" s="359"/>
      <c r="S76" s="359"/>
      <c r="T76" s="359"/>
      <c r="U76" s="359"/>
      <c r="V76" s="359"/>
      <c r="W76" s="359"/>
      <c r="X76" s="359"/>
      <c r="Y76" s="359"/>
      <c r="Z76" s="360"/>
      <c r="AA76" s="361" t="str">
        <f t="shared" si="16"/>
        <v/>
      </c>
      <c r="AB76" s="362" t="str">
        <f t="shared" si="17"/>
        <v/>
      </c>
      <c r="AC76" s="363" t="str">
        <f t="shared" si="18"/>
        <v/>
      </c>
      <c r="AD76" s="358"/>
      <c r="AE76" s="359"/>
      <c r="AF76" s="360"/>
      <c r="AG76" s="364" t="str">
        <f t="shared" si="19"/>
        <v/>
      </c>
      <c r="AH76" s="362" t="str">
        <f t="shared" si="20"/>
        <v/>
      </c>
      <c r="AI76" s="365" t="str">
        <f t="shared" si="21"/>
        <v/>
      </c>
      <c r="AJ76" s="364" t="str">
        <f t="shared" si="22"/>
        <v/>
      </c>
      <c r="AK76" s="366" t="str">
        <f t="shared" si="23"/>
        <v/>
      </c>
      <c r="AL76" s="367" t="str">
        <f t="shared" si="12"/>
        <v/>
      </c>
      <c r="AM76" s="368" t="str">
        <f>IFERROR(_xlfn.XLOOKUP(AL76,HELPER!$C$7:$C$47,HELPER!$D$7:$D$47,,1),"")</f>
        <v/>
      </c>
    </row>
    <row r="77" spans="2:39">
      <c r="B77" s="402">
        <v>10</v>
      </c>
      <c r="C77" s="391" t="str">
        <f>IFERROR(IF(OR($B$8="INCORRECT SHEET. Do not use this sheet to input data.",'INPUT DATA'!S20=""),"",'INPUT DATA'!S20),"")</f>
        <v/>
      </c>
      <c r="D77" s="358"/>
      <c r="E77" s="359"/>
      <c r="F77" s="359"/>
      <c r="G77" s="359"/>
      <c r="H77" s="359"/>
      <c r="I77" s="359"/>
      <c r="J77" s="359"/>
      <c r="K77" s="359"/>
      <c r="L77" s="359"/>
      <c r="M77" s="360"/>
      <c r="N77" s="361" t="str">
        <f t="shared" si="13"/>
        <v/>
      </c>
      <c r="O77" s="362" t="str">
        <f t="shared" si="14"/>
        <v/>
      </c>
      <c r="P77" s="363" t="str">
        <f t="shared" si="15"/>
        <v/>
      </c>
      <c r="Q77" s="358"/>
      <c r="R77" s="359"/>
      <c r="S77" s="359"/>
      <c r="T77" s="359"/>
      <c r="U77" s="359"/>
      <c r="V77" s="359"/>
      <c r="W77" s="359"/>
      <c r="X77" s="359"/>
      <c r="Y77" s="359"/>
      <c r="Z77" s="360"/>
      <c r="AA77" s="361" t="str">
        <f t="shared" si="16"/>
        <v/>
      </c>
      <c r="AB77" s="362" t="str">
        <f t="shared" si="17"/>
        <v/>
      </c>
      <c r="AC77" s="363" t="str">
        <f t="shared" si="18"/>
        <v/>
      </c>
      <c r="AD77" s="358"/>
      <c r="AE77" s="359"/>
      <c r="AF77" s="360"/>
      <c r="AG77" s="364" t="str">
        <f t="shared" si="19"/>
        <v/>
      </c>
      <c r="AH77" s="362" t="str">
        <f t="shared" si="20"/>
        <v/>
      </c>
      <c r="AI77" s="365" t="str">
        <f t="shared" si="21"/>
        <v/>
      </c>
      <c r="AJ77" s="364" t="str">
        <f t="shared" si="22"/>
        <v/>
      </c>
      <c r="AK77" s="366" t="str">
        <f t="shared" si="23"/>
        <v/>
      </c>
      <c r="AL77" s="367" t="str">
        <f t="shared" si="12"/>
        <v/>
      </c>
      <c r="AM77" s="368" t="str">
        <f>IFERROR(_xlfn.XLOOKUP(AL77,HELPER!$C$7:$C$47,HELPER!$D$7:$D$47,,1),"")</f>
        <v/>
      </c>
    </row>
    <row r="78" spans="2:39">
      <c r="B78" s="402">
        <v>11</v>
      </c>
      <c r="C78" s="391" t="str">
        <f>IFERROR(IF(OR($B$8="INCORRECT SHEET. Do not use this sheet to input data.",'INPUT DATA'!S21=""),"",'INPUT DATA'!S21),"")</f>
        <v/>
      </c>
      <c r="D78" s="358"/>
      <c r="E78" s="359"/>
      <c r="F78" s="359"/>
      <c r="G78" s="359"/>
      <c r="H78" s="359"/>
      <c r="I78" s="359"/>
      <c r="J78" s="359"/>
      <c r="K78" s="359"/>
      <c r="L78" s="359"/>
      <c r="M78" s="360"/>
      <c r="N78" s="361" t="str">
        <f t="shared" si="13"/>
        <v/>
      </c>
      <c r="O78" s="362" t="str">
        <f t="shared" si="14"/>
        <v/>
      </c>
      <c r="P78" s="363" t="str">
        <f t="shared" si="15"/>
        <v/>
      </c>
      <c r="Q78" s="358"/>
      <c r="R78" s="359"/>
      <c r="S78" s="359"/>
      <c r="T78" s="359"/>
      <c r="U78" s="359"/>
      <c r="V78" s="359"/>
      <c r="W78" s="359"/>
      <c r="X78" s="359"/>
      <c r="Y78" s="359"/>
      <c r="Z78" s="360"/>
      <c r="AA78" s="361" t="str">
        <f t="shared" si="16"/>
        <v/>
      </c>
      <c r="AB78" s="362" t="str">
        <f t="shared" si="17"/>
        <v/>
      </c>
      <c r="AC78" s="363" t="str">
        <f t="shared" si="18"/>
        <v/>
      </c>
      <c r="AD78" s="358"/>
      <c r="AE78" s="359"/>
      <c r="AF78" s="360"/>
      <c r="AG78" s="364" t="str">
        <f t="shared" si="19"/>
        <v/>
      </c>
      <c r="AH78" s="362" t="str">
        <f t="shared" si="20"/>
        <v/>
      </c>
      <c r="AI78" s="365" t="str">
        <f t="shared" si="21"/>
        <v/>
      </c>
      <c r="AJ78" s="364" t="str">
        <f t="shared" si="22"/>
        <v/>
      </c>
      <c r="AK78" s="366" t="str">
        <f t="shared" si="23"/>
        <v/>
      </c>
      <c r="AL78" s="367" t="str">
        <f t="shared" si="12"/>
        <v/>
      </c>
      <c r="AM78" s="368" t="str">
        <f>IFERROR(_xlfn.XLOOKUP(AL78,HELPER!$C$7:$C$47,HELPER!$D$7:$D$47,,1),"")</f>
        <v/>
      </c>
    </row>
    <row r="79" spans="2:39">
      <c r="B79" s="402">
        <v>12</v>
      </c>
      <c r="C79" s="391" t="str">
        <f>IFERROR(IF(OR($B$8="INCORRECT SHEET. Do not use this sheet to input data.",'INPUT DATA'!S22=""),"",'INPUT DATA'!S22),"")</f>
        <v/>
      </c>
      <c r="D79" s="358"/>
      <c r="E79" s="359"/>
      <c r="F79" s="359"/>
      <c r="G79" s="359"/>
      <c r="H79" s="359"/>
      <c r="I79" s="359"/>
      <c r="J79" s="359"/>
      <c r="K79" s="359"/>
      <c r="L79" s="359"/>
      <c r="M79" s="360"/>
      <c r="N79" s="361" t="str">
        <f t="shared" si="13"/>
        <v/>
      </c>
      <c r="O79" s="362" t="str">
        <f t="shared" si="14"/>
        <v/>
      </c>
      <c r="P79" s="363" t="str">
        <f t="shared" si="15"/>
        <v/>
      </c>
      <c r="Q79" s="358"/>
      <c r="R79" s="359"/>
      <c r="S79" s="359"/>
      <c r="T79" s="359"/>
      <c r="U79" s="359"/>
      <c r="V79" s="359"/>
      <c r="W79" s="359"/>
      <c r="X79" s="359"/>
      <c r="Y79" s="359"/>
      <c r="Z79" s="360"/>
      <c r="AA79" s="361" t="str">
        <f t="shared" si="16"/>
        <v/>
      </c>
      <c r="AB79" s="362" t="str">
        <f t="shared" si="17"/>
        <v/>
      </c>
      <c r="AC79" s="363" t="str">
        <f t="shared" si="18"/>
        <v/>
      </c>
      <c r="AD79" s="358"/>
      <c r="AE79" s="359"/>
      <c r="AF79" s="360"/>
      <c r="AG79" s="364" t="str">
        <f t="shared" si="19"/>
        <v/>
      </c>
      <c r="AH79" s="362" t="str">
        <f t="shared" si="20"/>
        <v/>
      </c>
      <c r="AI79" s="365" t="str">
        <f t="shared" si="21"/>
        <v/>
      </c>
      <c r="AJ79" s="364" t="str">
        <f t="shared" si="22"/>
        <v/>
      </c>
      <c r="AK79" s="366" t="str">
        <f t="shared" si="23"/>
        <v/>
      </c>
      <c r="AL79" s="367" t="str">
        <f t="shared" si="12"/>
        <v/>
      </c>
      <c r="AM79" s="368" t="str">
        <f>IFERROR(_xlfn.XLOOKUP(AL79,HELPER!$C$7:$C$47,HELPER!$D$7:$D$47,,1),"")</f>
        <v/>
      </c>
    </row>
    <row r="80" spans="2:39">
      <c r="B80" s="402">
        <v>13</v>
      </c>
      <c r="C80" s="391" t="str">
        <f>IFERROR(IF(OR($B$8="INCORRECT SHEET. Do not use this sheet to input data.",'INPUT DATA'!S23=""),"",'INPUT DATA'!S23),"")</f>
        <v/>
      </c>
      <c r="D80" s="358"/>
      <c r="E80" s="359"/>
      <c r="F80" s="359"/>
      <c r="G80" s="359"/>
      <c r="H80" s="359"/>
      <c r="I80" s="359"/>
      <c r="J80" s="359"/>
      <c r="K80" s="359"/>
      <c r="L80" s="359"/>
      <c r="M80" s="360"/>
      <c r="N80" s="361" t="str">
        <f t="shared" si="13"/>
        <v/>
      </c>
      <c r="O80" s="362" t="str">
        <f t="shared" si="14"/>
        <v/>
      </c>
      <c r="P80" s="363" t="str">
        <f t="shared" si="15"/>
        <v/>
      </c>
      <c r="Q80" s="358"/>
      <c r="R80" s="359"/>
      <c r="S80" s="359"/>
      <c r="T80" s="359"/>
      <c r="U80" s="359"/>
      <c r="V80" s="359"/>
      <c r="W80" s="359"/>
      <c r="X80" s="359"/>
      <c r="Y80" s="359"/>
      <c r="Z80" s="360"/>
      <c r="AA80" s="361" t="str">
        <f t="shared" si="16"/>
        <v/>
      </c>
      <c r="AB80" s="362" t="str">
        <f t="shared" si="17"/>
        <v/>
      </c>
      <c r="AC80" s="363" t="str">
        <f t="shared" si="18"/>
        <v/>
      </c>
      <c r="AD80" s="358"/>
      <c r="AE80" s="359"/>
      <c r="AF80" s="360"/>
      <c r="AG80" s="364" t="str">
        <f t="shared" si="19"/>
        <v/>
      </c>
      <c r="AH80" s="362" t="str">
        <f t="shared" si="20"/>
        <v/>
      </c>
      <c r="AI80" s="365" t="str">
        <f t="shared" si="21"/>
        <v/>
      </c>
      <c r="AJ80" s="364" t="str">
        <f t="shared" si="22"/>
        <v/>
      </c>
      <c r="AK80" s="366" t="str">
        <f t="shared" si="23"/>
        <v/>
      </c>
      <c r="AL80" s="367" t="str">
        <f t="shared" si="12"/>
        <v/>
      </c>
      <c r="AM80" s="368" t="str">
        <f>IFERROR(_xlfn.XLOOKUP(AL80,HELPER!$C$7:$C$47,HELPER!$D$7:$D$47,,1),"")</f>
        <v/>
      </c>
    </row>
    <row r="81" spans="2:39">
      <c r="B81" s="402">
        <v>14</v>
      </c>
      <c r="C81" s="391" t="str">
        <f>IFERROR(IF(OR($B$8="INCORRECT SHEET. Do not use this sheet to input data.",'INPUT DATA'!S24=""),"",'INPUT DATA'!S24),"")</f>
        <v/>
      </c>
      <c r="D81" s="358"/>
      <c r="E81" s="359"/>
      <c r="F81" s="359"/>
      <c r="G81" s="359"/>
      <c r="H81" s="359"/>
      <c r="I81" s="359"/>
      <c r="J81" s="359"/>
      <c r="K81" s="359"/>
      <c r="L81" s="359"/>
      <c r="M81" s="360"/>
      <c r="N81" s="361" t="str">
        <f t="shared" si="13"/>
        <v/>
      </c>
      <c r="O81" s="362" t="str">
        <f t="shared" si="14"/>
        <v/>
      </c>
      <c r="P81" s="363" t="str">
        <f t="shared" si="15"/>
        <v/>
      </c>
      <c r="Q81" s="358"/>
      <c r="R81" s="359"/>
      <c r="S81" s="359"/>
      <c r="T81" s="359"/>
      <c r="U81" s="359"/>
      <c r="V81" s="359"/>
      <c r="W81" s="359"/>
      <c r="X81" s="359"/>
      <c r="Y81" s="359"/>
      <c r="Z81" s="360"/>
      <c r="AA81" s="361" t="str">
        <f t="shared" si="16"/>
        <v/>
      </c>
      <c r="AB81" s="362" t="str">
        <f t="shared" si="17"/>
        <v/>
      </c>
      <c r="AC81" s="363" t="str">
        <f t="shared" si="18"/>
        <v/>
      </c>
      <c r="AD81" s="358"/>
      <c r="AE81" s="359"/>
      <c r="AF81" s="360"/>
      <c r="AG81" s="364" t="str">
        <f t="shared" si="19"/>
        <v/>
      </c>
      <c r="AH81" s="362" t="str">
        <f t="shared" si="20"/>
        <v/>
      </c>
      <c r="AI81" s="365" t="str">
        <f t="shared" si="21"/>
        <v/>
      </c>
      <c r="AJ81" s="364" t="str">
        <f t="shared" si="22"/>
        <v/>
      </c>
      <c r="AK81" s="366" t="str">
        <f t="shared" si="23"/>
        <v/>
      </c>
      <c r="AL81" s="367" t="str">
        <f t="shared" si="12"/>
        <v/>
      </c>
      <c r="AM81" s="368" t="str">
        <f>IFERROR(_xlfn.XLOOKUP(AL81,HELPER!$C$7:$C$47,HELPER!$D$7:$D$47,,1),"")</f>
        <v/>
      </c>
    </row>
    <row r="82" spans="2:39">
      <c r="B82" s="402">
        <v>15</v>
      </c>
      <c r="C82" s="391" t="str">
        <f>IFERROR(IF(OR($B$8="INCORRECT SHEET. Do not use this sheet to input data.",'INPUT DATA'!S25=""),"",'INPUT DATA'!S25),"")</f>
        <v/>
      </c>
      <c r="D82" s="358"/>
      <c r="E82" s="359"/>
      <c r="F82" s="359"/>
      <c r="G82" s="359"/>
      <c r="H82" s="359"/>
      <c r="I82" s="359"/>
      <c r="J82" s="359"/>
      <c r="K82" s="359"/>
      <c r="L82" s="359"/>
      <c r="M82" s="360"/>
      <c r="N82" s="361" t="str">
        <f t="shared" si="13"/>
        <v/>
      </c>
      <c r="O82" s="362" t="str">
        <f t="shared" si="14"/>
        <v/>
      </c>
      <c r="P82" s="363" t="str">
        <f t="shared" si="15"/>
        <v/>
      </c>
      <c r="Q82" s="358"/>
      <c r="R82" s="359"/>
      <c r="S82" s="359"/>
      <c r="T82" s="359"/>
      <c r="U82" s="359"/>
      <c r="V82" s="359"/>
      <c r="W82" s="359"/>
      <c r="X82" s="359"/>
      <c r="Y82" s="359"/>
      <c r="Z82" s="360"/>
      <c r="AA82" s="361" t="str">
        <f t="shared" si="16"/>
        <v/>
      </c>
      <c r="AB82" s="362" t="str">
        <f t="shared" si="17"/>
        <v/>
      </c>
      <c r="AC82" s="363" t="str">
        <f t="shared" si="18"/>
        <v/>
      </c>
      <c r="AD82" s="358"/>
      <c r="AE82" s="359"/>
      <c r="AF82" s="360"/>
      <c r="AG82" s="364" t="str">
        <f t="shared" si="19"/>
        <v/>
      </c>
      <c r="AH82" s="362" t="str">
        <f t="shared" si="20"/>
        <v/>
      </c>
      <c r="AI82" s="365" t="str">
        <f t="shared" si="21"/>
        <v/>
      </c>
      <c r="AJ82" s="364" t="str">
        <f t="shared" si="22"/>
        <v/>
      </c>
      <c r="AK82" s="366" t="str">
        <f t="shared" si="23"/>
        <v/>
      </c>
      <c r="AL82" s="367" t="str">
        <f t="shared" si="12"/>
        <v/>
      </c>
      <c r="AM82" s="368" t="str">
        <f>IFERROR(_xlfn.XLOOKUP(AL82,HELPER!$C$7:$C$47,HELPER!$D$7:$D$47,,1),"")</f>
        <v/>
      </c>
    </row>
    <row r="83" hidden="1" spans="2:39">
      <c r="B83" s="402">
        <v>16</v>
      </c>
      <c r="C83" s="391" t="str">
        <f>IFERROR(IF(OR($B$8="INCORRECT SHEET. Do not use this sheet to input data.",'INPUT DATA'!S26=""),"",'INPUT DATA'!S26),"")</f>
        <v/>
      </c>
      <c r="D83" s="358"/>
      <c r="E83" s="359"/>
      <c r="F83" s="359"/>
      <c r="G83" s="359"/>
      <c r="H83" s="359"/>
      <c r="I83" s="359"/>
      <c r="J83" s="359"/>
      <c r="K83" s="359"/>
      <c r="L83" s="359"/>
      <c r="M83" s="360"/>
      <c r="N83" s="361" t="str">
        <f t="shared" si="13"/>
        <v/>
      </c>
      <c r="O83" s="362" t="str">
        <f t="shared" si="14"/>
        <v/>
      </c>
      <c r="P83" s="363" t="str">
        <f t="shared" si="15"/>
        <v/>
      </c>
      <c r="Q83" s="358"/>
      <c r="R83" s="359"/>
      <c r="S83" s="359"/>
      <c r="T83" s="359"/>
      <c r="U83" s="359"/>
      <c r="V83" s="359"/>
      <c r="W83" s="359"/>
      <c r="X83" s="359"/>
      <c r="Y83" s="359"/>
      <c r="Z83" s="360"/>
      <c r="AA83" s="361" t="str">
        <f t="shared" si="16"/>
        <v/>
      </c>
      <c r="AB83" s="362" t="str">
        <f t="shared" si="17"/>
        <v/>
      </c>
      <c r="AC83" s="363" t="str">
        <f t="shared" si="18"/>
        <v/>
      </c>
      <c r="AD83" s="358"/>
      <c r="AE83" s="359"/>
      <c r="AF83" s="360"/>
      <c r="AG83" s="364" t="str">
        <f t="shared" si="19"/>
        <v/>
      </c>
      <c r="AH83" s="362" t="str">
        <f t="shared" si="20"/>
        <v/>
      </c>
      <c r="AI83" s="365" t="str">
        <f t="shared" si="21"/>
        <v/>
      </c>
      <c r="AJ83" s="364" t="str">
        <f t="shared" si="22"/>
        <v/>
      </c>
      <c r="AK83" s="366" t="str">
        <f t="shared" si="23"/>
        <v/>
      </c>
      <c r="AL83" s="367" t="str">
        <f t="shared" si="12"/>
        <v/>
      </c>
      <c r="AM83" s="368" t="str">
        <f>IFERROR(_xlfn.XLOOKUP(AL83,HELPER!$C$7:$C$47,HELPER!$D$7:$D$47,,1),"")</f>
        <v/>
      </c>
    </row>
    <row r="84" hidden="1" spans="2:39">
      <c r="B84" s="402">
        <v>17</v>
      </c>
      <c r="C84" s="391" t="str">
        <f>IFERROR(IF(OR($B$8="INCORRECT SHEET. Do not use this sheet to input data.",'INPUT DATA'!S27=""),"",'INPUT DATA'!S27),"")</f>
        <v/>
      </c>
      <c r="D84" s="358"/>
      <c r="E84" s="359"/>
      <c r="F84" s="359"/>
      <c r="G84" s="359"/>
      <c r="H84" s="359"/>
      <c r="I84" s="359"/>
      <c r="J84" s="359"/>
      <c r="K84" s="359"/>
      <c r="L84" s="359"/>
      <c r="M84" s="360"/>
      <c r="N84" s="361" t="str">
        <f t="shared" si="13"/>
        <v/>
      </c>
      <c r="O84" s="362" t="str">
        <f t="shared" si="14"/>
        <v/>
      </c>
      <c r="P84" s="363" t="str">
        <f t="shared" si="15"/>
        <v/>
      </c>
      <c r="Q84" s="358"/>
      <c r="R84" s="359"/>
      <c r="S84" s="359"/>
      <c r="T84" s="359"/>
      <c r="U84" s="359"/>
      <c r="V84" s="359"/>
      <c r="W84" s="359"/>
      <c r="X84" s="359"/>
      <c r="Y84" s="359"/>
      <c r="Z84" s="360"/>
      <c r="AA84" s="361" t="str">
        <f t="shared" si="16"/>
        <v/>
      </c>
      <c r="AB84" s="362" t="str">
        <f t="shared" si="17"/>
        <v/>
      </c>
      <c r="AC84" s="363" t="str">
        <f t="shared" si="18"/>
        <v/>
      </c>
      <c r="AD84" s="358"/>
      <c r="AE84" s="359"/>
      <c r="AF84" s="360"/>
      <c r="AG84" s="364" t="str">
        <f t="shared" si="19"/>
        <v/>
      </c>
      <c r="AH84" s="362" t="str">
        <f t="shared" si="20"/>
        <v/>
      </c>
      <c r="AI84" s="365" t="str">
        <f t="shared" si="21"/>
        <v/>
      </c>
      <c r="AJ84" s="364" t="str">
        <f t="shared" si="22"/>
        <v/>
      </c>
      <c r="AK84" s="366" t="str">
        <f t="shared" si="23"/>
        <v/>
      </c>
      <c r="AL84" s="367" t="str">
        <f t="shared" si="12"/>
        <v/>
      </c>
      <c r="AM84" s="368" t="str">
        <f>IFERROR(_xlfn.XLOOKUP(AL84,HELPER!$C$7:$C$47,HELPER!$D$7:$D$47,,1),"")</f>
        <v/>
      </c>
    </row>
    <row r="85" hidden="1" spans="2:39">
      <c r="B85" s="402">
        <v>18</v>
      </c>
      <c r="C85" s="391" t="str">
        <f>IFERROR(IF(OR($B$8="INCORRECT SHEET. Do not use this sheet to input data.",'INPUT DATA'!S28=""),"",'INPUT DATA'!S28),"")</f>
        <v/>
      </c>
      <c r="D85" s="358"/>
      <c r="E85" s="359"/>
      <c r="F85" s="359"/>
      <c r="G85" s="359"/>
      <c r="H85" s="359"/>
      <c r="I85" s="359"/>
      <c r="J85" s="359"/>
      <c r="K85" s="359"/>
      <c r="L85" s="359"/>
      <c r="M85" s="360"/>
      <c r="N85" s="361" t="str">
        <f t="shared" si="13"/>
        <v/>
      </c>
      <c r="O85" s="362" t="str">
        <f t="shared" si="14"/>
        <v/>
      </c>
      <c r="P85" s="363" t="str">
        <f t="shared" si="15"/>
        <v/>
      </c>
      <c r="Q85" s="358"/>
      <c r="R85" s="359"/>
      <c r="S85" s="359"/>
      <c r="T85" s="359"/>
      <c r="U85" s="359"/>
      <c r="V85" s="359"/>
      <c r="W85" s="359"/>
      <c r="X85" s="359"/>
      <c r="Y85" s="359"/>
      <c r="Z85" s="360"/>
      <c r="AA85" s="361" t="str">
        <f t="shared" si="16"/>
        <v/>
      </c>
      <c r="AB85" s="362" t="str">
        <f t="shared" si="17"/>
        <v/>
      </c>
      <c r="AC85" s="363" t="str">
        <f t="shared" si="18"/>
        <v/>
      </c>
      <c r="AD85" s="358"/>
      <c r="AE85" s="359"/>
      <c r="AF85" s="360"/>
      <c r="AG85" s="364" t="str">
        <f t="shared" si="19"/>
        <v/>
      </c>
      <c r="AH85" s="362" t="str">
        <f t="shared" si="20"/>
        <v/>
      </c>
      <c r="AI85" s="365" t="str">
        <f t="shared" si="21"/>
        <v/>
      </c>
      <c r="AJ85" s="364" t="str">
        <f t="shared" si="22"/>
        <v/>
      </c>
      <c r="AK85" s="366" t="str">
        <f t="shared" si="23"/>
        <v/>
      </c>
      <c r="AL85" s="367" t="str">
        <f t="shared" si="12"/>
        <v/>
      </c>
      <c r="AM85" s="368" t="str">
        <f>IFERROR(_xlfn.XLOOKUP(AL85,HELPER!$C$7:$C$47,HELPER!$D$7:$D$47,,1),"")</f>
        <v/>
      </c>
    </row>
    <row r="86" hidden="1" spans="2:39">
      <c r="B86" s="402">
        <v>19</v>
      </c>
      <c r="C86" s="391" t="str">
        <f>IFERROR(IF(OR($B$8="INCORRECT SHEET. Do not use this sheet to input data.",'INPUT DATA'!S29=""),"",'INPUT DATA'!S29),"")</f>
        <v/>
      </c>
      <c r="D86" s="358"/>
      <c r="E86" s="359"/>
      <c r="F86" s="359"/>
      <c r="G86" s="359"/>
      <c r="H86" s="359"/>
      <c r="I86" s="359"/>
      <c r="J86" s="359"/>
      <c r="K86" s="359"/>
      <c r="L86" s="359"/>
      <c r="M86" s="360"/>
      <c r="N86" s="361" t="str">
        <f t="shared" si="13"/>
        <v/>
      </c>
      <c r="O86" s="362" t="str">
        <f t="shared" si="14"/>
        <v/>
      </c>
      <c r="P86" s="363" t="str">
        <f t="shared" si="15"/>
        <v/>
      </c>
      <c r="Q86" s="358"/>
      <c r="R86" s="359"/>
      <c r="S86" s="359"/>
      <c r="T86" s="359"/>
      <c r="U86" s="359"/>
      <c r="V86" s="359"/>
      <c r="W86" s="359"/>
      <c r="X86" s="359"/>
      <c r="Y86" s="359"/>
      <c r="Z86" s="360"/>
      <c r="AA86" s="361" t="str">
        <f t="shared" si="16"/>
        <v/>
      </c>
      <c r="AB86" s="362" t="str">
        <f t="shared" si="17"/>
        <v/>
      </c>
      <c r="AC86" s="363" t="str">
        <f t="shared" si="18"/>
        <v/>
      </c>
      <c r="AD86" s="358"/>
      <c r="AE86" s="359"/>
      <c r="AF86" s="360"/>
      <c r="AG86" s="364" t="str">
        <f t="shared" si="19"/>
        <v/>
      </c>
      <c r="AH86" s="362" t="str">
        <f t="shared" si="20"/>
        <v/>
      </c>
      <c r="AI86" s="365" t="str">
        <f t="shared" si="21"/>
        <v/>
      </c>
      <c r="AJ86" s="364" t="str">
        <f t="shared" si="22"/>
        <v/>
      </c>
      <c r="AK86" s="366" t="str">
        <f t="shared" si="23"/>
        <v/>
      </c>
      <c r="AL86" s="367" t="str">
        <f t="shared" si="12"/>
        <v/>
      </c>
      <c r="AM86" s="368" t="str">
        <f>IFERROR(_xlfn.XLOOKUP(AL86,HELPER!$C$7:$C$47,HELPER!$D$7:$D$47,,1),"")</f>
        <v/>
      </c>
    </row>
    <row r="87" hidden="1" spans="2:39">
      <c r="B87" s="402">
        <v>20</v>
      </c>
      <c r="C87" s="391" t="str">
        <f>IFERROR(IF(OR($B$8="INCORRECT SHEET. Do not use this sheet to input data.",'INPUT DATA'!S30=""),"",'INPUT DATA'!S30),"")</f>
        <v/>
      </c>
      <c r="D87" s="358"/>
      <c r="E87" s="359"/>
      <c r="F87" s="359"/>
      <c r="G87" s="359"/>
      <c r="H87" s="359"/>
      <c r="I87" s="359"/>
      <c r="J87" s="359"/>
      <c r="K87" s="359"/>
      <c r="L87" s="359"/>
      <c r="M87" s="360"/>
      <c r="N87" s="361" t="str">
        <f t="shared" si="13"/>
        <v/>
      </c>
      <c r="O87" s="362" t="str">
        <f t="shared" si="14"/>
        <v/>
      </c>
      <c r="P87" s="363" t="str">
        <f t="shared" si="15"/>
        <v/>
      </c>
      <c r="Q87" s="358"/>
      <c r="R87" s="359"/>
      <c r="S87" s="359"/>
      <c r="T87" s="359"/>
      <c r="U87" s="359"/>
      <c r="V87" s="359"/>
      <c r="W87" s="359"/>
      <c r="X87" s="359"/>
      <c r="Y87" s="359"/>
      <c r="Z87" s="360"/>
      <c r="AA87" s="361" t="str">
        <f t="shared" si="16"/>
        <v/>
      </c>
      <c r="AB87" s="362" t="str">
        <f t="shared" si="17"/>
        <v/>
      </c>
      <c r="AC87" s="363" t="str">
        <f t="shared" si="18"/>
        <v/>
      </c>
      <c r="AD87" s="358"/>
      <c r="AE87" s="359"/>
      <c r="AF87" s="360"/>
      <c r="AG87" s="364" t="str">
        <f t="shared" si="19"/>
        <v/>
      </c>
      <c r="AH87" s="362" t="str">
        <f t="shared" si="20"/>
        <v/>
      </c>
      <c r="AI87" s="365" t="str">
        <f t="shared" si="21"/>
        <v/>
      </c>
      <c r="AJ87" s="364" t="str">
        <f t="shared" si="22"/>
        <v/>
      </c>
      <c r="AK87" s="366" t="str">
        <f t="shared" si="23"/>
        <v/>
      </c>
      <c r="AL87" s="367" t="str">
        <f t="shared" si="12"/>
        <v/>
      </c>
      <c r="AM87" s="368" t="str">
        <f>IFERROR(_xlfn.XLOOKUP(AL87,HELPER!$C$7:$C$47,HELPER!$D$7:$D$47,,1),"")</f>
        <v/>
      </c>
    </row>
    <row r="88" hidden="1" spans="2:39">
      <c r="B88" s="402">
        <v>21</v>
      </c>
      <c r="C88" s="391" t="str">
        <f>IFERROR(IF(OR($B$8="INCORRECT SHEET. Do not use this sheet to input data.",'INPUT DATA'!S31=""),"",'INPUT DATA'!S31),"")</f>
        <v/>
      </c>
      <c r="D88" s="358"/>
      <c r="E88" s="359"/>
      <c r="F88" s="359"/>
      <c r="G88" s="359"/>
      <c r="H88" s="359"/>
      <c r="I88" s="359"/>
      <c r="J88" s="359"/>
      <c r="K88" s="359"/>
      <c r="L88" s="359"/>
      <c r="M88" s="360"/>
      <c r="N88" s="361" t="str">
        <f t="shared" si="13"/>
        <v/>
      </c>
      <c r="O88" s="362" t="str">
        <f t="shared" si="14"/>
        <v/>
      </c>
      <c r="P88" s="363" t="str">
        <f t="shared" si="15"/>
        <v/>
      </c>
      <c r="Q88" s="358"/>
      <c r="R88" s="359"/>
      <c r="S88" s="359"/>
      <c r="T88" s="359"/>
      <c r="U88" s="359"/>
      <c r="V88" s="359"/>
      <c r="W88" s="359"/>
      <c r="X88" s="359"/>
      <c r="Y88" s="359"/>
      <c r="Z88" s="360"/>
      <c r="AA88" s="361" t="str">
        <f t="shared" si="16"/>
        <v/>
      </c>
      <c r="AB88" s="362" t="str">
        <f t="shared" si="17"/>
        <v/>
      </c>
      <c r="AC88" s="363" t="str">
        <f t="shared" si="18"/>
        <v/>
      </c>
      <c r="AD88" s="358"/>
      <c r="AE88" s="359"/>
      <c r="AF88" s="360"/>
      <c r="AG88" s="364" t="str">
        <f t="shared" si="19"/>
        <v/>
      </c>
      <c r="AH88" s="362" t="str">
        <f t="shared" si="20"/>
        <v/>
      </c>
      <c r="AI88" s="365" t="str">
        <f t="shared" si="21"/>
        <v/>
      </c>
      <c r="AJ88" s="364" t="str">
        <f t="shared" si="22"/>
        <v/>
      </c>
      <c r="AK88" s="366" t="str">
        <f t="shared" si="23"/>
        <v/>
      </c>
      <c r="AL88" s="367" t="str">
        <f t="shared" si="12"/>
        <v/>
      </c>
      <c r="AM88" s="368" t="str">
        <f>IFERROR(_xlfn.XLOOKUP(AL88,HELPER!$C$7:$C$47,HELPER!$D$7:$D$47,,1),"")</f>
        <v/>
      </c>
    </row>
    <row r="89" hidden="1" spans="2:39">
      <c r="B89" s="402">
        <v>22</v>
      </c>
      <c r="C89" s="391" t="str">
        <f>IFERROR(IF(OR($B$8="INCORRECT SHEET. Do not use this sheet to input data.",'INPUT DATA'!S32=""),"",'INPUT DATA'!S32),"")</f>
        <v/>
      </c>
      <c r="D89" s="358"/>
      <c r="E89" s="359"/>
      <c r="F89" s="359"/>
      <c r="G89" s="359"/>
      <c r="H89" s="359"/>
      <c r="I89" s="359"/>
      <c r="J89" s="359"/>
      <c r="K89" s="359"/>
      <c r="L89" s="359"/>
      <c r="M89" s="360"/>
      <c r="N89" s="361" t="str">
        <f t="shared" si="13"/>
        <v/>
      </c>
      <c r="O89" s="362" t="str">
        <f t="shared" si="14"/>
        <v/>
      </c>
      <c r="P89" s="363" t="str">
        <f t="shared" si="15"/>
        <v/>
      </c>
      <c r="Q89" s="358"/>
      <c r="R89" s="359"/>
      <c r="S89" s="359"/>
      <c r="T89" s="359"/>
      <c r="U89" s="359"/>
      <c r="V89" s="359"/>
      <c r="W89" s="359"/>
      <c r="X89" s="359"/>
      <c r="Y89" s="359"/>
      <c r="Z89" s="360"/>
      <c r="AA89" s="361" t="str">
        <f t="shared" si="16"/>
        <v/>
      </c>
      <c r="AB89" s="362" t="str">
        <f t="shared" si="17"/>
        <v/>
      </c>
      <c r="AC89" s="363" t="str">
        <f t="shared" si="18"/>
        <v/>
      </c>
      <c r="AD89" s="358"/>
      <c r="AE89" s="359"/>
      <c r="AF89" s="360"/>
      <c r="AG89" s="364" t="str">
        <f t="shared" si="19"/>
        <v/>
      </c>
      <c r="AH89" s="362" t="str">
        <f t="shared" si="20"/>
        <v/>
      </c>
      <c r="AI89" s="365" t="str">
        <f t="shared" si="21"/>
        <v/>
      </c>
      <c r="AJ89" s="364" t="str">
        <f t="shared" si="22"/>
        <v/>
      </c>
      <c r="AK89" s="366" t="str">
        <f t="shared" si="23"/>
        <v/>
      </c>
      <c r="AL89" s="367" t="str">
        <f t="shared" si="12"/>
        <v/>
      </c>
      <c r="AM89" s="368" t="str">
        <f>IFERROR(_xlfn.XLOOKUP(AL89,HELPER!$C$7:$C$47,HELPER!$D$7:$D$47,,1),"")</f>
        <v/>
      </c>
    </row>
    <row r="90" hidden="1" spans="2:39">
      <c r="B90" s="402">
        <v>23</v>
      </c>
      <c r="C90" s="391" t="str">
        <f>IFERROR(IF(OR($B$8="INCORRECT SHEET. Do not use this sheet to input data.",'INPUT DATA'!S33=""),"",'INPUT DATA'!S33),"")</f>
        <v/>
      </c>
      <c r="D90" s="358"/>
      <c r="E90" s="359"/>
      <c r="F90" s="359"/>
      <c r="G90" s="359"/>
      <c r="H90" s="359"/>
      <c r="I90" s="359"/>
      <c r="J90" s="359"/>
      <c r="K90" s="359"/>
      <c r="L90" s="359"/>
      <c r="M90" s="360"/>
      <c r="N90" s="361" t="str">
        <f t="shared" si="13"/>
        <v/>
      </c>
      <c r="O90" s="362" t="str">
        <f t="shared" si="14"/>
        <v/>
      </c>
      <c r="P90" s="363" t="str">
        <f t="shared" si="15"/>
        <v/>
      </c>
      <c r="Q90" s="358"/>
      <c r="R90" s="359"/>
      <c r="S90" s="359"/>
      <c r="T90" s="359"/>
      <c r="U90" s="359"/>
      <c r="V90" s="359"/>
      <c r="W90" s="359"/>
      <c r="X90" s="359"/>
      <c r="Y90" s="359"/>
      <c r="Z90" s="360"/>
      <c r="AA90" s="361" t="str">
        <f t="shared" si="16"/>
        <v/>
      </c>
      <c r="AB90" s="362" t="str">
        <f t="shared" si="17"/>
        <v/>
      </c>
      <c r="AC90" s="363" t="str">
        <f t="shared" si="18"/>
        <v/>
      </c>
      <c r="AD90" s="358"/>
      <c r="AE90" s="359"/>
      <c r="AF90" s="360"/>
      <c r="AG90" s="364" t="str">
        <f t="shared" si="19"/>
        <v/>
      </c>
      <c r="AH90" s="362" t="str">
        <f t="shared" si="20"/>
        <v/>
      </c>
      <c r="AI90" s="365" t="str">
        <f t="shared" si="21"/>
        <v/>
      </c>
      <c r="AJ90" s="364" t="str">
        <f t="shared" si="22"/>
        <v/>
      </c>
      <c r="AK90" s="366" t="str">
        <f t="shared" si="23"/>
        <v/>
      </c>
      <c r="AL90" s="367" t="str">
        <f t="shared" si="12"/>
        <v/>
      </c>
      <c r="AM90" s="368" t="str">
        <f>IFERROR(_xlfn.XLOOKUP(AL90,HELPER!$C$7:$C$47,HELPER!$D$7:$D$47,,1),"")</f>
        <v/>
      </c>
    </row>
    <row r="91" hidden="1" spans="2:39">
      <c r="B91" s="402">
        <v>24</v>
      </c>
      <c r="C91" s="391" t="str">
        <f>IFERROR(IF(OR($B$8="INCORRECT SHEET. Do not use this sheet to input data.",'INPUT DATA'!S34=""),"",'INPUT DATA'!S34),"")</f>
        <v/>
      </c>
      <c r="D91" s="358"/>
      <c r="E91" s="359"/>
      <c r="F91" s="359"/>
      <c r="G91" s="359"/>
      <c r="H91" s="359"/>
      <c r="I91" s="359"/>
      <c r="J91" s="359"/>
      <c r="K91" s="359"/>
      <c r="L91" s="359"/>
      <c r="M91" s="360"/>
      <c r="N91" s="361" t="str">
        <f t="shared" si="13"/>
        <v/>
      </c>
      <c r="O91" s="362" t="str">
        <f t="shared" si="14"/>
        <v/>
      </c>
      <c r="P91" s="363" t="str">
        <f t="shared" si="15"/>
        <v/>
      </c>
      <c r="Q91" s="358"/>
      <c r="R91" s="359"/>
      <c r="S91" s="359"/>
      <c r="T91" s="359"/>
      <c r="U91" s="359"/>
      <c r="V91" s="359"/>
      <c r="W91" s="359"/>
      <c r="X91" s="359"/>
      <c r="Y91" s="359"/>
      <c r="Z91" s="360"/>
      <c r="AA91" s="361" t="str">
        <f t="shared" si="16"/>
        <v/>
      </c>
      <c r="AB91" s="362" t="str">
        <f t="shared" si="17"/>
        <v/>
      </c>
      <c r="AC91" s="363" t="str">
        <f t="shared" si="18"/>
        <v/>
      </c>
      <c r="AD91" s="358"/>
      <c r="AE91" s="359"/>
      <c r="AF91" s="360"/>
      <c r="AG91" s="364" t="str">
        <f t="shared" si="19"/>
        <v/>
      </c>
      <c r="AH91" s="362" t="str">
        <f t="shared" si="20"/>
        <v/>
      </c>
      <c r="AI91" s="365" t="str">
        <f t="shared" si="21"/>
        <v/>
      </c>
      <c r="AJ91" s="364" t="str">
        <f t="shared" si="22"/>
        <v/>
      </c>
      <c r="AK91" s="366" t="str">
        <f t="shared" si="23"/>
        <v/>
      </c>
      <c r="AL91" s="367" t="str">
        <f t="shared" si="12"/>
        <v/>
      </c>
      <c r="AM91" s="368" t="str">
        <f>IFERROR(_xlfn.XLOOKUP(AL91,HELPER!$C$7:$C$47,HELPER!$D$7:$D$47,,1),"")</f>
        <v/>
      </c>
    </row>
    <row r="92" hidden="1" spans="2:39">
      <c r="B92" s="402">
        <v>25</v>
      </c>
      <c r="C92" s="391" t="str">
        <f>IFERROR(IF(OR($B$8="INCORRECT SHEET. Do not use this sheet to input data.",'INPUT DATA'!S35=""),"",'INPUT DATA'!S35),"")</f>
        <v/>
      </c>
      <c r="D92" s="358"/>
      <c r="E92" s="359"/>
      <c r="F92" s="359"/>
      <c r="G92" s="359"/>
      <c r="H92" s="359"/>
      <c r="I92" s="359"/>
      <c r="J92" s="359"/>
      <c r="K92" s="359"/>
      <c r="L92" s="359"/>
      <c r="M92" s="360"/>
      <c r="N92" s="361" t="str">
        <f t="shared" si="13"/>
        <v/>
      </c>
      <c r="O92" s="362" t="str">
        <f t="shared" si="14"/>
        <v/>
      </c>
      <c r="P92" s="363" t="str">
        <f t="shared" si="15"/>
        <v/>
      </c>
      <c r="Q92" s="358"/>
      <c r="R92" s="359"/>
      <c r="S92" s="359"/>
      <c r="T92" s="359"/>
      <c r="U92" s="359"/>
      <c r="V92" s="359"/>
      <c r="W92" s="359"/>
      <c r="X92" s="359"/>
      <c r="Y92" s="359"/>
      <c r="Z92" s="360"/>
      <c r="AA92" s="361" t="str">
        <f t="shared" si="16"/>
        <v/>
      </c>
      <c r="AB92" s="362" t="str">
        <f t="shared" si="17"/>
        <v/>
      </c>
      <c r="AC92" s="363" t="str">
        <f t="shared" si="18"/>
        <v/>
      </c>
      <c r="AD92" s="358"/>
      <c r="AE92" s="359"/>
      <c r="AF92" s="360"/>
      <c r="AG92" s="364" t="str">
        <f t="shared" si="19"/>
        <v/>
      </c>
      <c r="AH92" s="362" t="str">
        <f t="shared" si="20"/>
        <v/>
      </c>
      <c r="AI92" s="365" t="str">
        <f t="shared" si="21"/>
        <v/>
      </c>
      <c r="AJ92" s="364" t="str">
        <f t="shared" si="22"/>
        <v/>
      </c>
      <c r="AK92" s="366" t="str">
        <f t="shared" si="23"/>
        <v/>
      </c>
      <c r="AL92" s="367" t="str">
        <f t="shared" si="12"/>
        <v/>
      </c>
      <c r="AM92" s="368" t="str">
        <f>IFERROR(_xlfn.XLOOKUP(AL92,HELPER!$C$7:$C$47,HELPER!$D$7:$D$47,,1),"")</f>
        <v/>
      </c>
    </row>
    <row r="93" hidden="1" spans="2:39">
      <c r="B93" s="402">
        <v>26</v>
      </c>
      <c r="C93" s="391" t="str">
        <f>IFERROR(IF(OR($B$8="INCORRECT SHEET. Do not use this sheet to input data.",'INPUT DATA'!S36=""),"",'INPUT DATA'!S36),"")</f>
        <v/>
      </c>
      <c r="D93" s="358"/>
      <c r="E93" s="359"/>
      <c r="F93" s="359"/>
      <c r="G93" s="359"/>
      <c r="H93" s="359"/>
      <c r="I93" s="359"/>
      <c r="J93" s="359"/>
      <c r="K93" s="359"/>
      <c r="L93" s="359"/>
      <c r="M93" s="360"/>
      <c r="N93" s="361" t="str">
        <f t="shared" si="13"/>
        <v/>
      </c>
      <c r="O93" s="362" t="str">
        <f t="shared" si="14"/>
        <v/>
      </c>
      <c r="P93" s="363" t="str">
        <f t="shared" si="15"/>
        <v/>
      </c>
      <c r="Q93" s="358"/>
      <c r="R93" s="359"/>
      <c r="S93" s="359"/>
      <c r="T93" s="359"/>
      <c r="U93" s="359"/>
      <c r="V93" s="359"/>
      <c r="W93" s="359"/>
      <c r="X93" s="359"/>
      <c r="Y93" s="359"/>
      <c r="Z93" s="360"/>
      <c r="AA93" s="361" t="str">
        <f t="shared" si="16"/>
        <v/>
      </c>
      <c r="AB93" s="362" t="str">
        <f t="shared" si="17"/>
        <v/>
      </c>
      <c r="AC93" s="363" t="str">
        <f t="shared" si="18"/>
        <v/>
      </c>
      <c r="AD93" s="358"/>
      <c r="AE93" s="359"/>
      <c r="AF93" s="360"/>
      <c r="AG93" s="364" t="str">
        <f t="shared" si="19"/>
        <v/>
      </c>
      <c r="AH93" s="362" t="str">
        <f t="shared" si="20"/>
        <v/>
      </c>
      <c r="AI93" s="365" t="str">
        <f t="shared" si="21"/>
        <v/>
      </c>
      <c r="AJ93" s="364" t="str">
        <f t="shared" si="22"/>
        <v/>
      </c>
      <c r="AK93" s="366" t="str">
        <f t="shared" si="23"/>
        <v/>
      </c>
      <c r="AL93" s="367" t="str">
        <f t="shared" si="12"/>
        <v/>
      </c>
      <c r="AM93" s="368" t="str">
        <f>IFERROR(_xlfn.XLOOKUP(AL93,HELPER!$C$7:$C$47,HELPER!$D$7:$D$47,,1),"")</f>
        <v/>
      </c>
    </row>
    <row r="94" hidden="1" spans="2:39">
      <c r="B94" s="402">
        <v>27</v>
      </c>
      <c r="C94" s="391" t="str">
        <f>IFERROR(IF(OR($B$8="INCORRECT SHEET. Do not use this sheet to input data.",'INPUT DATA'!S37=""),"",'INPUT DATA'!S37),"")</f>
        <v/>
      </c>
      <c r="D94" s="358"/>
      <c r="E94" s="359"/>
      <c r="F94" s="359"/>
      <c r="G94" s="359"/>
      <c r="H94" s="359"/>
      <c r="I94" s="359"/>
      <c r="J94" s="359"/>
      <c r="K94" s="359"/>
      <c r="L94" s="359"/>
      <c r="M94" s="360"/>
      <c r="N94" s="361" t="str">
        <f t="shared" si="13"/>
        <v/>
      </c>
      <c r="O94" s="362" t="str">
        <f t="shared" si="14"/>
        <v/>
      </c>
      <c r="P94" s="363" t="str">
        <f t="shared" si="15"/>
        <v/>
      </c>
      <c r="Q94" s="358"/>
      <c r="R94" s="359"/>
      <c r="S94" s="359"/>
      <c r="T94" s="359"/>
      <c r="U94" s="359"/>
      <c r="V94" s="359"/>
      <c r="W94" s="359"/>
      <c r="X94" s="359"/>
      <c r="Y94" s="359"/>
      <c r="Z94" s="360"/>
      <c r="AA94" s="361" t="str">
        <f t="shared" si="16"/>
        <v/>
      </c>
      <c r="AB94" s="362" t="str">
        <f t="shared" si="17"/>
        <v/>
      </c>
      <c r="AC94" s="363" t="str">
        <f t="shared" si="18"/>
        <v/>
      </c>
      <c r="AD94" s="358"/>
      <c r="AE94" s="359"/>
      <c r="AF94" s="360"/>
      <c r="AG94" s="364" t="str">
        <f t="shared" si="19"/>
        <v/>
      </c>
      <c r="AH94" s="362" t="str">
        <f t="shared" si="20"/>
        <v/>
      </c>
      <c r="AI94" s="365" t="str">
        <f t="shared" si="21"/>
        <v/>
      </c>
      <c r="AJ94" s="364" t="str">
        <f t="shared" si="22"/>
        <v/>
      </c>
      <c r="AK94" s="366" t="str">
        <f t="shared" si="23"/>
        <v/>
      </c>
      <c r="AL94" s="367" t="str">
        <f t="shared" si="12"/>
        <v/>
      </c>
      <c r="AM94" s="368" t="str">
        <f>IFERROR(_xlfn.XLOOKUP(AL94,HELPER!$C$7:$C$47,HELPER!$D$7:$D$47,,1),"")</f>
        <v/>
      </c>
    </row>
    <row r="95" hidden="1" spans="2:39">
      <c r="B95" s="402">
        <v>28</v>
      </c>
      <c r="C95" s="391" t="str">
        <f>IFERROR(IF(OR($B$8="INCORRECT SHEET. Do not use this sheet to input data.",'INPUT DATA'!S38=""),"",'INPUT DATA'!S38),"")</f>
        <v/>
      </c>
      <c r="D95" s="358"/>
      <c r="E95" s="359"/>
      <c r="F95" s="359"/>
      <c r="G95" s="359"/>
      <c r="H95" s="359"/>
      <c r="I95" s="359"/>
      <c r="J95" s="359"/>
      <c r="K95" s="359"/>
      <c r="L95" s="359"/>
      <c r="M95" s="360"/>
      <c r="N95" s="361" t="str">
        <f t="shared" si="13"/>
        <v/>
      </c>
      <c r="O95" s="362" t="str">
        <f t="shared" si="14"/>
        <v/>
      </c>
      <c r="P95" s="363" t="str">
        <f t="shared" si="15"/>
        <v/>
      </c>
      <c r="Q95" s="358"/>
      <c r="R95" s="359"/>
      <c r="S95" s="359"/>
      <c r="T95" s="359"/>
      <c r="U95" s="359"/>
      <c r="V95" s="359"/>
      <c r="W95" s="359"/>
      <c r="X95" s="359"/>
      <c r="Y95" s="359"/>
      <c r="Z95" s="360"/>
      <c r="AA95" s="361" t="str">
        <f t="shared" si="16"/>
        <v/>
      </c>
      <c r="AB95" s="362" t="str">
        <f t="shared" si="17"/>
        <v/>
      </c>
      <c r="AC95" s="363" t="str">
        <f t="shared" si="18"/>
        <v/>
      </c>
      <c r="AD95" s="358"/>
      <c r="AE95" s="359"/>
      <c r="AF95" s="360"/>
      <c r="AG95" s="364" t="str">
        <f t="shared" si="19"/>
        <v/>
      </c>
      <c r="AH95" s="362" t="str">
        <f t="shared" si="20"/>
        <v/>
      </c>
      <c r="AI95" s="365" t="str">
        <f t="shared" si="21"/>
        <v/>
      </c>
      <c r="AJ95" s="364" t="str">
        <f t="shared" si="22"/>
        <v/>
      </c>
      <c r="AK95" s="366" t="str">
        <f t="shared" si="23"/>
        <v/>
      </c>
      <c r="AL95" s="367" t="str">
        <f t="shared" si="12"/>
        <v/>
      </c>
      <c r="AM95" s="368" t="str">
        <f>IFERROR(_xlfn.XLOOKUP(AL95,HELPER!$C$7:$C$47,HELPER!$D$7:$D$47,,1),"")</f>
        <v/>
      </c>
    </row>
    <row r="96" hidden="1" spans="2:39">
      <c r="B96" s="402">
        <v>29</v>
      </c>
      <c r="C96" s="391" t="str">
        <f>IFERROR(IF(OR($B$8="INCORRECT SHEET. Do not use this sheet to input data.",'INPUT DATA'!S39=""),"",'INPUT DATA'!S39),"")</f>
        <v/>
      </c>
      <c r="D96" s="358"/>
      <c r="E96" s="359"/>
      <c r="F96" s="359"/>
      <c r="G96" s="359"/>
      <c r="H96" s="359"/>
      <c r="I96" s="359"/>
      <c r="J96" s="359"/>
      <c r="K96" s="359"/>
      <c r="L96" s="359"/>
      <c r="M96" s="360"/>
      <c r="N96" s="361" t="str">
        <f t="shared" si="13"/>
        <v/>
      </c>
      <c r="O96" s="362" t="str">
        <f t="shared" si="14"/>
        <v/>
      </c>
      <c r="P96" s="363" t="str">
        <f t="shared" si="15"/>
        <v/>
      </c>
      <c r="Q96" s="358"/>
      <c r="R96" s="359"/>
      <c r="S96" s="359"/>
      <c r="T96" s="359"/>
      <c r="U96" s="359"/>
      <c r="V96" s="359"/>
      <c r="W96" s="359"/>
      <c r="X96" s="359"/>
      <c r="Y96" s="359"/>
      <c r="Z96" s="360"/>
      <c r="AA96" s="361" t="str">
        <f t="shared" si="16"/>
        <v/>
      </c>
      <c r="AB96" s="362" t="str">
        <f t="shared" si="17"/>
        <v/>
      </c>
      <c r="AC96" s="363" t="str">
        <f t="shared" si="18"/>
        <v/>
      </c>
      <c r="AD96" s="358"/>
      <c r="AE96" s="359"/>
      <c r="AF96" s="360"/>
      <c r="AG96" s="364" t="str">
        <f t="shared" si="19"/>
        <v/>
      </c>
      <c r="AH96" s="362" t="str">
        <f t="shared" si="20"/>
        <v/>
      </c>
      <c r="AI96" s="365" t="str">
        <f t="shared" si="21"/>
        <v/>
      </c>
      <c r="AJ96" s="364" t="str">
        <f t="shared" si="22"/>
        <v/>
      </c>
      <c r="AK96" s="366" t="str">
        <f t="shared" si="23"/>
        <v/>
      </c>
      <c r="AL96" s="367" t="str">
        <f t="shared" si="12"/>
        <v/>
      </c>
      <c r="AM96" s="368" t="str">
        <f>IFERROR(_xlfn.XLOOKUP(AL96,HELPER!$C$7:$C$47,HELPER!$D$7:$D$47,,1),"")</f>
        <v/>
      </c>
    </row>
    <row r="97" hidden="1" spans="2:39">
      <c r="B97" s="402">
        <v>30</v>
      </c>
      <c r="C97" s="391" t="str">
        <f>IFERROR(IF(OR($B$8="INCORRECT SHEET. Do not use this sheet to input data.",'INPUT DATA'!S40=""),"",'INPUT DATA'!S40),"")</f>
        <v/>
      </c>
      <c r="D97" s="358"/>
      <c r="E97" s="359"/>
      <c r="F97" s="359"/>
      <c r="G97" s="359"/>
      <c r="H97" s="359"/>
      <c r="I97" s="359"/>
      <c r="J97" s="359"/>
      <c r="K97" s="359"/>
      <c r="L97" s="359"/>
      <c r="M97" s="360"/>
      <c r="N97" s="361" t="str">
        <f t="shared" si="13"/>
        <v/>
      </c>
      <c r="O97" s="362" t="str">
        <f t="shared" si="14"/>
        <v/>
      </c>
      <c r="P97" s="363" t="str">
        <f t="shared" si="15"/>
        <v/>
      </c>
      <c r="Q97" s="358"/>
      <c r="R97" s="359"/>
      <c r="S97" s="359"/>
      <c r="T97" s="359"/>
      <c r="U97" s="359"/>
      <c r="V97" s="359"/>
      <c r="W97" s="359"/>
      <c r="X97" s="359"/>
      <c r="Y97" s="359"/>
      <c r="Z97" s="360"/>
      <c r="AA97" s="361" t="str">
        <f t="shared" si="16"/>
        <v/>
      </c>
      <c r="AB97" s="362" t="str">
        <f t="shared" si="17"/>
        <v/>
      </c>
      <c r="AC97" s="363" t="str">
        <f t="shared" si="18"/>
        <v/>
      </c>
      <c r="AD97" s="358"/>
      <c r="AE97" s="359"/>
      <c r="AF97" s="360"/>
      <c r="AG97" s="364" t="str">
        <f t="shared" si="19"/>
        <v/>
      </c>
      <c r="AH97" s="362" t="str">
        <f t="shared" si="20"/>
        <v/>
      </c>
      <c r="AI97" s="365" t="str">
        <f t="shared" si="21"/>
        <v/>
      </c>
      <c r="AJ97" s="364" t="str">
        <f t="shared" si="22"/>
        <v/>
      </c>
      <c r="AK97" s="366" t="str">
        <f t="shared" si="23"/>
        <v/>
      </c>
      <c r="AL97" s="367" t="str">
        <f t="shared" si="12"/>
        <v/>
      </c>
      <c r="AM97" s="368" t="str">
        <f>IFERROR(_xlfn.XLOOKUP(AL97,HELPER!$C$7:$C$47,HELPER!$D$7:$D$47,,1),"")</f>
        <v/>
      </c>
    </row>
    <row r="98" hidden="1" spans="2:39">
      <c r="B98" s="402">
        <v>31</v>
      </c>
      <c r="C98" s="391" t="str">
        <f>IFERROR(IF(OR($B$8="INCORRECT SHEET. Do not use this sheet to input data.",'INPUT DATA'!S41=""),"",'INPUT DATA'!S41),"")</f>
        <v/>
      </c>
      <c r="D98" s="358"/>
      <c r="E98" s="359"/>
      <c r="F98" s="359"/>
      <c r="G98" s="359"/>
      <c r="H98" s="359"/>
      <c r="I98" s="359"/>
      <c r="J98" s="359"/>
      <c r="K98" s="359"/>
      <c r="L98" s="359"/>
      <c r="M98" s="360"/>
      <c r="N98" s="361" t="str">
        <f t="shared" si="13"/>
        <v/>
      </c>
      <c r="O98" s="362" t="str">
        <f t="shared" si="14"/>
        <v/>
      </c>
      <c r="P98" s="363" t="str">
        <f t="shared" si="15"/>
        <v/>
      </c>
      <c r="Q98" s="358"/>
      <c r="R98" s="359"/>
      <c r="S98" s="359"/>
      <c r="T98" s="359"/>
      <c r="U98" s="359"/>
      <c r="V98" s="359"/>
      <c r="W98" s="359"/>
      <c r="X98" s="359"/>
      <c r="Y98" s="359"/>
      <c r="Z98" s="360"/>
      <c r="AA98" s="361" t="str">
        <f t="shared" si="16"/>
        <v/>
      </c>
      <c r="AB98" s="362" t="str">
        <f t="shared" si="17"/>
        <v/>
      </c>
      <c r="AC98" s="363" t="str">
        <f t="shared" si="18"/>
        <v/>
      </c>
      <c r="AD98" s="358"/>
      <c r="AE98" s="359"/>
      <c r="AF98" s="360"/>
      <c r="AG98" s="364" t="str">
        <f t="shared" si="19"/>
        <v/>
      </c>
      <c r="AH98" s="362" t="str">
        <f t="shared" si="20"/>
        <v/>
      </c>
      <c r="AI98" s="365" t="str">
        <f t="shared" si="21"/>
        <v/>
      </c>
      <c r="AJ98" s="364" t="str">
        <f t="shared" si="22"/>
        <v/>
      </c>
      <c r="AK98" s="366" t="str">
        <f t="shared" si="23"/>
        <v/>
      </c>
      <c r="AL98" s="367" t="str">
        <f t="shared" si="12"/>
        <v/>
      </c>
      <c r="AM98" s="368" t="str">
        <f>IFERROR(_xlfn.XLOOKUP(AL98,HELPER!$C$7:$C$47,HELPER!$D$7:$D$47,,1),"")</f>
        <v/>
      </c>
    </row>
    <row r="99" hidden="1" spans="2:39">
      <c r="B99" s="402">
        <v>32</v>
      </c>
      <c r="C99" s="391" t="str">
        <f>IFERROR(IF(OR($B$8="INCORRECT SHEET. Do not use this sheet to input data.",'INPUT DATA'!S42=""),"",'INPUT DATA'!S42),"")</f>
        <v/>
      </c>
      <c r="D99" s="358"/>
      <c r="E99" s="359"/>
      <c r="F99" s="359"/>
      <c r="G99" s="359"/>
      <c r="H99" s="359"/>
      <c r="I99" s="359"/>
      <c r="J99" s="359"/>
      <c r="K99" s="359"/>
      <c r="L99" s="359"/>
      <c r="M99" s="360"/>
      <c r="N99" s="361" t="str">
        <f t="shared" si="13"/>
        <v/>
      </c>
      <c r="O99" s="362" t="str">
        <f t="shared" si="14"/>
        <v/>
      </c>
      <c r="P99" s="363" t="str">
        <f t="shared" si="15"/>
        <v/>
      </c>
      <c r="Q99" s="358"/>
      <c r="R99" s="359"/>
      <c r="S99" s="359"/>
      <c r="T99" s="359"/>
      <c r="U99" s="359"/>
      <c r="V99" s="359"/>
      <c r="W99" s="359"/>
      <c r="X99" s="359"/>
      <c r="Y99" s="359"/>
      <c r="Z99" s="360"/>
      <c r="AA99" s="361" t="str">
        <f t="shared" si="16"/>
        <v/>
      </c>
      <c r="AB99" s="362" t="str">
        <f t="shared" si="17"/>
        <v/>
      </c>
      <c r="AC99" s="363" t="str">
        <f t="shared" si="18"/>
        <v/>
      </c>
      <c r="AD99" s="358"/>
      <c r="AE99" s="359"/>
      <c r="AF99" s="360"/>
      <c r="AG99" s="364" t="str">
        <f t="shared" si="19"/>
        <v/>
      </c>
      <c r="AH99" s="362" t="str">
        <f t="shared" si="20"/>
        <v/>
      </c>
      <c r="AI99" s="365" t="str">
        <f t="shared" si="21"/>
        <v/>
      </c>
      <c r="AJ99" s="364" t="str">
        <f t="shared" si="22"/>
        <v/>
      </c>
      <c r="AK99" s="366" t="str">
        <f t="shared" si="23"/>
        <v/>
      </c>
      <c r="AL99" s="367" t="str">
        <f t="shared" si="12"/>
        <v/>
      </c>
      <c r="AM99" s="368" t="str">
        <f>IFERROR(_xlfn.XLOOKUP(AL99,HELPER!$C$7:$C$47,HELPER!$D$7:$D$47,,1),"")</f>
        <v/>
      </c>
    </row>
    <row r="100" hidden="1" spans="2:39">
      <c r="B100" s="402">
        <v>33</v>
      </c>
      <c r="C100" s="391" t="str">
        <f>IFERROR(IF(OR($B$8="INCORRECT SHEET. Do not use this sheet to input data.",'INPUT DATA'!S43=""),"",'INPUT DATA'!S43),"")</f>
        <v/>
      </c>
      <c r="D100" s="358"/>
      <c r="E100" s="359"/>
      <c r="F100" s="359"/>
      <c r="G100" s="359"/>
      <c r="H100" s="359"/>
      <c r="I100" s="359"/>
      <c r="J100" s="359"/>
      <c r="K100" s="359"/>
      <c r="L100" s="359"/>
      <c r="M100" s="360"/>
      <c r="N100" s="361" t="str">
        <f t="shared" si="13"/>
        <v/>
      </c>
      <c r="O100" s="362" t="str">
        <f t="shared" si="14"/>
        <v/>
      </c>
      <c r="P100" s="363" t="str">
        <f t="shared" si="15"/>
        <v/>
      </c>
      <c r="Q100" s="358"/>
      <c r="R100" s="359"/>
      <c r="S100" s="359"/>
      <c r="T100" s="359"/>
      <c r="U100" s="359"/>
      <c r="V100" s="359"/>
      <c r="W100" s="359"/>
      <c r="X100" s="359"/>
      <c r="Y100" s="359"/>
      <c r="Z100" s="360"/>
      <c r="AA100" s="361" t="str">
        <f t="shared" si="16"/>
        <v/>
      </c>
      <c r="AB100" s="362" t="str">
        <f t="shared" si="17"/>
        <v/>
      </c>
      <c r="AC100" s="363" t="str">
        <f t="shared" si="18"/>
        <v/>
      </c>
      <c r="AD100" s="358"/>
      <c r="AE100" s="359"/>
      <c r="AF100" s="360"/>
      <c r="AG100" s="364" t="str">
        <f t="shared" si="19"/>
        <v/>
      </c>
      <c r="AH100" s="362" t="str">
        <f t="shared" si="20"/>
        <v/>
      </c>
      <c r="AI100" s="365" t="str">
        <f t="shared" si="21"/>
        <v/>
      </c>
      <c r="AJ100" s="364" t="str">
        <f t="shared" si="22"/>
        <v/>
      </c>
      <c r="AK100" s="366" t="str">
        <f t="shared" si="23"/>
        <v/>
      </c>
      <c r="AL100" s="367" t="str">
        <f t="shared" si="12"/>
        <v/>
      </c>
      <c r="AM100" s="368" t="str">
        <f>IFERROR(_xlfn.XLOOKUP(AL100,HELPER!$C$7:$C$47,HELPER!$D$7:$D$47,,1),"")</f>
        <v/>
      </c>
    </row>
    <row r="101" hidden="1" spans="2:39">
      <c r="B101" s="402">
        <v>34</v>
      </c>
      <c r="C101" s="391" t="str">
        <f>IFERROR(IF(OR($B$8="INCORRECT SHEET. Do not use this sheet to input data.",'INPUT DATA'!S44=""),"",'INPUT DATA'!S44),"")</f>
        <v/>
      </c>
      <c r="D101" s="358"/>
      <c r="E101" s="359"/>
      <c r="F101" s="359"/>
      <c r="G101" s="359"/>
      <c r="H101" s="359"/>
      <c r="I101" s="359"/>
      <c r="J101" s="359"/>
      <c r="K101" s="359"/>
      <c r="L101" s="359"/>
      <c r="M101" s="360"/>
      <c r="N101" s="361" t="str">
        <f t="shared" si="13"/>
        <v/>
      </c>
      <c r="O101" s="362" t="str">
        <f t="shared" si="14"/>
        <v/>
      </c>
      <c r="P101" s="363" t="str">
        <f t="shared" si="15"/>
        <v/>
      </c>
      <c r="Q101" s="358"/>
      <c r="R101" s="359"/>
      <c r="S101" s="359"/>
      <c r="T101" s="359"/>
      <c r="U101" s="359"/>
      <c r="V101" s="359"/>
      <c r="W101" s="359"/>
      <c r="X101" s="359"/>
      <c r="Y101" s="359"/>
      <c r="Z101" s="360"/>
      <c r="AA101" s="361" t="str">
        <f t="shared" si="16"/>
        <v/>
      </c>
      <c r="AB101" s="362" t="str">
        <f t="shared" si="17"/>
        <v/>
      </c>
      <c r="AC101" s="363" t="str">
        <f t="shared" si="18"/>
        <v/>
      </c>
      <c r="AD101" s="358"/>
      <c r="AE101" s="359"/>
      <c r="AF101" s="360"/>
      <c r="AG101" s="364" t="str">
        <f t="shared" si="19"/>
        <v/>
      </c>
      <c r="AH101" s="362" t="str">
        <f t="shared" si="20"/>
        <v/>
      </c>
      <c r="AI101" s="365" t="str">
        <f t="shared" si="21"/>
        <v/>
      </c>
      <c r="AJ101" s="364" t="str">
        <f t="shared" si="22"/>
        <v/>
      </c>
      <c r="AK101" s="366" t="str">
        <f t="shared" si="23"/>
        <v/>
      </c>
      <c r="AL101" s="367" t="str">
        <f t="shared" si="12"/>
        <v/>
      </c>
      <c r="AM101" s="368" t="str">
        <f>IFERROR(_xlfn.XLOOKUP(AL101,HELPER!$C$7:$C$47,HELPER!$D$7:$D$47,,1),"")</f>
        <v/>
      </c>
    </row>
    <row r="102" hidden="1" spans="2:39">
      <c r="B102" s="402">
        <v>35</v>
      </c>
      <c r="C102" s="391" t="str">
        <f>IFERROR(IF(OR($B$8="INCORRECT SHEET. Do not use this sheet to input data.",'INPUT DATA'!S45=""),"",'INPUT DATA'!S45),"")</f>
        <v/>
      </c>
      <c r="D102" s="358"/>
      <c r="E102" s="359"/>
      <c r="F102" s="359"/>
      <c r="G102" s="359"/>
      <c r="H102" s="359"/>
      <c r="I102" s="359"/>
      <c r="J102" s="359"/>
      <c r="K102" s="359"/>
      <c r="L102" s="359"/>
      <c r="M102" s="360"/>
      <c r="N102" s="361" t="str">
        <f t="shared" si="13"/>
        <v/>
      </c>
      <c r="O102" s="362" t="str">
        <f t="shared" si="14"/>
        <v/>
      </c>
      <c r="P102" s="363" t="str">
        <f t="shared" si="15"/>
        <v/>
      </c>
      <c r="Q102" s="358"/>
      <c r="R102" s="359"/>
      <c r="S102" s="359"/>
      <c r="T102" s="359"/>
      <c r="U102" s="359"/>
      <c r="V102" s="359"/>
      <c r="W102" s="359"/>
      <c r="X102" s="359"/>
      <c r="Y102" s="359"/>
      <c r="Z102" s="360"/>
      <c r="AA102" s="361" t="str">
        <f t="shared" si="16"/>
        <v/>
      </c>
      <c r="AB102" s="362" t="str">
        <f t="shared" si="17"/>
        <v/>
      </c>
      <c r="AC102" s="363" t="str">
        <f t="shared" si="18"/>
        <v/>
      </c>
      <c r="AD102" s="358"/>
      <c r="AE102" s="359"/>
      <c r="AF102" s="360"/>
      <c r="AG102" s="364" t="str">
        <f t="shared" si="19"/>
        <v/>
      </c>
      <c r="AH102" s="362" t="str">
        <f t="shared" si="20"/>
        <v/>
      </c>
      <c r="AI102" s="365" t="str">
        <f t="shared" si="21"/>
        <v/>
      </c>
      <c r="AJ102" s="364" t="str">
        <f t="shared" si="22"/>
        <v/>
      </c>
      <c r="AK102" s="366" t="str">
        <f t="shared" si="23"/>
        <v/>
      </c>
      <c r="AL102" s="367" t="str">
        <f t="shared" si="12"/>
        <v/>
      </c>
      <c r="AM102" s="368" t="str">
        <f>IFERROR(_xlfn.XLOOKUP(AL102,HELPER!$C$7:$C$47,HELPER!$D$7:$D$47,,1),"")</f>
        <v/>
      </c>
    </row>
    <row r="103" hidden="1" spans="2:39">
      <c r="B103" s="402">
        <v>36</v>
      </c>
      <c r="C103" s="391" t="str">
        <f>IFERROR(IF(OR($B$8="INCORRECT SHEET. Do not use this sheet to input data.",'INPUT DATA'!S46=""),"",'INPUT DATA'!S46),"")</f>
        <v/>
      </c>
      <c r="D103" s="358"/>
      <c r="E103" s="359"/>
      <c r="F103" s="359"/>
      <c r="G103" s="359"/>
      <c r="H103" s="359"/>
      <c r="I103" s="359"/>
      <c r="J103" s="359"/>
      <c r="K103" s="359"/>
      <c r="L103" s="359"/>
      <c r="M103" s="360"/>
      <c r="N103" s="361" t="str">
        <f t="shared" si="13"/>
        <v/>
      </c>
      <c r="O103" s="362" t="str">
        <f t="shared" si="14"/>
        <v/>
      </c>
      <c r="P103" s="363" t="str">
        <f t="shared" si="15"/>
        <v/>
      </c>
      <c r="Q103" s="358"/>
      <c r="R103" s="359"/>
      <c r="S103" s="359"/>
      <c r="T103" s="359"/>
      <c r="U103" s="359"/>
      <c r="V103" s="359"/>
      <c r="W103" s="359"/>
      <c r="X103" s="359"/>
      <c r="Y103" s="359"/>
      <c r="Z103" s="360"/>
      <c r="AA103" s="361" t="str">
        <f t="shared" si="16"/>
        <v/>
      </c>
      <c r="AB103" s="362" t="str">
        <f t="shared" si="17"/>
        <v/>
      </c>
      <c r="AC103" s="363" t="str">
        <f t="shared" si="18"/>
        <v/>
      </c>
      <c r="AD103" s="358"/>
      <c r="AE103" s="359"/>
      <c r="AF103" s="360"/>
      <c r="AG103" s="364" t="str">
        <f t="shared" si="19"/>
        <v/>
      </c>
      <c r="AH103" s="362" t="str">
        <f t="shared" si="20"/>
        <v/>
      </c>
      <c r="AI103" s="365" t="str">
        <f t="shared" si="21"/>
        <v/>
      </c>
      <c r="AJ103" s="364" t="str">
        <f t="shared" si="22"/>
        <v/>
      </c>
      <c r="AK103" s="366" t="str">
        <f t="shared" si="23"/>
        <v/>
      </c>
      <c r="AL103" s="367" t="str">
        <f t="shared" si="12"/>
        <v/>
      </c>
      <c r="AM103" s="368" t="str">
        <f>IFERROR(_xlfn.XLOOKUP(AL103,HELPER!$C$7:$C$47,HELPER!$D$7:$D$47,,1),"")</f>
        <v/>
      </c>
    </row>
    <row r="104" hidden="1" spans="2:39">
      <c r="B104" s="402">
        <v>37</v>
      </c>
      <c r="C104" s="391" t="str">
        <f>IFERROR(IF(OR($B$8="INCORRECT SHEET. Do not use this sheet to input data.",'INPUT DATA'!S47=""),"",'INPUT DATA'!S47),"")</f>
        <v/>
      </c>
      <c r="D104" s="358"/>
      <c r="E104" s="359"/>
      <c r="F104" s="359"/>
      <c r="G104" s="359"/>
      <c r="H104" s="359"/>
      <c r="I104" s="359"/>
      <c r="J104" s="359"/>
      <c r="K104" s="359"/>
      <c r="L104" s="359"/>
      <c r="M104" s="360"/>
      <c r="N104" s="361" t="str">
        <f t="shared" si="13"/>
        <v/>
      </c>
      <c r="O104" s="362" t="str">
        <f t="shared" si="14"/>
        <v/>
      </c>
      <c r="P104" s="363" t="str">
        <f t="shared" si="15"/>
        <v/>
      </c>
      <c r="Q104" s="358"/>
      <c r="R104" s="359"/>
      <c r="S104" s="359"/>
      <c r="T104" s="359"/>
      <c r="U104" s="359"/>
      <c r="V104" s="359"/>
      <c r="W104" s="359"/>
      <c r="X104" s="359"/>
      <c r="Y104" s="359"/>
      <c r="Z104" s="360"/>
      <c r="AA104" s="361" t="str">
        <f t="shared" si="16"/>
        <v/>
      </c>
      <c r="AB104" s="362" t="str">
        <f t="shared" si="17"/>
        <v/>
      </c>
      <c r="AC104" s="363" t="str">
        <f t="shared" si="18"/>
        <v/>
      </c>
      <c r="AD104" s="358"/>
      <c r="AE104" s="359"/>
      <c r="AF104" s="360"/>
      <c r="AG104" s="364" t="str">
        <f t="shared" si="19"/>
        <v/>
      </c>
      <c r="AH104" s="362" t="str">
        <f t="shared" si="20"/>
        <v/>
      </c>
      <c r="AI104" s="365" t="str">
        <f t="shared" si="21"/>
        <v/>
      </c>
      <c r="AJ104" s="364" t="str">
        <f t="shared" si="22"/>
        <v/>
      </c>
      <c r="AK104" s="366" t="str">
        <f t="shared" si="23"/>
        <v/>
      </c>
      <c r="AL104" s="367" t="str">
        <f t="shared" si="12"/>
        <v/>
      </c>
      <c r="AM104" s="368" t="str">
        <f>IFERROR(_xlfn.XLOOKUP(AL104,HELPER!$C$7:$C$47,HELPER!$D$7:$D$47,,1),"")</f>
        <v/>
      </c>
    </row>
    <row r="105" hidden="1" spans="2:39">
      <c r="B105" s="402">
        <v>38</v>
      </c>
      <c r="C105" s="391" t="str">
        <f>IFERROR(IF(OR($B$8="INCORRECT SHEET. Do not use this sheet to input data.",'INPUT DATA'!S48=""),"",'INPUT DATA'!S48),"")</f>
        <v/>
      </c>
      <c r="D105" s="358"/>
      <c r="E105" s="359"/>
      <c r="F105" s="359"/>
      <c r="G105" s="359"/>
      <c r="H105" s="359"/>
      <c r="I105" s="359"/>
      <c r="J105" s="359"/>
      <c r="K105" s="359"/>
      <c r="L105" s="359"/>
      <c r="M105" s="360"/>
      <c r="N105" s="361" t="str">
        <f t="shared" si="13"/>
        <v/>
      </c>
      <c r="O105" s="362" t="str">
        <f t="shared" si="14"/>
        <v/>
      </c>
      <c r="P105" s="363" t="str">
        <f t="shared" si="15"/>
        <v/>
      </c>
      <c r="Q105" s="358"/>
      <c r="R105" s="359"/>
      <c r="S105" s="359"/>
      <c r="T105" s="359"/>
      <c r="U105" s="359"/>
      <c r="V105" s="359"/>
      <c r="W105" s="359"/>
      <c r="X105" s="359"/>
      <c r="Y105" s="359"/>
      <c r="Z105" s="360"/>
      <c r="AA105" s="361" t="str">
        <f t="shared" si="16"/>
        <v/>
      </c>
      <c r="AB105" s="362" t="str">
        <f t="shared" si="17"/>
        <v/>
      </c>
      <c r="AC105" s="363" t="str">
        <f t="shared" si="18"/>
        <v/>
      </c>
      <c r="AD105" s="358"/>
      <c r="AE105" s="359"/>
      <c r="AF105" s="360"/>
      <c r="AG105" s="364" t="str">
        <f t="shared" si="19"/>
        <v/>
      </c>
      <c r="AH105" s="362" t="str">
        <f t="shared" si="20"/>
        <v/>
      </c>
      <c r="AI105" s="365" t="str">
        <f t="shared" si="21"/>
        <v/>
      </c>
      <c r="AJ105" s="364" t="str">
        <f t="shared" si="22"/>
        <v/>
      </c>
      <c r="AK105" s="366" t="str">
        <f t="shared" si="23"/>
        <v/>
      </c>
      <c r="AL105" s="367" t="str">
        <f t="shared" si="12"/>
        <v/>
      </c>
      <c r="AM105" s="368" t="str">
        <f>IFERROR(_xlfn.XLOOKUP(AL105,HELPER!$C$7:$C$47,HELPER!$D$7:$D$47,,1),"")</f>
        <v/>
      </c>
    </row>
    <row r="106" hidden="1" spans="2:39">
      <c r="B106" s="402">
        <v>39</v>
      </c>
      <c r="C106" s="391" t="str">
        <f>IFERROR(IF(OR($B$8="INCORRECT SHEET. Do not use this sheet to input data.",'INPUT DATA'!S49=""),"",'INPUT DATA'!S49),"")</f>
        <v/>
      </c>
      <c r="D106" s="358"/>
      <c r="E106" s="359"/>
      <c r="F106" s="359"/>
      <c r="G106" s="359"/>
      <c r="H106" s="359"/>
      <c r="I106" s="359"/>
      <c r="J106" s="359"/>
      <c r="K106" s="359"/>
      <c r="L106" s="359"/>
      <c r="M106" s="360"/>
      <c r="N106" s="361" t="str">
        <f t="shared" si="13"/>
        <v/>
      </c>
      <c r="O106" s="362" t="str">
        <f t="shared" si="14"/>
        <v/>
      </c>
      <c r="P106" s="363" t="str">
        <f t="shared" si="15"/>
        <v/>
      </c>
      <c r="Q106" s="358"/>
      <c r="R106" s="359"/>
      <c r="S106" s="359"/>
      <c r="T106" s="359"/>
      <c r="U106" s="359"/>
      <c r="V106" s="359"/>
      <c r="W106" s="359"/>
      <c r="X106" s="359"/>
      <c r="Y106" s="359"/>
      <c r="Z106" s="360"/>
      <c r="AA106" s="361" t="str">
        <f t="shared" si="16"/>
        <v/>
      </c>
      <c r="AB106" s="362" t="str">
        <f t="shared" si="17"/>
        <v/>
      </c>
      <c r="AC106" s="363" t="str">
        <f t="shared" si="18"/>
        <v/>
      </c>
      <c r="AD106" s="358"/>
      <c r="AE106" s="359"/>
      <c r="AF106" s="360"/>
      <c r="AG106" s="364" t="str">
        <f t="shared" si="19"/>
        <v/>
      </c>
      <c r="AH106" s="362" t="str">
        <f t="shared" si="20"/>
        <v/>
      </c>
      <c r="AI106" s="365" t="str">
        <f t="shared" si="21"/>
        <v/>
      </c>
      <c r="AJ106" s="364" t="str">
        <f t="shared" si="22"/>
        <v/>
      </c>
      <c r="AK106" s="366" t="str">
        <f t="shared" si="23"/>
        <v/>
      </c>
      <c r="AL106" s="367" t="str">
        <f t="shared" si="12"/>
        <v/>
      </c>
      <c r="AM106" s="368" t="str">
        <f>IFERROR(_xlfn.XLOOKUP(AL106,HELPER!$C$7:$C$47,HELPER!$D$7:$D$47,,1),"")</f>
        <v/>
      </c>
    </row>
    <row r="107" hidden="1" spans="2:39">
      <c r="B107" s="402">
        <v>40</v>
      </c>
      <c r="C107" s="391" t="str">
        <f>IFERROR(IF(OR($B$8="INCORRECT SHEET. Do not use this sheet to input data.",'INPUT DATA'!S50=""),"",'INPUT DATA'!S50),"")</f>
        <v/>
      </c>
      <c r="D107" s="358"/>
      <c r="E107" s="359"/>
      <c r="F107" s="359"/>
      <c r="G107" s="359"/>
      <c r="H107" s="359"/>
      <c r="I107" s="359"/>
      <c r="J107" s="359"/>
      <c r="K107" s="359"/>
      <c r="L107" s="359"/>
      <c r="M107" s="360"/>
      <c r="N107" s="361" t="str">
        <f t="shared" si="13"/>
        <v/>
      </c>
      <c r="O107" s="362" t="str">
        <f t="shared" si="14"/>
        <v/>
      </c>
      <c r="P107" s="363" t="str">
        <f t="shared" si="15"/>
        <v/>
      </c>
      <c r="Q107" s="358"/>
      <c r="R107" s="359"/>
      <c r="S107" s="359"/>
      <c r="T107" s="359"/>
      <c r="U107" s="359"/>
      <c r="V107" s="359"/>
      <c r="W107" s="359"/>
      <c r="X107" s="359"/>
      <c r="Y107" s="359"/>
      <c r="Z107" s="360"/>
      <c r="AA107" s="361" t="str">
        <f t="shared" si="16"/>
        <v/>
      </c>
      <c r="AB107" s="362" t="str">
        <f t="shared" si="17"/>
        <v/>
      </c>
      <c r="AC107" s="363" t="str">
        <f t="shared" si="18"/>
        <v/>
      </c>
      <c r="AD107" s="358"/>
      <c r="AE107" s="359"/>
      <c r="AF107" s="360"/>
      <c r="AG107" s="364" t="str">
        <f t="shared" si="19"/>
        <v/>
      </c>
      <c r="AH107" s="362" t="str">
        <f t="shared" si="20"/>
        <v/>
      </c>
      <c r="AI107" s="365" t="str">
        <f t="shared" si="21"/>
        <v/>
      </c>
      <c r="AJ107" s="364" t="str">
        <f t="shared" si="22"/>
        <v/>
      </c>
      <c r="AK107" s="366" t="str">
        <f t="shared" si="23"/>
        <v/>
      </c>
      <c r="AL107" s="367" t="str">
        <f t="shared" si="12"/>
        <v/>
      </c>
      <c r="AM107" s="368" t="str">
        <f>IFERROR(_xlfn.XLOOKUP(AL107,HELPER!$C$7:$C$47,HELPER!$D$7:$D$47,,1),"")</f>
        <v/>
      </c>
    </row>
    <row r="108" hidden="1" spans="2:39">
      <c r="B108" s="402">
        <v>41</v>
      </c>
      <c r="C108" s="391" t="str">
        <f>IFERROR(IF(OR($B$8="INCORRECT SHEET. Do not use this sheet to input data.",'INPUT DATA'!S51=""),"",'INPUT DATA'!S51),"")</f>
        <v/>
      </c>
      <c r="D108" s="358"/>
      <c r="E108" s="359"/>
      <c r="F108" s="359"/>
      <c r="G108" s="359"/>
      <c r="H108" s="359"/>
      <c r="I108" s="359"/>
      <c r="J108" s="359"/>
      <c r="K108" s="359"/>
      <c r="L108" s="359"/>
      <c r="M108" s="360"/>
      <c r="N108" s="361" t="str">
        <f t="shared" si="13"/>
        <v/>
      </c>
      <c r="O108" s="362" t="str">
        <f t="shared" si="14"/>
        <v/>
      </c>
      <c r="P108" s="363" t="str">
        <f t="shared" si="15"/>
        <v/>
      </c>
      <c r="Q108" s="358"/>
      <c r="R108" s="359"/>
      <c r="S108" s="359"/>
      <c r="T108" s="359"/>
      <c r="U108" s="359"/>
      <c r="V108" s="359"/>
      <c r="W108" s="359"/>
      <c r="X108" s="359"/>
      <c r="Y108" s="359"/>
      <c r="Z108" s="360"/>
      <c r="AA108" s="361" t="str">
        <f t="shared" si="16"/>
        <v/>
      </c>
      <c r="AB108" s="362" t="str">
        <f t="shared" si="17"/>
        <v/>
      </c>
      <c r="AC108" s="363" t="str">
        <f t="shared" si="18"/>
        <v/>
      </c>
      <c r="AD108" s="358"/>
      <c r="AE108" s="359"/>
      <c r="AF108" s="360"/>
      <c r="AG108" s="364" t="str">
        <f t="shared" si="19"/>
        <v/>
      </c>
      <c r="AH108" s="362" t="str">
        <f t="shared" si="20"/>
        <v/>
      </c>
      <c r="AI108" s="365" t="str">
        <f t="shared" si="21"/>
        <v/>
      </c>
      <c r="AJ108" s="364" t="str">
        <f t="shared" si="22"/>
        <v/>
      </c>
      <c r="AK108" s="366" t="str">
        <f t="shared" si="23"/>
        <v/>
      </c>
      <c r="AL108" s="367" t="str">
        <f t="shared" si="12"/>
        <v/>
      </c>
      <c r="AM108" s="368" t="str">
        <f>IFERROR(_xlfn.XLOOKUP(AL108,HELPER!$C$7:$C$47,HELPER!$D$7:$D$47,,1),"")</f>
        <v/>
      </c>
    </row>
    <row r="109" hidden="1" spans="2:39">
      <c r="B109" s="402">
        <v>42</v>
      </c>
      <c r="C109" s="391" t="str">
        <f>IFERROR(IF(OR($B$8="INCORRECT SHEET. Do not use this sheet to input data.",'INPUT DATA'!S52=""),"",'INPUT DATA'!S52),"")</f>
        <v/>
      </c>
      <c r="D109" s="358"/>
      <c r="E109" s="359"/>
      <c r="F109" s="359"/>
      <c r="G109" s="359"/>
      <c r="H109" s="359"/>
      <c r="I109" s="359"/>
      <c r="J109" s="359"/>
      <c r="K109" s="359"/>
      <c r="L109" s="359"/>
      <c r="M109" s="360"/>
      <c r="N109" s="361" t="str">
        <f t="shared" si="13"/>
        <v/>
      </c>
      <c r="O109" s="362" t="str">
        <f t="shared" si="14"/>
        <v/>
      </c>
      <c r="P109" s="363" t="str">
        <f t="shared" si="15"/>
        <v/>
      </c>
      <c r="Q109" s="358"/>
      <c r="R109" s="359"/>
      <c r="S109" s="359"/>
      <c r="T109" s="359"/>
      <c r="U109" s="359"/>
      <c r="V109" s="359"/>
      <c r="W109" s="359"/>
      <c r="X109" s="359"/>
      <c r="Y109" s="359"/>
      <c r="Z109" s="360"/>
      <c r="AA109" s="361" t="str">
        <f t="shared" si="16"/>
        <v/>
      </c>
      <c r="AB109" s="362" t="str">
        <f t="shared" si="17"/>
        <v/>
      </c>
      <c r="AC109" s="363" t="str">
        <f t="shared" si="18"/>
        <v/>
      </c>
      <c r="AD109" s="358"/>
      <c r="AE109" s="359"/>
      <c r="AF109" s="360"/>
      <c r="AG109" s="364" t="str">
        <f t="shared" si="19"/>
        <v/>
      </c>
      <c r="AH109" s="362" t="str">
        <f t="shared" si="20"/>
        <v/>
      </c>
      <c r="AI109" s="365" t="str">
        <f t="shared" si="21"/>
        <v/>
      </c>
      <c r="AJ109" s="364" t="str">
        <f t="shared" si="22"/>
        <v/>
      </c>
      <c r="AK109" s="366" t="str">
        <f t="shared" si="23"/>
        <v/>
      </c>
      <c r="AL109" s="367" t="str">
        <f t="shared" si="12"/>
        <v/>
      </c>
      <c r="AM109" s="368" t="str">
        <f>IFERROR(_xlfn.XLOOKUP(AL109,HELPER!$C$7:$C$47,HELPER!$D$7:$D$47,,1),"")</f>
        <v/>
      </c>
    </row>
    <row r="110" hidden="1" spans="2:39">
      <c r="B110" s="402">
        <v>43</v>
      </c>
      <c r="C110" s="391" t="str">
        <f>IFERROR(IF(OR($B$8="INCORRECT SHEET. Do not use this sheet to input data.",'INPUT DATA'!S53=""),"",'INPUT DATA'!S53),"")</f>
        <v/>
      </c>
      <c r="D110" s="358"/>
      <c r="E110" s="359"/>
      <c r="F110" s="359"/>
      <c r="G110" s="359"/>
      <c r="H110" s="359"/>
      <c r="I110" s="359"/>
      <c r="J110" s="359"/>
      <c r="K110" s="359"/>
      <c r="L110" s="359"/>
      <c r="M110" s="360"/>
      <c r="N110" s="361" t="str">
        <f t="shared" si="13"/>
        <v/>
      </c>
      <c r="O110" s="362" t="str">
        <f t="shared" si="14"/>
        <v/>
      </c>
      <c r="P110" s="363" t="str">
        <f t="shared" si="15"/>
        <v/>
      </c>
      <c r="Q110" s="358"/>
      <c r="R110" s="359"/>
      <c r="S110" s="359"/>
      <c r="T110" s="359"/>
      <c r="U110" s="359"/>
      <c r="V110" s="359"/>
      <c r="W110" s="359"/>
      <c r="X110" s="359"/>
      <c r="Y110" s="359"/>
      <c r="Z110" s="360"/>
      <c r="AA110" s="361" t="str">
        <f t="shared" si="16"/>
        <v/>
      </c>
      <c r="AB110" s="362" t="str">
        <f t="shared" si="17"/>
        <v/>
      </c>
      <c r="AC110" s="363" t="str">
        <f t="shared" si="18"/>
        <v/>
      </c>
      <c r="AD110" s="358"/>
      <c r="AE110" s="359"/>
      <c r="AF110" s="360"/>
      <c r="AG110" s="364" t="str">
        <f t="shared" si="19"/>
        <v/>
      </c>
      <c r="AH110" s="362" t="str">
        <f t="shared" si="20"/>
        <v/>
      </c>
      <c r="AI110" s="365" t="str">
        <f t="shared" si="21"/>
        <v/>
      </c>
      <c r="AJ110" s="364" t="str">
        <f t="shared" si="22"/>
        <v/>
      </c>
      <c r="AK110" s="366" t="str">
        <f t="shared" si="23"/>
        <v/>
      </c>
      <c r="AL110" s="367" t="str">
        <f t="shared" si="12"/>
        <v/>
      </c>
      <c r="AM110" s="368" t="str">
        <f>IFERROR(_xlfn.XLOOKUP(AL110,HELPER!$C$7:$C$47,HELPER!$D$7:$D$47,,1),"")</f>
        <v/>
      </c>
    </row>
    <row r="111" hidden="1" spans="2:39">
      <c r="B111" s="402">
        <v>44</v>
      </c>
      <c r="C111" s="391" t="str">
        <f>IFERROR(IF(OR($B$8="INCORRECT SHEET. Do not use this sheet to input data.",'INPUT DATA'!S54=""),"",'INPUT DATA'!S54),"")</f>
        <v/>
      </c>
      <c r="D111" s="358"/>
      <c r="E111" s="359"/>
      <c r="F111" s="359"/>
      <c r="G111" s="359"/>
      <c r="H111" s="359"/>
      <c r="I111" s="359"/>
      <c r="J111" s="359"/>
      <c r="K111" s="359"/>
      <c r="L111" s="359"/>
      <c r="M111" s="360"/>
      <c r="N111" s="361" t="str">
        <f t="shared" si="13"/>
        <v/>
      </c>
      <c r="O111" s="362" t="str">
        <f t="shared" si="14"/>
        <v/>
      </c>
      <c r="P111" s="363" t="str">
        <f t="shared" si="15"/>
        <v/>
      </c>
      <c r="Q111" s="358"/>
      <c r="R111" s="359"/>
      <c r="S111" s="359"/>
      <c r="T111" s="359"/>
      <c r="U111" s="359"/>
      <c r="V111" s="359"/>
      <c r="W111" s="359"/>
      <c r="X111" s="359"/>
      <c r="Y111" s="359"/>
      <c r="Z111" s="360"/>
      <c r="AA111" s="361" t="str">
        <f t="shared" si="16"/>
        <v/>
      </c>
      <c r="AB111" s="362" t="str">
        <f t="shared" si="17"/>
        <v/>
      </c>
      <c r="AC111" s="363" t="str">
        <f t="shared" si="18"/>
        <v/>
      </c>
      <c r="AD111" s="358"/>
      <c r="AE111" s="359"/>
      <c r="AF111" s="360"/>
      <c r="AG111" s="364" t="str">
        <f t="shared" si="19"/>
        <v/>
      </c>
      <c r="AH111" s="362" t="str">
        <f t="shared" si="20"/>
        <v/>
      </c>
      <c r="AI111" s="365" t="str">
        <f t="shared" si="21"/>
        <v/>
      </c>
      <c r="AJ111" s="364" t="str">
        <f t="shared" si="22"/>
        <v/>
      </c>
      <c r="AK111" s="366" t="str">
        <f t="shared" si="23"/>
        <v/>
      </c>
      <c r="AL111" s="367" t="str">
        <f t="shared" si="12"/>
        <v/>
      </c>
      <c r="AM111" s="368" t="str">
        <f>IFERROR(_xlfn.XLOOKUP(AL111,HELPER!$C$7:$C$47,HELPER!$D$7:$D$47,,1),"")</f>
        <v/>
      </c>
    </row>
    <row r="112" hidden="1" spans="2:39">
      <c r="B112" s="402">
        <v>45</v>
      </c>
      <c r="C112" s="391" t="str">
        <f>IFERROR(IF(OR($B$8="INCORRECT SHEET. Do not use this sheet to input data.",'INPUT DATA'!S55=""),"",'INPUT DATA'!S55),"")</f>
        <v/>
      </c>
      <c r="D112" s="358"/>
      <c r="E112" s="359"/>
      <c r="F112" s="359"/>
      <c r="G112" s="359"/>
      <c r="H112" s="359"/>
      <c r="I112" s="359"/>
      <c r="J112" s="359"/>
      <c r="K112" s="359"/>
      <c r="L112" s="359"/>
      <c r="M112" s="360"/>
      <c r="N112" s="361" t="str">
        <f t="shared" si="13"/>
        <v/>
      </c>
      <c r="O112" s="362" t="str">
        <f t="shared" si="14"/>
        <v/>
      </c>
      <c r="P112" s="363" t="str">
        <f t="shared" si="15"/>
        <v/>
      </c>
      <c r="Q112" s="358"/>
      <c r="R112" s="359"/>
      <c r="S112" s="359"/>
      <c r="T112" s="359"/>
      <c r="U112" s="359"/>
      <c r="V112" s="359"/>
      <c r="W112" s="359"/>
      <c r="X112" s="359"/>
      <c r="Y112" s="359"/>
      <c r="Z112" s="360"/>
      <c r="AA112" s="361" t="str">
        <f t="shared" si="16"/>
        <v/>
      </c>
      <c r="AB112" s="362" t="str">
        <f t="shared" si="17"/>
        <v/>
      </c>
      <c r="AC112" s="363" t="str">
        <f t="shared" si="18"/>
        <v/>
      </c>
      <c r="AD112" s="358"/>
      <c r="AE112" s="359"/>
      <c r="AF112" s="360"/>
      <c r="AG112" s="364" t="str">
        <f t="shared" si="19"/>
        <v/>
      </c>
      <c r="AH112" s="362" t="str">
        <f t="shared" si="20"/>
        <v/>
      </c>
      <c r="AI112" s="365" t="str">
        <f t="shared" si="21"/>
        <v/>
      </c>
      <c r="AJ112" s="364" t="str">
        <f t="shared" si="22"/>
        <v/>
      </c>
      <c r="AK112" s="366" t="str">
        <f t="shared" si="23"/>
        <v/>
      </c>
      <c r="AL112" s="367" t="str">
        <f t="shared" si="12"/>
        <v/>
      </c>
      <c r="AM112" s="368" t="str">
        <f>IFERROR(_xlfn.XLOOKUP(AL112,HELPER!$C$7:$C$47,HELPER!$D$7:$D$47,,1),"")</f>
        <v/>
      </c>
    </row>
    <row r="113" hidden="1" spans="2:39">
      <c r="B113" s="402">
        <v>46</v>
      </c>
      <c r="C113" s="391" t="str">
        <f>IFERROR(IF(OR($B$8="INCORRECT SHEET. Do not use this sheet to input data.",'INPUT DATA'!S56=""),"",'INPUT DATA'!S56),"")</f>
        <v/>
      </c>
      <c r="D113" s="358"/>
      <c r="E113" s="359"/>
      <c r="F113" s="359"/>
      <c r="G113" s="359"/>
      <c r="H113" s="359"/>
      <c r="I113" s="359"/>
      <c r="J113" s="359"/>
      <c r="K113" s="359"/>
      <c r="L113" s="359"/>
      <c r="M113" s="360"/>
      <c r="N113" s="361" t="str">
        <f t="shared" si="13"/>
        <v/>
      </c>
      <c r="O113" s="362" t="str">
        <f t="shared" si="14"/>
        <v/>
      </c>
      <c r="P113" s="363" t="str">
        <f t="shared" si="15"/>
        <v/>
      </c>
      <c r="Q113" s="358"/>
      <c r="R113" s="359"/>
      <c r="S113" s="359"/>
      <c r="T113" s="359"/>
      <c r="U113" s="359"/>
      <c r="V113" s="359"/>
      <c r="W113" s="359"/>
      <c r="X113" s="359"/>
      <c r="Y113" s="359"/>
      <c r="Z113" s="360"/>
      <c r="AA113" s="361" t="str">
        <f t="shared" si="16"/>
        <v/>
      </c>
      <c r="AB113" s="362" t="str">
        <f t="shared" si="17"/>
        <v/>
      </c>
      <c r="AC113" s="363" t="str">
        <f t="shared" si="18"/>
        <v/>
      </c>
      <c r="AD113" s="358"/>
      <c r="AE113" s="359"/>
      <c r="AF113" s="360"/>
      <c r="AG113" s="364" t="str">
        <f t="shared" si="19"/>
        <v/>
      </c>
      <c r="AH113" s="362" t="str">
        <f t="shared" si="20"/>
        <v/>
      </c>
      <c r="AI113" s="365" t="str">
        <f t="shared" si="21"/>
        <v/>
      </c>
      <c r="AJ113" s="364" t="str">
        <f t="shared" si="22"/>
        <v/>
      </c>
      <c r="AK113" s="366" t="str">
        <f t="shared" si="23"/>
        <v/>
      </c>
      <c r="AL113" s="367" t="str">
        <f t="shared" si="12"/>
        <v/>
      </c>
      <c r="AM113" s="368" t="str">
        <f>IFERROR(_xlfn.XLOOKUP(AL113,HELPER!$C$7:$C$47,HELPER!$D$7:$D$47,,1),"")</f>
        <v/>
      </c>
    </row>
    <row r="114" hidden="1" spans="2:39">
      <c r="B114" s="402">
        <v>47</v>
      </c>
      <c r="C114" s="391" t="str">
        <f>IFERROR(IF(OR($B$8="INCORRECT SHEET. Do not use this sheet to input data.",'INPUT DATA'!S57=""),"",'INPUT DATA'!S57),"")</f>
        <v/>
      </c>
      <c r="D114" s="358"/>
      <c r="E114" s="359"/>
      <c r="F114" s="359"/>
      <c r="G114" s="359"/>
      <c r="H114" s="359"/>
      <c r="I114" s="359"/>
      <c r="J114" s="359"/>
      <c r="K114" s="359"/>
      <c r="L114" s="359"/>
      <c r="M114" s="360"/>
      <c r="N114" s="361" t="str">
        <f t="shared" si="13"/>
        <v/>
      </c>
      <c r="O114" s="362" t="str">
        <f t="shared" si="14"/>
        <v/>
      </c>
      <c r="P114" s="363" t="str">
        <f t="shared" si="15"/>
        <v/>
      </c>
      <c r="Q114" s="358"/>
      <c r="R114" s="359"/>
      <c r="S114" s="359"/>
      <c r="T114" s="359"/>
      <c r="U114" s="359"/>
      <c r="V114" s="359"/>
      <c r="W114" s="359"/>
      <c r="X114" s="359"/>
      <c r="Y114" s="359"/>
      <c r="Z114" s="360"/>
      <c r="AA114" s="361" t="str">
        <f t="shared" si="16"/>
        <v/>
      </c>
      <c r="AB114" s="362" t="str">
        <f t="shared" si="17"/>
        <v/>
      </c>
      <c r="AC114" s="363" t="str">
        <f t="shared" si="18"/>
        <v/>
      </c>
      <c r="AD114" s="358"/>
      <c r="AE114" s="359"/>
      <c r="AF114" s="360"/>
      <c r="AG114" s="364" t="str">
        <f t="shared" si="19"/>
        <v/>
      </c>
      <c r="AH114" s="362" t="str">
        <f t="shared" si="20"/>
        <v/>
      </c>
      <c r="AI114" s="365" t="str">
        <f t="shared" si="21"/>
        <v/>
      </c>
      <c r="AJ114" s="364" t="str">
        <f t="shared" si="22"/>
        <v/>
      </c>
      <c r="AK114" s="366" t="str">
        <f t="shared" si="23"/>
        <v/>
      </c>
      <c r="AL114" s="367" t="str">
        <f t="shared" si="12"/>
        <v/>
      </c>
      <c r="AM114" s="368" t="str">
        <f>IFERROR(_xlfn.XLOOKUP(AL114,HELPER!$C$7:$C$47,HELPER!$D$7:$D$47,,1),"")</f>
        <v/>
      </c>
    </row>
    <row r="115" hidden="1" spans="2:39">
      <c r="B115" s="402">
        <v>48</v>
      </c>
      <c r="C115" s="391" t="str">
        <f>IFERROR(IF(OR($B$8="INCORRECT SHEET. Do not use this sheet to input data.",'INPUT DATA'!S58=""),"",'INPUT DATA'!S58),"")</f>
        <v/>
      </c>
      <c r="D115" s="358"/>
      <c r="E115" s="359"/>
      <c r="F115" s="359"/>
      <c r="G115" s="359"/>
      <c r="H115" s="359"/>
      <c r="I115" s="359"/>
      <c r="J115" s="359"/>
      <c r="K115" s="359"/>
      <c r="L115" s="359"/>
      <c r="M115" s="360"/>
      <c r="N115" s="361" t="str">
        <f t="shared" si="13"/>
        <v/>
      </c>
      <c r="O115" s="362" t="str">
        <f t="shared" si="14"/>
        <v/>
      </c>
      <c r="P115" s="363" t="str">
        <f t="shared" si="15"/>
        <v/>
      </c>
      <c r="Q115" s="358"/>
      <c r="R115" s="359"/>
      <c r="S115" s="359"/>
      <c r="T115" s="359"/>
      <c r="U115" s="359"/>
      <c r="V115" s="359"/>
      <c r="W115" s="359"/>
      <c r="X115" s="359"/>
      <c r="Y115" s="359"/>
      <c r="Z115" s="360"/>
      <c r="AA115" s="361" t="str">
        <f t="shared" si="16"/>
        <v/>
      </c>
      <c r="AB115" s="362" t="str">
        <f t="shared" si="17"/>
        <v/>
      </c>
      <c r="AC115" s="363" t="str">
        <f t="shared" si="18"/>
        <v/>
      </c>
      <c r="AD115" s="358"/>
      <c r="AE115" s="359"/>
      <c r="AF115" s="360"/>
      <c r="AG115" s="364" t="str">
        <f t="shared" si="19"/>
        <v/>
      </c>
      <c r="AH115" s="362" t="str">
        <f t="shared" si="20"/>
        <v/>
      </c>
      <c r="AI115" s="365" t="str">
        <f t="shared" si="21"/>
        <v/>
      </c>
      <c r="AJ115" s="364" t="str">
        <f t="shared" si="22"/>
        <v/>
      </c>
      <c r="AK115" s="366" t="str">
        <f t="shared" si="23"/>
        <v/>
      </c>
      <c r="AL115" s="367" t="str">
        <f t="shared" ref="AL115:AL117" si="24">IF(AND(C115&lt;&gt;"",P115&lt;&gt;"",AC115&lt;&gt;"",$AD$12=0),SUM(P115,AC115),IF(AND(C115&lt;&gt;"",P115&lt;&gt;"",AC115&lt;&gt;"",AK115&lt;&gt;"",$D$12&gt;0,$Q$12&gt;0,$AD$12&gt;0),SUM(P115,AC115,AK115),""))</f>
        <v/>
      </c>
      <c r="AM115" s="368" t="str">
        <f>IFERROR(_xlfn.XLOOKUP(AL115,HELPER!$C$7:$C$47,HELPER!$D$7:$D$47,,1),"")</f>
        <v/>
      </c>
    </row>
    <row r="116" hidden="1" spans="2:39">
      <c r="B116" s="402">
        <v>49</v>
      </c>
      <c r="C116" s="391" t="str">
        <f>IFERROR(IF(OR($B$8="INCORRECT SHEET. Do not use this sheet to input data.",'INPUT DATA'!S59=""),"",'INPUT DATA'!S59),"")</f>
        <v/>
      </c>
      <c r="D116" s="358"/>
      <c r="E116" s="359"/>
      <c r="F116" s="359"/>
      <c r="G116" s="359"/>
      <c r="H116" s="359"/>
      <c r="I116" s="359"/>
      <c r="J116" s="359"/>
      <c r="K116" s="359"/>
      <c r="L116" s="359"/>
      <c r="M116" s="360"/>
      <c r="N116" s="361" t="str">
        <f t="shared" si="13"/>
        <v/>
      </c>
      <c r="O116" s="362" t="str">
        <f t="shared" si="14"/>
        <v/>
      </c>
      <c r="P116" s="363" t="str">
        <f t="shared" si="15"/>
        <v/>
      </c>
      <c r="Q116" s="358"/>
      <c r="R116" s="359"/>
      <c r="S116" s="359"/>
      <c r="T116" s="359"/>
      <c r="U116" s="359"/>
      <c r="V116" s="359"/>
      <c r="W116" s="359"/>
      <c r="X116" s="359"/>
      <c r="Y116" s="359"/>
      <c r="Z116" s="360"/>
      <c r="AA116" s="361" t="str">
        <f t="shared" si="16"/>
        <v/>
      </c>
      <c r="AB116" s="362" t="str">
        <f t="shared" si="17"/>
        <v/>
      </c>
      <c r="AC116" s="363" t="str">
        <f t="shared" si="18"/>
        <v/>
      </c>
      <c r="AD116" s="358"/>
      <c r="AE116" s="359"/>
      <c r="AF116" s="360"/>
      <c r="AG116" s="364" t="str">
        <f t="shared" si="19"/>
        <v/>
      </c>
      <c r="AH116" s="362" t="str">
        <f t="shared" si="20"/>
        <v/>
      </c>
      <c r="AI116" s="365" t="str">
        <f t="shared" si="21"/>
        <v/>
      </c>
      <c r="AJ116" s="364" t="str">
        <f t="shared" si="22"/>
        <v/>
      </c>
      <c r="AK116" s="366" t="str">
        <f t="shared" si="23"/>
        <v/>
      </c>
      <c r="AL116" s="367" t="str">
        <f t="shared" si="24"/>
        <v/>
      </c>
      <c r="AM116" s="368" t="str">
        <f>IFERROR(_xlfn.XLOOKUP(AL116,HELPER!$C$7:$C$47,HELPER!$D$7:$D$47,,1),"")</f>
        <v/>
      </c>
    </row>
    <row r="117" ht="14.55" hidden="1" spans="2:39">
      <c r="B117" s="403">
        <v>50</v>
      </c>
      <c r="C117" s="391" t="str">
        <f>IFERROR(IF(OR($B$8="INCORRECT SHEET. Do not use this sheet to input data.",'INPUT DATA'!S60=""),"",'INPUT DATA'!S60),"")</f>
        <v/>
      </c>
      <c r="D117" s="404"/>
      <c r="E117" s="405"/>
      <c r="F117" s="405"/>
      <c r="G117" s="405"/>
      <c r="H117" s="405"/>
      <c r="I117" s="405"/>
      <c r="J117" s="405"/>
      <c r="K117" s="405"/>
      <c r="L117" s="405"/>
      <c r="M117" s="406"/>
      <c r="N117" s="407" t="str">
        <f t="shared" si="13"/>
        <v/>
      </c>
      <c r="O117" s="408" t="str">
        <f t="shared" si="14"/>
        <v/>
      </c>
      <c r="P117" s="409" t="str">
        <f t="shared" si="15"/>
        <v/>
      </c>
      <c r="Q117" s="404"/>
      <c r="R117" s="405"/>
      <c r="S117" s="405"/>
      <c r="T117" s="405"/>
      <c r="U117" s="405"/>
      <c r="V117" s="405"/>
      <c r="W117" s="405"/>
      <c r="X117" s="405"/>
      <c r="Y117" s="405"/>
      <c r="Z117" s="406"/>
      <c r="AA117" s="407" t="str">
        <f t="shared" si="16"/>
        <v/>
      </c>
      <c r="AB117" s="408" t="str">
        <f t="shared" si="17"/>
        <v/>
      </c>
      <c r="AC117" s="409" t="str">
        <f t="shared" si="18"/>
        <v/>
      </c>
      <c r="AD117" s="404"/>
      <c r="AE117" s="405"/>
      <c r="AF117" s="406"/>
      <c r="AG117" s="410" t="str">
        <f t="shared" si="19"/>
        <v/>
      </c>
      <c r="AH117" s="408" t="str">
        <f t="shared" si="20"/>
        <v/>
      </c>
      <c r="AI117" s="411" t="str">
        <f t="shared" si="21"/>
        <v/>
      </c>
      <c r="AJ117" s="410" t="str">
        <f t="shared" si="22"/>
        <v/>
      </c>
      <c r="AK117" s="412" t="str">
        <f t="shared" si="23"/>
        <v/>
      </c>
      <c r="AL117" s="413" t="str">
        <f t="shared" si="24"/>
        <v/>
      </c>
      <c r="AM117" s="214" t="str">
        <f>IFERROR(_xlfn.XLOOKUP(AL117,HELPER!$C$7:$C$47,HELPER!$D$7:$D$47,,1),"")</f>
        <v/>
      </c>
    </row>
    <row r="118" ht="17.5" customHeight="1" spans="2:39">
      <c r="B118" s="10" t="s">
        <v>188</v>
      </c>
      <c r="C118" s="10"/>
      <c r="D118" s="10"/>
      <c r="E118" s="10" t="s">
        <v>188</v>
      </c>
      <c r="F118" s="10" t="s">
        <v>188</v>
      </c>
      <c r="G118" s="10" t="s">
        <v>188</v>
      </c>
      <c r="H118" s="10" t="s">
        <v>188</v>
      </c>
      <c r="I118" s="10" t="s">
        <v>188</v>
      </c>
      <c r="J118" s="10" t="s">
        <v>188</v>
      </c>
      <c r="K118" s="10" t="s">
        <v>188</v>
      </c>
      <c r="L118" s="10" t="s">
        <v>188</v>
      </c>
      <c r="M118" s="10" t="s">
        <v>188</v>
      </c>
      <c r="N118" s="10" t="s">
        <v>188</v>
      </c>
      <c r="O118" s="10" t="s">
        <v>188</v>
      </c>
      <c r="P118" s="10" t="s">
        <v>188</v>
      </c>
      <c r="Q118" s="10"/>
      <c r="R118" s="10" t="s">
        <v>188</v>
      </c>
      <c r="S118" s="10" t="s">
        <v>188</v>
      </c>
      <c r="T118" s="10" t="s">
        <v>188</v>
      </c>
      <c r="U118" s="10" t="s">
        <v>188</v>
      </c>
      <c r="V118" s="10" t="s">
        <v>188</v>
      </c>
      <c r="W118" s="10" t="s">
        <v>188</v>
      </c>
      <c r="X118" s="10" t="s">
        <v>188</v>
      </c>
      <c r="Y118" s="10" t="s">
        <v>188</v>
      </c>
      <c r="Z118" s="10" t="s">
        <v>188</v>
      </c>
      <c r="AA118" s="10" t="s">
        <v>188</v>
      </c>
      <c r="AB118" s="10" t="s">
        <v>188</v>
      </c>
      <c r="AC118" s="10" t="s">
        <v>188</v>
      </c>
      <c r="AD118" s="10"/>
      <c r="AE118" s="10"/>
      <c r="AF118" s="10"/>
      <c r="AG118" s="10" t="s">
        <v>188</v>
      </c>
      <c r="AH118" s="10" t="s">
        <v>188</v>
      </c>
      <c r="AI118" s="10" t="s">
        <v>188</v>
      </c>
      <c r="AJ118" s="10" t="s">
        <v>188</v>
      </c>
      <c r="AK118" s="10" t="s">
        <v>188</v>
      </c>
      <c r="AL118" s="10" t="s">
        <v>188</v>
      </c>
      <c r="AM118" s="10" t="s">
        <v>188</v>
      </c>
    </row>
    <row r="119" ht="67" customHeight="1"/>
    <row r="120" hidden="1" spans="2:39">
      <c r="D120" s="2" cm="1">
        <f t="array" ref="D120:D170">_xlfn.SEQUENCE(D14+1,1,0,1)</f>
        <v>0</v>
      </c>
      <c r="E120" s="2" cm="1">
        <f t="array" ref="E120:E130">_xlfn.SEQUENCE(E14+1,1,0,1)</f>
        <v>0</v>
      </c>
      <c r="F120" s="2" cm="1">
        <f t="array" ref="F120:F121">_xlfn.SEQUENCE(F14+1,1,0,1)</f>
        <v>0</v>
      </c>
      <c r="G120" s="2" cm="1">
        <f t="array" ref="G120:G121">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Q170">_xlfn.SEQUENCE(Q14+1,1,0,1)</f>
        <v>0</v>
      </c>
      <c r="R120" s="2" cm="1">
        <f t="array" ref="R120:R132">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AD170">_xlfn.SEQUENCE(AD14+1,1,0,1)</f>
        <v>0</v>
      </c>
      <c r="AE120" s="2" cm="1">
        <f t="array" ref="AE120:AE170">_xlfn.SEQUENCE(AE14+1,1,0,1)</f>
        <v>0</v>
      </c>
      <c r="AF120" s="2" cm="1">
        <f t="array" ref="AF120:AF170">_xlfn.SEQUENCE(AF14+1,1,0,1)</f>
        <v>0</v>
      </c>
    </row>
    <row r="121" hidden="1" spans="2:39">
      <c r="D121" s="2">
        <v>1</v>
      </c>
      <c r="E121" s="2">
        <v>1</v>
      </c>
      <c r="F121" s="2">
        <v>1</v>
      </c>
      <c r="G121" s="2">
        <v>1</v>
      </c>
      <c r="Q121" s="2">
        <v>1</v>
      </c>
      <c r="R121" s="2">
        <v>1</v>
      </c>
      <c r="AD121" s="2">
        <v>1</v>
      </c>
      <c r="AE121" s="2">
        <v>1</v>
      </c>
      <c r="AF121" s="2">
        <v>1</v>
      </c>
    </row>
    <row r="122" hidden="1" spans="2:39">
      <c r="D122" s="2">
        <v>2</v>
      </c>
      <c r="E122" s="2">
        <v>2</v>
      </c>
      <c r="Q122" s="2">
        <v>2</v>
      </c>
      <c r="R122" s="2">
        <v>2</v>
      </c>
      <c r="AD122" s="2">
        <v>2</v>
      </c>
      <c r="AE122" s="2">
        <v>2</v>
      </c>
      <c r="AF122" s="2">
        <v>2</v>
      </c>
    </row>
    <row r="123" hidden="1" spans="2:39">
      <c r="D123" s="2">
        <v>3</v>
      </c>
      <c r="E123" s="2">
        <v>3</v>
      </c>
      <c r="Q123" s="2">
        <v>3</v>
      </c>
      <c r="R123" s="2">
        <v>3</v>
      </c>
      <c r="AD123" s="2">
        <v>3</v>
      </c>
      <c r="AE123" s="2">
        <v>3</v>
      </c>
      <c r="AF123" s="2">
        <v>3</v>
      </c>
    </row>
    <row r="124" hidden="1" spans="2:39">
      <c r="D124" s="2">
        <v>4</v>
      </c>
      <c r="E124" s="2">
        <v>4</v>
      </c>
      <c r="Q124" s="2">
        <v>4</v>
      </c>
      <c r="R124" s="2">
        <v>4</v>
      </c>
      <c r="AD124" s="2">
        <v>4</v>
      </c>
      <c r="AE124" s="2">
        <v>4</v>
      </c>
      <c r="AF124" s="2">
        <v>4</v>
      </c>
    </row>
    <row r="125" hidden="1" spans="2:39">
      <c r="D125" s="2">
        <v>5</v>
      </c>
      <c r="E125" s="2">
        <v>5</v>
      </c>
      <c r="Q125" s="2">
        <v>5</v>
      </c>
      <c r="R125" s="2">
        <v>5</v>
      </c>
      <c r="AD125" s="2">
        <v>5</v>
      </c>
      <c r="AE125" s="2">
        <v>5</v>
      </c>
      <c r="AF125" s="2">
        <v>5</v>
      </c>
    </row>
    <row r="126" hidden="1" spans="2:39">
      <c r="D126" s="2">
        <v>6</v>
      </c>
      <c r="E126" s="2">
        <v>6</v>
      </c>
      <c r="Q126" s="2">
        <v>6</v>
      </c>
      <c r="R126" s="2">
        <v>6</v>
      </c>
      <c r="AD126" s="2">
        <v>6</v>
      </c>
      <c r="AE126" s="2">
        <v>6</v>
      </c>
      <c r="AF126" s="2">
        <v>6</v>
      </c>
    </row>
    <row r="127" hidden="1" spans="2:39">
      <c r="D127" s="2">
        <v>7</v>
      </c>
      <c r="E127" s="2">
        <v>7</v>
      </c>
      <c r="Q127" s="2">
        <v>7</v>
      </c>
      <c r="R127" s="2">
        <v>7</v>
      </c>
      <c r="AD127" s="2">
        <v>7</v>
      </c>
      <c r="AE127" s="2">
        <v>7</v>
      </c>
      <c r="AF127" s="2">
        <v>7</v>
      </c>
    </row>
    <row r="128" hidden="1" spans="2:39">
      <c r="D128" s="2">
        <v>8</v>
      </c>
      <c r="E128" s="2">
        <v>8</v>
      </c>
      <c r="Q128" s="2">
        <v>8</v>
      </c>
      <c r="R128" s="2">
        <v>8</v>
      </c>
      <c r="AD128" s="2">
        <v>8</v>
      </c>
      <c r="AE128" s="2">
        <v>8</v>
      </c>
      <c r="AF128" s="2">
        <v>8</v>
      </c>
    </row>
    <row r="129" hidden="1" spans="4:32">
      <c r="D129" s="2">
        <v>9</v>
      </c>
      <c r="E129" s="2">
        <v>9</v>
      </c>
      <c r="Q129" s="2">
        <v>9</v>
      </c>
      <c r="R129" s="2">
        <v>9</v>
      </c>
      <c r="AD129" s="2">
        <v>9</v>
      </c>
      <c r="AE129" s="2">
        <v>9</v>
      </c>
      <c r="AF129" s="2">
        <v>9</v>
      </c>
    </row>
    <row r="130" hidden="1" spans="4:32">
      <c r="D130" s="2">
        <v>10</v>
      </c>
      <c r="E130" s="2">
        <v>10</v>
      </c>
      <c r="Q130" s="2">
        <v>10</v>
      </c>
      <c r="R130" s="2">
        <v>10</v>
      </c>
      <c r="AD130" s="2">
        <v>10</v>
      </c>
      <c r="AE130" s="2">
        <v>10</v>
      </c>
      <c r="AF130" s="2">
        <v>10</v>
      </c>
    </row>
    <row r="131" hidden="1" spans="4:32">
      <c r="D131" s="2">
        <v>11</v>
      </c>
      <c r="Q131" s="2">
        <v>11</v>
      </c>
      <c r="R131" s="2">
        <v>11</v>
      </c>
      <c r="AD131" s="2">
        <v>11</v>
      </c>
      <c r="AE131" s="2">
        <v>11</v>
      </c>
      <c r="AF131" s="2">
        <v>11</v>
      </c>
    </row>
    <row r="132" hidden="1" spans="4:32">
      <c r="D132" s="2">
        <v>12</v>
      </c>
      <c r="Q132" s="2">
        <v>12</v>
      </c>
      <c r="R132" s="2">
        <v>12</v>
      </c>
      <c r="AD132" s="2">
        <v>12</v>
      </c>
      <c r="AE132" s="2">
        <v>12</v>
      </c>
      <c r="AF132" s="2">
        <v>12</v>
      </c>
    </row>
    <row r="133" hidden="1" spans="4:32">
      <c r="D133" s="2">
        <v>13</v>
      </c>
      <c r="Q133" s="2">
        <v>13</v>
      </c>
      <c r="AD133" s="2">
        <v>13</v>
      </c>
      <c r="AE133" s="2">
        <v>13</v>
      </c>
      <c r="AF133" s="2">
        <v>13</v>
      </c>
    </row>
    <row r="134" hidden="1" spans="4:32">
      <c r="D134" s="2">
        <v>14</v>
      </c>
      <c r="Q134" s="2">
        <v>14</v>
      </c>
      <c r="AD134" s="2">
        <v>14</v>
      </c>
      <c r="AE134" s="2">
        <v>14</v>
      </c>
      <c r="AF134" s="2">
        <v>14</v>
      </c>
    </row>
    <row r="135" hidden="1" spans="4:32">
      <c r="D135" s="2">
        <v>15</v>
      </c>
      <c r="Q135" s="2">
        <v>15</v>
      </c>
      <c r="AD135" s="2">
        <v>15</v>
      </c>
      <c r="AE135" s="2">
        <v>15</v>
      </c>
      <c r="AF135" s="2">
        <v>15</v>
      </c>
    </row>
    <row r="136" hidden="1" spans="4:32">
      <c r="D136" s="2">
        <v>16</v>
      </c>
      <c r="Q136" s="2">
        <v>16</v>
      </c>
      <c r="AD136" s="2">
        <v>16</v>
      </c>
      <c r="AE136" s="2">
        <v>16</v>
      </c>
      <c r="AF136" s="2">
        <v>16</v>
      </c>
    </row>
    <row r="137" hidden="1" spans="4:32">
      <c r="D137" s="2">
        <v>17</v>
      </c>
      <c r="Q137" s="2">
        <v>17</v>
      </c>
      <c r="AD137" s="2">
        <v>17</v>
      </c>
      <c r="AE137" s="2">
        <v>17</v>
      </c>
      <c r="AF137" s="2">
        <v>17</v>
      </c>
    </row>
    <row r="138" hidden="1" spans="4:32">
      <c r="D138" s="2">
        <v>18</v>
      </c>
      <c r="Q138" s="2">
        <v>18</v>
      </c>
      <c r="AD138" s="2">
        <v>18</v>
      </c>
      <c r="AE138" s="2">
        <v>18</v>
      </c>
      <c r="AF138" s="2">
        <v>18</v>
      </c>
    </row>
    <row r="139" hidden="1" spans="4:32">
      <c r="D139" s="2">
        <v>19</v>
      </c>
      <c r="Q139" s="2">
        <v>19</v>
      </c>
      <c r="AD139" s="2">
        <v>19</v>
      </c>
      <c r="AE139" s="2">
        <v>19</v>
      </c>
      <c r="AF139" s="2">
        <v>19</v>
      </c>
    </row>
    <row r="140" hidden="1" spans="4:32">
      <c r="D140" s="2">
        <v>20</v>
      </c>
      <c r="Q140" s="2">
        <v>20</v>
      </c>
      <c r="AD140" s="2">
        <v>20</v>
      </c>
      <c r="AE140" s="2">
        <v>20</v>
      </c>
      <c r="AF140" s="2">
        <v>20</v>
      </c>
    </row>
    <row r="141" hidden="1" spans="4:32">
      <c r="D141" s="2">
        <v>21</v>
      </c>
      <c r="Q141" s="2">
        <v>21</v>
      </c>
      <c r="AD141" s="2">
        <v>21</v>
      </c>
      <c r="AE141" s="2">
        <v>21</v>
      </c>
      <c r="AF141" s="2">
        <v>21</v>
      </c>
    </row>
    <row r="142" hidden="1" spans="4:32">
      <c r="D142" s="2">
        <v>22</v>
      </c>
      <c r="Q142" s="2">
        <v>22</v>
      </c>
      <c r="AD142" s="2">
        <v>22</v>
      </c>
      <c r="AE142" s="2">
        <v>22</v>
      </c>
      <c r="AF142" s="2">
        <v>22</v>
      </c>
    </row>
    <row r="143" hidden="1" spans="4:32">
      <c r="D143" s="2">
        <v>23</v>
      </c>
      <c r="Q143" s="2">
        <v>23</v>
      </c>
      <c r="AD143" s="2">
        <v>23</v>
      </c>
      <c r="AE143" s="2">
        <v>23</v>
      </c>
      <c r="AF143" s="2">
        <v>23</v>
      </c>
    </row>
    <row r="144" hidden="1" spans="4:32">
      <c r="D144" s="2">
        <v>24</v>
      </c>
      <c r="Q144" s="2">
        <v>24</v>
      </c>
      <c r="AD144" s="2">
        <v>24</v>
      </c>
      <c r="AE144" s="2">
        <v>24</v>
      </c>
      <c r="AF144" s="2">
        <v>24</v>
      </c>
    </row>
    <row r="145" hidden="1" spans="4:32">
      <c r="D145" s="2">
        <v>25</v>
      </c>
      <c r="Q145" s="2">
        <v>25</v>
      </c>
      <c r="AD145" s="2">
        <v>25</v>
      </c>
      <c r="AE145" s="2">
        <v>25</v>
      </c>
      <c r="AF145" s="2">
        <v>25</v>
      </c>
    </row>
    <row r="146" hidden="1" spans="4:32">
      <c r="D146" s="2">
        <v>26</v>
      </c>
      <c r="Q146" s="2">
        <v>26</v>
      </c>
      <c r="AD146" s="2">
        <v>26</v>
      </c>
      <c r="AE146" s="2">
        <v>26</v>
      </c>
      <c r="AF146" s="2">
        <v>26</v>
      </c>
    </row>
    <row r="147" hidden="1" spans="4:32">
      <c r="D147" s="2">
        <v>27</v>
      </c>
      <c r="Q147" s="2">
        <v>27</v>
      </c>
      <c r="AD147" s="2">
        <v>27</v>
      </c>
      <c r="AE147" s="2">
        <v>27</v>
      </c>
      <c r="AF147" s="2">
        <v>27</v>
      </c>
    </row>
    <row r="148" hidden="1" spans="4:32">
      <c r="D148" s="2">
        <v>28</v>
      </c>
      <c r="Q148" s="2">
        <v>28</v>
      </c>
      <c r="AD148" s="2">
        <v>28</v>
      </c>
      <c r="AE148" s="2">
        <v>28</v>
      </c>
      <c r="AF148" s="2">
        <v>28</v>
      </c>
    </row>
    <row r="149" hidden="1" spans="4:32">
      <c r="D149" s="2">
        <v>29</v>
      </c>
      <c r="Q149" s="2">
        <v>29</v>
      </c>
      <c r="AD149" s="2">
        <v>29</v>
      </c>
      <c r="AE149" s="2">
        <v>29</v>
      </c>
      <c r="AF149" s="2">
        <v>29</v>
      </c>
    </row>
    <row r="150" hidden="1" spans="4:32">
      <c r="D150" s="2">
        <v>30</v>
      </c>
      <c r="Q150" s="2">
        <v>30</v>
      </c>
      <c r="AD150" s="2">
        <v>30</v>
      </c>
      <c r="AE150" s="2">
        <v>30</v>
      </c>
      <c r="AF150" s="2">
        <v>30</v>
      </c>
    </row>
    <row r="151" hidden="1" spans="4:32">
      <c r="D151" s="2">
        <v>31</v>
      </c>
      <c r="Q151" s="2">
        <v>31</v>
      </c>
      <c r="AD151" s="2">
        <v>31</v>
      </c>
      <c r="AE151" s="2">
        <v>31</v>
      </c>
      <c r="AF151" s="2">
        <v>31</v>
      </c>
    </row>
    <row r="152" hidden="1" spans="4:32">
      <c r="D152" s="2">
        <v>32</v>
      </c>
      <c r="Q152" s="2">
        <v>32</v>
      </c>
      <c r="AD152" s="2">
        <v>32</v>
      </c>
      <c r="AE152" s="2">
        <v>32</v>
      </c>
      <c r="AF152" s="2">
        <v>32</v>
      </c>
    </row>
    <row r="153" hidden="1" spans="4:32">
      <c r="D153" s="2">
        <v>33</v>
      </c>
      <c r="Q153" s="2">
        <v>33</v>
      </c>
      <c r="AD153" s="2">
        <v>33</v>
      </c>
      <c r="AE153" s="2">
        <v>33</v>
      </c>
      <c r="AF153" s="2">
        <v>33</v>
      </c>
    </row>
    <row r="154" hidden="1" spans="4:32">
      <c r="D154" s="2">
        <v>34</v>
      </c>
      <c r="Q154" s="2">
        <v>34</v>
      </c>
      <c r="AD154" s="2">
        <v>34</v>
      </c>
      <c r="AE154" s="2">
        <v>34</v>
      </c>
      <c r="AF154" s="2">
        <v>34</v>
      </c>
    </row>
    <row r="155" hidden="1" spans="4:32">
      <c r="D155" s="2">
        <v>35</v>
      </c>
      <c r="Q155" s="2">
        <v>35</v>
      </c>
      <c r="AD155" s="2">
        <v>35</v>
      </c>
      <c r="AE155" s="2">
        <v>35</v>
      </c>
      <c r="AF155" s="2">
        <v>35</v>
      </c>
    </row>
    <row r="156" hidden="1" spans="4:32">
      <c r="D156" s="2">
        <v>36</v>
      </c>
      <c r="Q156" s="2">
        <v>36</v>
      </c>
      <c r="AD156" s="2">
        <v>36</v>
      </c>
      <c r="AE156" s="2">
        <v>36</v>
      </c>
      <c r="AF156" s="2">
        <v>36</v>
      </c>
    </row>
    <row r="157" hidden="1" spans="4:32">
      <c r="D157" s="2">
        <v>37</v>
      </c>
      <c r="Q157" s="2">
        <v>37</v>
      </c>
      <c r="AD157" s="2">
        <v>37</v>
      </c>
      <c r="AE157" s="2">
        <v>37</v>
      </c>
      <c r="AF157" s="2">
        <v>37</v>
      </c>
    </row>
    <row r="158" hidden="1" spans="4:32">
      <c r="D158" s="2">
        <v>38</v>
      </c>
      <c r="Q158" s="2">
        <v>38</v>
      </c>
      <c r="AD158" s="2">
        <v>38</v>
      </c>
      <c r="AE158" s="2">
        <v>38</v>
      </c>
      <c r="AF158" s="2">
        <v>38</v>
      </c>
    </row>
    <row r="159" hidden="1" spans="4:32">
      <c r="D159" s="2">
        <v>39</v>
      </c>
      <c r="Q159" s="2">
        <v>39</v>
      </c>
      <c r="AD159" s="2">
        <v>39</v>
      </c>
      <c r="AE159" s="2">
        <v>39</v>
      </c>
      <c r="AF159" s="2">
        <v>39</v>
      </c>
    </row>
    <row r="160" hidden="1" spans="4:32">
      <c r="D160" s="2">
        <v>40</v>
      </c>
      <c r="Q160" s="2">
        <v>40</v>
      </c>
      <c r="AD160" s="2">
        <v>40</v>
      </c>
      <c r="AE160" s="2">
        <v>40</v>
      </c>
      <c r="AF160" s="2">
        <v>40</v>
      </c>
    </row>
    <row r="161" hidden="1" spans="4:32">
      <c r="D161" s="2">
        <v>41</v>
      </c>
      <c r="Q161" s="2">
        <v>41</v>
      </c>
      <c r="AD161" s="2">
        <v>41</v>
      </c>
      <c r="AE161" s="2">
        <v>41</v>
      </c>
      <c r="AF161" s="2">
        <v>41</v>
      </c>
    </row>
    <row r="162" hidden="1" spans="4:32">
      <c r="D162" s="2">
        <v>42</v>
      </c>
      <c r="Q162" s="2">
        <v>42</v>
      </c>
      <c r="AD162" s="2">
        <v>42</v>
      </c>
      <c r="AE162" s="2">
        <v>42</v>
      </c>
      <c r="AF162" s="2">
        <v>42</v>
      </c>
    </row>
    <row r="163" hidden="1" spans="4:32">
      <c r="D163" s="2">
        <v>43</v>
      </c>
      <c r="Q163" s="2">
        <v>43</v>
      </c>
      <c r="AD163" s="2">
        <v>43</v>
      </c>
      <c r="AE163" s="2">
        <v>43</v>
      </c>
      <c r="AF163" s="2">
        <v>43</v>
      </c>
    </row>
    <row r="164" hidden="1" spans="4:32">
      <c r="D164" s="2">
        <v>44</v>
      </c>
      <c r="Q164" s="2">
        <v>44</v>
      </c>
      <c r="AD164" s="2">
        <v>44</v>
      </c>
      <c r="AE164" s="2">
        <v>44</v>
      </c>
      <c r="AF164" s="2">
        <v>44</v>
      </c>
    </row>
    <row r="165" hidden="1" spans="4:32">
      <c r="D165" s="2">
        <v>45</v>
      </c>
      <c r="Q165" s="2">
        <v>45</v>
      </c>
      <c r="AD165" s="2">
        <v>45</v>
      </c>
      <c r="AE165" s="2">
        <v>45</v>
      </c>
      <c r="AF165" s="2">
        <v>45</v>
      </c>
    </row>
    <row r="166" hidden="1" spans="4:32">
      <c r="D166" s="2">
        <v>46</v>
      </c>
      <c r="Q166" s="2">
        <v>46</v>
      </c>
      <c r="AD166" s="2">
        <v>46</v>
      </c>
      <c r="AE166" s="2">
        <v>46</v>
      </c>
      <c r="AF166" s="2">
        <v>46</v>
      </c>
    </row>
    <row r="167" hidden="1" spans="4:32">
      <c r="D167" s="2">
        <v>47</v>
      </c>
      <c r="Q167" s="2">
        <v>47</v>
      </c>
      <c r="AD167" s="2">
        <v>47</v>
      </c>
      <c r="AE167" s="2">
        <v>47</v>
      </c>
      <c r="AF167" s="2">
        <v>47</v>
      </c>
    </row>
    <row r="168" hidden="1" spans="4:32">
      <c r="D168" s="2">
        <v>48</v>
      </c>
      <c r="Q168" s="2">
        <v>48</v>
      </c>
      <c r="AD168" s="2">
        <v>48</v>
      </c>
      <c r="AE168" s="2">
        <v>48</v>
      </c>
      <c r="AF168" s="2">
        <v>48</v>
      </c>
    </row>
    <row r="169" hidden="1" spans="4:32">
      <c r="D169" s="2">
        <v>49</v>
      </c>
      <c r="Q169" s="2">
        <v>49</v>
      </c>
      <c r="AD169" s="2">
        <v>49</v>
      </c>
      <c r="AE169" s="2">
        <v>49</v>
      </c>
      <c r="AF169" s="2">
        <v>49</v>
      </c>
    </row>
    <row r="170" hidden="1" spans="4:32">
      <c r="D170" s="2">
        <v>50</v>
      </c>
      <c r="Q170" s="2">
        <v>50</v>
      </c>
      <c r="AD170" s="2">
        <v>50</v>
      </c>
      <c r="AE170" s="2">
        <v>50</v>
      </c>
      <c r="AF170" s="2">
        <v>50</v>
      </c>
    </row>
  </sheetData>
  <sheetProtection algorithmName="SHA-512" hashValue="/EycwG3fq/XlGqdWAWrGySQ+/FefmyfN2L9p81kUUVKKKXyrpfYVAYPT1+aRoJlBup2l4YiI/T08CTH7J2WpjA==" saltValue="eFm+bv+8drk/OrS7Hf7neg==" spinCount="100000" sheet="1" formatCells="0" formatColumns="0" formatRows="0" autoFilter="0"/>
  <autoFilter xmlns:etc="http://www.wps.cn/officeDocument/2017/etCustomData" ref="C15:C118" etc:filterBottomFollowUsedRange="0">
    <extLst/>
  </autoFilter>
  <mergeCells count="26">
    <mergeCell ref="H6:M6"/>
    <mergeCell ref="P6:T6"/>
    <mergeCell ref="AA6:AC6"/>
    <mergeCell ref="H7:T7"/>
    <mergeCell ref="AA7:AC7"/>
    <mergeCell ref="D9:G9"/>
    <mergeCell ref="H9:I9"/>
    <mergeCell ref="J9:M9"/>
    <mergeCell ref="N9:P9"/>
    <mergeCell ref="Q9:T9"/>
    <mergeCell ref="U9:AM9"/>
    <mergeCell ref="D10:G10"/>
    <mergeCell ref="H10:P10"/>
    <mergeCell ref="Q10:T10"/>
    <mergeCell ref="U10:AG10"/>
    <mergeCell ref="AH10:AI10"/>
    <mergeCell ref="D11:P11"/>
    <mergeCell ref="Q11:AC11"/>
    <mergeCell ref="AD11:AK11"/>
    <mergeCell ref="D12:P12"/>
    <mergeCell ref="Q12:AC12"/>
    <mergeCell ref="AD12:AK12"/>
    <mergeCell ref="B14:C14"/>
    <mergeCell ref="AL11:AL14"/>
    <mergeCell ref="AM11:AM14"/>
    <mergeCell ref="B9:C13"/>
  </mergeCells>
  <conditionalFormatting sqref="B8:AM8">
    <cfRule type="expression" dxfId="9" priority="14">
      <formula>$B$8="INCORRECT SHEET. Do not use this sheet to input data."</formula>
    </cfRule>
  </conditionalFormatting>
  <conditionalFormatting sqref="AD13:AF13">
    <cfRule type="expression" dxfId="10" priority="34">
      <formula>$AG$14&lt;&gt;""</formula>
    </cfRule>
  </conditionalFormatting>
  <conditionalFormatting sqref="AF13">
    <cfRule type="expression" dxfId="10" priority="33">
      <formula>$AG$14=""</formula>
    </cfRule>
  </conditionalFormatting>
  <conditionalFormatting sqref="C68:C117">
    <cfRule type="expression" dxfId="11" priority="12">
      <formula>$AM68&lt;75</formula>
    </cfRule>
  </conditionalFormatting>
  <conditionalFormatting sqref="AJ17:AJ66">
    <cfRule type="expression" dxfId="12" priority="7">
      <formula>$AJ17&lt;70</formula>
    </cfRule>
  </conditionalFormatting>
  <conditionalFormatting sqref="AJ68:AJ117">
    <cfRule type="expression" dxfId="12" priority="2">
      <formula>$AJ68&lt;70</formula>
    </cfRule>
  </conditionalFormatting>
  <conditionalFormatting sqref="AM68:AM117">
    <cfRule type="expression" dxfId="11" priority="1">
      <formula>$AM68&lt;75</formula>
    </cfRule>
  </conditionalFormatting>
  <conditionalFormatting sqref="B9:AM14">
    <cfRule type="expression" dxfId="13" priority="13">
      <formula>$B$8="INCORRECT SHEET. Do not use this sheet to input data."</formula>
    </cfRule>
  </conditionalFormatting>
  <conditionalFormatting sqref="AD11:AK14">
    <cfRule type="expression" dxfId="14" priority="10">
      <formula>$AD$12=0</formula>
    </cfRule>
  </conditionalFormatting>
  <conditionalFormatting sqref="AD13:AE14">
    <cfRule type="expression" dxfId="15" priority="32">
      <formula>$AG$14=""</formula>
    </cfRule>
  </conditionalFormatting>
  <conditionalFormatting sqref="AD13:AF14">
    <cfRule type="expression" dxfId="15" priority="21">
      <formula>$AD$14=0</formula>
    </cfRule>
  </conditionalFormatting>
  <conditionalFormatting sqref="C17:C66 AM17:AM66">
    <cfRule type="expression" dxfId="11" priority="23">
      <formula>$AM17&lt;75</formula>
    </cfRule>
  </conditionalFormatting>
  <conditionalFormatting sqref="D17:M66 D68:M117">
    <cfRule type="expression" dxfId="16" priority="31">
      <formula>D$14=""</formula>
    </cfRule>
  </conditionalFormatting>
  <conditionalFormatting sqref="N17:P66 N68:P117">
    <cfRule type="expression" dxfId="17" priority="29">
      <formula>$O17&lt;70</formula>
    </cfRule>
  </conditionalFormatting>
  <conditionalFormatting sqref="O17:O66 O68:O117">
    <cfRule type="expression" dxfId="12" priority="20">
      <formula>$O17&lt;70</formula>
    </cfRule>
  </conditionalFormatting>
  <conditionalFormatting sqref="Q17:Z66 Q68:Z117">
    <cfRule type="expression" dxfId="18" priority="30">
      <formula>Q$14=""</formula>
    </cfRule>
  </conditionalFormatting>
  <conditionalFormatting sqref="AA17:AC66 AA68:AC117">
    <cfRule type="expression" dxfId="17" priority="19">
      <formula>$AB17&lt;70</formula>
    </cfRule>
  </conditionalFormatting>
  <conditionalFormatting sqref="AB17:AB66 AB68:AB117">
    <cfRule type="expression" dxfId="12" priority="18">
      <formula>$AB17&lt;70</formula>
    </cfRule>
  </conditionalFormatting>
  <conditionalFormatting sqref="AD17:AF66 AD68:AF117">
    <cfRule type="expression" dxfId="18" priority="22">
      <formula>AD$14=""</formula>
    </cfRule>
  </conditionalFormatting>
  <conditionalFormatting sqref="AJ17:AK66">
    <cfRule type="expression" dxfId="17" priority="8">
      <formula>$AJ17&lt;70</formula>
    </cfRule>
  </conditionalFormatting>
  <conditionalFormatting sqref="AJ68:AK117">
    <cfRule type="expression" dxfId="17" priority="3">
      <formula>$AJ68&lt;70</formula>
    </cfRule>
  </conditionalFormatting>
  <dataValidations count="1">
    <dataValidation type="list" allowBlank="1" showInputMessage="1" showErrorMessage="1" sqref="D17:M117 Q17:Z117 AD17:AF117">
      <formula1>_xlfn.ANCHORARRAY(D$120)</formula1>
    </dataValidation>
  </dataValidations>
  <pageMargins left="0.7" right="0.7" top="0.75" bottom="0.75" header="0.3" footer="0.3"/>
  <pageSetup paperSize="256" scale="62"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00B050"/>
  </sheetPr>
  <dimension ref="B1:AM120"/>
  <sheetViews>
    <sheetView showGridLines="0" zoomScale="85" zoomScaleNormal="85" workbookViewId="0">
      <pane ySplit="15" topLeftCell="A16" activePane="bottomLeft" state="frozen"/>
      <selection/>
      <selection pane="bottomLeft" activeCell="AD17" sqref="AD17"/>
    </sheetView>
  </sheetViews>
  <sheetFormatPr defaultColWidth="0" defaultRowHeight="13.8" customHeight="1" zeroHeight="1"/>
  <cols>
    <col min="1" max="2" width="3.62962962962963" style="2" customWidth="1"/>
    <col min="3" max="3" width="36.6296296296296" style="2" customWidth="1"/>
    <col min="4" max="13" width="4.36111111111111" style="2" customWidth="1"/>
    <col min="14" max="16" width="6.62962962962963" style="2" customWidth="1"/>
    <col min="17" max="26" width="4.36111111111111" style="2" customWidth="1"/>
    <col min="27" max="28" width="6.62962962962963" style="2" customWidth="1"/>
    <col min="29" max="29" width="6.62962962962963" style="16" customWidth="1"/>
    <col min="30" max="32" width="4.36111111111111" style="2" customWidth="1"/>
    <col min="33" max="37" width="6.62962962962963" style="2" customWidth="1"/>
    <col min="38" max="39" width="8.62962962962963" style="2" customWidth="1"/>
    <col min="40" max="40" width="3.62962962962963" style="2" customWidth="1"/>
    <col min="41" max="45" width="3.62962962962963" style="2" hidden="1" customWidth="1"/>
    <col min="46" max="16384" width="9.17592592592593" style="2" hidden="1"/>
  </cols>
  <sheetData>
    <row r="1"/>
    <row r="2" ht="28.2" spans="2:39">
      <c r="B2" s="269" t="s">
        <v>170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270"/>
      <c r="AD2" s="173"/>
      <c r="AE2" s="173"/>
      <c r="AF2" s="173"/>
      <c r="AG2" s="173"/>
      <c r="AH2" s="173"/>
      <c r="AI2" s="173"/>
      <c r="AJ2" s="173"/>
      <c r="AK2" s="173"/>
      <c r="AL2" s="173"/>
      <c r="AM2" s="173"/>
    </row>
    <row r="3" spans="2:39">
      <c r="B3" s="271" t="s">
        <v>171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270"/>
      <c r="AD3" s="173"/>
      <c r="AE3" s="173"/>
      <c r="AF3" s="173"/>
      <c r="AG3" s="173"/>
      <c r="AH3" s="173"/>
      <c r="AI3" s="173"/>
      <c r="AJ3" s="173"/>
      <c r="AK3" s="173"/>
      <c r="AL3" s="173"/>
      <c r="AM3" s="173"/>
    </row>
    <row r="4"/>
    <row r="5"/>
    <row r="6" spans="2:39">
      <c r="G6" s="174" t="s">
        <v>7</v>
      </c>
      <c r="H6" s="176" t="str">
        <f>UPPER('INPUT DATA'!F10)</f>
        <v>REGION IV-A </v>
      </c>
      <c r="I6" s="176"/>
      <c r="J6" s="176"/>
      <c r="K6" s="176"/>
      <c r="L6" s="176"/>
      <c r="M6" s="176"/>
      <c r="O6" s="174" t="s">
        <v>10</v>
      </c>
      <c r="P6" s="176" t="str">
        <f>UPPER('INPUT DATA'!F11)</f>
        <v>CALAMBA CITY</v>
      </c>
      <c r="Q6" s="176"/>
      <c r="R6" s="176"/>
      <c r="S6" s="176"/>
      <c r="T6" s="176"/>
      <c r="Z6" s="174" t="s">
        <v>12</v>
      </c>
      <c r="AA6" s="176">
        <f>IF('INPUT DATA'!F13="","",'INPUT DATA'!F13)</f>
        <v>301518</v>
      </c>
      <c r="AB6" s="176"/>
      <c r="AC6" s="176"/>
    </row>
    <row r="7" spans="2:39">
      <c r="G7" s="174" t="s">
        <v>14</v>
      </c>
      <c r="H7" s="177" t="str">
        <f>UPPER('INPUT DATA'!F14)</f>
        <v>EDUARDO BARRETTO SR. INTEGRATED SCHOOL</v>
      </c>
      <c r="I7" s="178"/>
      <c r="J7" s="178"/>
      <c r="K7" s="178"/>
      <c r="L7" s="178"/>
      <c r="M7" s="178"/>
      <c r="N7" s="178"/>
      <c r="O7" s="178"/>
      <c r="P7" s="178"/>
      <c r="Q7" s="178"/>
      <c r="R7" s="178"/>
      <c r="S7" s="178"/>
      <c r="T7" s="179"/>
      <c r="Z7" s="174" t="s">
        <v>16</v>
      </c>
      <c r="AA7" s="176" t="str">
        <f>'INPUT DATA'!F16&amp;"    "&amp;'INPUT DATA'!G16</f>
        <v>2026    –    2027</v>
      </c>
      <c r="AB7" s="176"/>
      <c r="AC7" s="176"/>
    </row>
    <row r="8" ht="14.55" spans="2:39">
      <c r="B8" s="272" t="str">
        <f>IF(OR(HELPER!G23="2ND",HELPER!G23="1ST &amp; 2ND",HELPER!G23="2ND &amp; 3RD",HELPER!G23="1ST, 2ND, 3RD"),"","INCORRECT SHEET. Do not use this sheet to input data.")</f>
        <v/>
      </c>
      <c r="C8" s="10"/>
    </row>
    <row r="9" ht="20.5" customHeight="1" spans="2:39">
      <c r="B9" s="273" t="s">
        <v>189</v>
      </c>
      <c r="C9" s="274"/>
      <c r="D9" s="275" t="s">
        <v>23</v>
      </c>
      <c r="E9" s="276"/>
      <c r="F9" s="276"/>
      <c r="G9" s="276"/>
      <c r="H9" s="277">
        <f>IFERROR(IF(B8&lt;&gt;"INCORRECT SHEET. Do not use this sheet to input data.",'INPUT DATA'!F24,""),"")</f>
        <v>11</v>
      </c>
      <c r="I9" s="277"/>
      <c r="J9" s="278" t="s">
        <v>172</v>
      </c>
      <c r="K9" s="279"/>
      <c r="L9" s="279"/>
      <c r="M9" s="280"/>
      <c r="N9" s="184" t="str">
        <f>IFERROR(IF(B8&lt;&gt;"INCORRECT SHEET. Do not use this sheet to input data.",UPPER('INPUT DATA'!F25),""),"")</f>
        <v>MILKY WAY</v>
      </c>
      <c r="O9" s="185"/>
      <c r="P9" s="281"/>
      <c r="Q9" s="282" t="s">
        <v>32</v>
      </c>
      <c r="R9" s="282"/>
      <c r="S9" s="282"/>
      <c r="T9" s="282"/>
      <c r="U9" s="283" t="str">
        <f>IFERROR(IF(B8&lt;&gt;"INCORRECT SHEET. Do not use this sheet to input data.",UPPER(HELPER!G10),""),"")</f>
        <v>GENERAL MATHEMATICS</v>
      </c>
      <c r="V9" s="284"/>
      <c r="W9" s="284"/>
      <c r="X9" s="284"/>
      <c r="Y9" s="284"/>
      <c r="Z9" s="284"/>
      <c r="AA9" s="284"/>
      <c r="AB9" s="284"/>
      <c r="AC9" s="284"/>
      <c r="AD9" s="284"/>
      <c r="AE9" s="284"/>
      <c r="AF9" s="284"/>
      <c r="AG9" s="284"/>
      <c r="AH9" s="284"/>
      <c r="AI9" s="284"/>
      <c r="AJ9" s="284"/>
      <c r="AK9" s="284"/>
      <c r="AL9" s="284"/>
      <c r="AM9" s="285"/>
    </row>
    <row r="10" ht="16.5" customHeight="1" spans="2:39">
      <c r="B10" s="286"/>
      <c r="C10" s="287"/>
      <c r="D10" s="288" t="s">
        <v>21</v>
      </c>
      <c r="E10" s="289"/>
      <c r="F10" s="289"/>
      <c r="G10" s="289"/>
      <c r="H10" s="290" t="str">
        <f>IFERROR(IF(B8&lt;&gt;"INCORRECT SHEET. Do not use this sheet to input data.",UPPER('INPUT DATA'!F22),""),"")</f>
        <v>KAREN P. GONZAGA</v>
      </c>
      <c r="I10" s="291"/>
      <c r="J10" s="291"/>
      <c r="K10" s="291"/>
      <c r="L10" s="291"/>
      <c r="M10" s="291"/>
      <c r="N10" s="291"/>
      <c r="O10" s="291"/>
      <c r="P10" s="292"/>
      <c r="Q10" s="289" t="s">
        <v>30</v>
      </c>
      <c r="R10" s="289"/>
      <c r="S10" s="289"/>
      <c r="T10" s="289"/>
      <c r="U10" s="290" t="str">
        <f>IFERROR(IF(B8&lt;&gt;"INCORRECT SHEET. Do not use this sheet to input data.",UPPER(HELPER!G9),""),"")</f>
        <v>CORE</v>
      </c>
      <c r="V10" s="291"/>
      <c r="W10" s="291"/>
      <c r="X10" s="291"/>
      <c r="Y10" s="291"/>
      <c r="Z10" s="291"/>
      <c r="AA10" s="291"/>
      <c r="AB10" s="291"/>
      <c r="AC10" s="291"/>
      <c r="AD10" s="291"/>
      <c r="AE10" s="291"/>
      <c r="AF10" s="291"/>
      <c r="AG10" s="292"/>
      <c r="AH10" s="293" t="s">
        <v>173</v>
      </c>
      <c r="AI10" s="293"/>
      <c r="AJ10" s="222">
        <f>IFERROR(IF(B8&lt;&gt;"INCORRECT SHEET. Do not use this sheet to input data.",HELPER!G27,""),"")</f>
        <v>2</v>
      </c>
      <c r="AK10" s="931" t="s">
        <v>174</v>
      </c>
      <c r="AL10" s="295">
        <f>IFERROR(IF(B8&lt;&gt;"INCORRECT SHEET. Do not use this sheet to input data.",HELPER!G28,""),"")</f>
        <v>6</v>
      </c>
      <c r="AM10" s="932" t="s">
        <v>175</v>
      </c>
    </row>
    <row r="11" ht="20.5" customHeight="1" spans="2:39">
      <c r="B11" s="286"/>
      <c r="C11" s="287"/>
      <c r="D11" s="297" t="s">
        <v>176</v>
      </c>
      <c r="E11" s="298"/>
      <c r="F11" s="298"/>
      <c r="G11" s="298"/>
      <c r="H11" s="298"/>
      <c r="I11" s="298"/>
      <c r="J11" s="298"/>
      <c r="K11" s="298"/>
      <c r="L11" s="298"/>
      <c r="M11" s="298"/>
      <c r="N11" s="298"/>
      <c r="O11" s="298"/>
      <c r="P11" s="299"/>
      <c r="Q11" s="297" t="s">
        <v>177</v>
      </c>
      <c r="R11" s="298"/>
      <c r="S11" s="298"/>
      <c r="T11" s="298"/>
      <c r="U11" s="298"/>
      <c r="V11" s="298"/>
      <c r="W11" s="298"/>
      <c r="X11" s="298"/>
      <c r="Y11" s="298"/>
      <c r="Z11" s="298"/>
      <c r="AA11" s="298"/>
      <c r="AB11" s="298"/>
      <c r="AC11" s="299"/>
      <c r="AD11" s="297" t="s">
        <v>178</v>
      </c>
      <c r="AE11" s="298"/>
      <c r="AF11" s="298"/>
      <c r="AG11" s="298"/>
      <c r="AH11" s="298"/>
      <c r="AI11" s="298"/>
      <c r="AJ11" s="298"/>
      <c r="AK11" s="300"/>
      <c r="AL11" s="301" t="s">
        <v>179</v>
      </c>
      <c r="AM11" s="302" t="s">
        <v>180</v>
      </c>
    </row>
    <row r="12" ht="21" customHeight="1" spans="2:39">
      <c r="B12" s="286"/>
      <c r="C12" s="287"/>
      <c r="D12" s="303">
        <f>IF($U$9&lt;&gt;"",IFERROR(_xlfn.IFNA(HELPER!G13/100,""),""),"")</f>
        <v>0.2</v>
      </c>
      <c r="E12" s="304"/>
      <c r="F12" s="304"/>
      <c r="G12" s="304"/>
      <c r="H12" s="304"/>
      <c r="I12" s="304"/>
      <c r="J12" s="304"/>
      <c r="K12" s="304"/>
      <c r="L12" s="304"/>
      <c r="M12" s="304"/>
      <c r="N12" s="304"/>
      <c r="O12" s="304"/>
      <c r="P12" s="305"/>
      <c r="Q12" s="306">
        <f>IF($U$9&lt;&gt;"",IFERROR(_xlfn.IFNA(HELPER!G14/100,""),""),"")</f>
        <v>0.5</v>
      </c>
      <c r="R12" s="307"/>
      <c r="S12" s="307"/>
      <c r="T12" s="307"/>
      <c r="U12" s="307"/>
      <c r="V12" s="307"/>
      <c r="W12" s="307"/>
      <c r="X12" s="307"/>
      <c r="Y12" s="307"/>
      <c r="Z12" s="307"/>
      <c r="AA12" s="307"/>
      <c r="AB12" s="307"/>
      <c r="AC12" s="308"/>
      <c r="AD12" s="306">
        <f>IF($U$9&lt;&gt;"",IFERROR(_xlfn.IFNA(HELPER!G15/100,""),""),"")</f>
        <v>0.3</v>
      </c>
      <c r="AE12" s="307"/>
      <c r="AF12" s="307"/>
      <c r="AG12" s="307"/>
      <c r="AH12" s="307"/>
      <c r="AI12" s="307"/>
      <c r="AJ12" s="307"/>
      <c r="AK12" s="309"/>
      <c r="AL12" s="310"/>
      <c r="AM12" s="311"/>
    </row>
    <row r="13" ht="14.5" customHeight="1" spans="2:39">
      <c r="B13" s="286"/>
      <c r="C13" s="287"/>
      <c r="D13" s="312">
        <v>1</v>
      </c>
      <c r="E13" s="313">
        <v>2</v>
      </c>
      <c r="F13" s="313">
        <v>3</v>
      </c>
      <c r="G13" s="313">
        <v>4</v>
      </c>
      <c r="H13" s="313">
        <v>5</v>
      </c>
      <c r="I13" s="314">
        <v>6</v>
      </c>
      <c r="J13" s="314">
        <v>7</v>
      </c>
      <c r="K13" s="314">
        <v>8</v>
      </c>
      <c r="L13" s="314">
        <v>9</v>
      </c>
      <c r="M13" s="315">
        <v>10</v>
      </c>
      <c r="N13" s="316" t="s">
        <v>181</v>
      </c>
      <c r="O13" s="317" t="s">
        <v>96</v>
      </c>
      <c r="P13" s="318" t="s">
        <v>93</v>
      </c>
      <c r="Q13" s="312">
        <v>1</v>
      </c>
      <c r="R13" s="313">
        <v>2</v>
      </c>
      <c r="S13" s="313">
        <v>3</v>
      </c>
      <c r="T13" s="314">
        <v>4</v>
      </c>
      <c r="U13" s="314">
        <v>5</v>
      </c>
      <c r="V13" s="314">
        <v>6</v>
      </c>
      <c r="W13" s="314">
        <v>7</v>
      </c>
      <c r="X13" s="314">
        <v>8</v>
      </c>
      <c r="Y13" s="314">
        <v>9</v>
      </c>
      <c r="Z13" s="315">
        <v>10</v>
      </c>
      <c r="AA13" s="316" t="s">
        <v>181</v>
      </c>
      <c r="AB13" s="317" t="s">
        <v>96</v>
      </c>
      <c r="AC13" s="318" t="s">
        <v>93</v>
      </c>
      <c r="AD13" s="319" t="s">
        <v>182</v>
      </c>
      <c r="AE13" s="314" t="s">
        <v>183</v>
      </c>
      <c r="AF13" s="315" t="s">
        <v>184</v>
      </c>
      <c r="AG13" s="316" t="s">
        <v>185</v>
      </c>
      <c r="AH13" s="317" t="s">
        <v>186</v>
      </c>
      <c r="AI13" s="318" t="s">
        <v>187</v>
      </c>
      <c r="AJ13" s="316" t="s">
        <v>96</v>
      </c>
      <c r="AK13" s="320" t="s">
        <v>93</v>
      </c>
      <c r="AL13" s="310"/>
      <c r="AM13" s="311"/>
    </row>
    <row r="14" spans="2:39">
      <c r="B14" s="321" t="s">
        <v>70</v>
      </c>
      <c r="C14" s="322"/>
      <c r="D14" s="323"/>
      <c r="E14" s="324"/>
      <c r="F14" s="324"/>
      <c r="G14" s="324"/>
      <c r="H14" s="324"/>
      <c r="I14" s="324"/>
      <c r="J14" s="324"/>
      <c r="K14" s="324"/>
      <c r="L14" s="324"/>
      <c r="M14" s="325"/>
      <c r="N14" s="326">
        <f>SUM(D14:M14)</f>
        <v>0</v>
      </c>
      <c r="O14" s="327">
        <v>100</v>
      </c>
      <c r="P14" s="328">
        <f>D12</f>
        <v>0.2</v>
      </c>
      <c r="Q14" s="323"/>
      <c r="R14" s="324"/>
      <c r="S14" s="324"/>
      <c r="T14" s="324"/>
      <c r="U14" s="324"/>
      <c r="V14" s="324"/>
      <c r="W14" s="324"/>
      <c r="X14" s="324"/>
      <c r="Y14" s="324"/>
      <c r="Z14" s="325"/>
      <c r="AA14" s="326">
        <f>SUM(Q14:Z14)</f>
        <v>0</v>
      </c>
      <c r="AB14" s="327">
        <v>100</v>
      </c>
      <c r="AC14" s="328">
        <f>Q12</f>
        <v>0.5</v>
      </c>
      <c r="AD14" s="323"/>
      <c r="AE14" s="324"/>
      <c r="AF14" s="325"/>
      <c r="AG14" s="329">
        <f>_xlfn.IFNA(HELPER!G17,"")</f>
        <v>30</v>
      </c>
      <c r="AH14" s="329">
        <f>_xlfn.IFNA(HELPER!G18,"")</f>
        <v>30</v>
      </c>
      <c r="AI14" s="329">
        <f>_xlfn.IFNA(HELPER!G19,"")</f>
        <v>40</v>
      </c>
      <c r="AJ14" s="326">
        <f>IF(AD12=0,"",100)</f>
        <v>100</v>
      </c>
      <c r="AK14" s="330">
        <f>AD12</f>
        <v>0.3</v>
      </c>
      <c r="AL14" s="310"/>
      <c r="AM14" s="311"/>
    </row>
    <row r="15" ht="18" spans="2:39">
      <c r="B15" s="331" t="s">
        <v>43</v>
      </c>
      <c r="C15" s="332"/>
      <c r="D15" s="333"/>
      <c r="E15" s="334"/>
      <c r="F15" s="334"/>
      <c r="G15" s="334"/>
      <c r="H15" s="334"/>
      <c r="I15" s="334"/>
      <c r="J15" s="334"/>
      <c r="K15" s="334"/>
      <c r="L15" s="334"/>
      <c r="M15" s="335"/>
      <c r="N15" s="333"/>
      <c r="O15" s="334"/>
      <c r="P15" s="336"/>
      <c r="Q15" s="333"/>
      <c r="R15" s="334"/>
      <c r="S15" s="334"/>
      <c r="T15" s="334"/>
      <c r="U15" s="334"/>
      <c r="V15" s="334"/>
      <c r="W15" s="334"/>
      <c r="X15" s="334"/>
      <c r="Y15" s="334"/>
      <c r="Z15" s="335"/>
      <c r="AA15" s="333"/>
      <c r="AB15" s="334"/>
      <c r="AC15" s="336"/>
      <c r="AD15" s="333"/>
      <c r="AE15" s="334"/>
      <c r="AF15" s="335"/>
      <c r="AG15" s="333"/>
      <c r="AH15" s="334"/>
      <c r="AI15" s="336"/>
      <c r="AJ15" s="333"/>
      <c r="AK15" s="337"/>
      <c r="AL15" s="333"/>
      <c r="AM15" s="336"/>
    </row>
    <row r="16" ht="14.55" spans="2:39">
      <c r="B16" s="338" t="s">
        <v>44</v>
      </c>
      <c r="C16" s="339"/>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1"/>
      <c r="AM16" s="342"/>
    </row>
    <row r="17" spans="2:39">
      <c r="B17" s="343">
        <v>1</v>
      </c>
      <c r="C17" s="344" t="str">
        <f>IFERROR(IF(OR($B$8="INCORRECT SHEET. Do not use this sheet to input data.",'INPUT DATA'!O11=""),"",'INPUT DATA'!O11),"")</f>
        <v>CALICA, LJAY</v>
      </c>
      <c r="D17" s="345"/>
      <c r="E17" s="346"/>
      <c r="F17" s="346"/>
      <c r="G17" s="346"/>
      <c r="H17" s="346"/>
      <c r="I17" s="346"/>
      <c r="J17" s="346"/>
      <c r="K17" s="346"/>
      <c r="L17" s="346"/>
      <c r="M17" s="347"/>
      <c r="N17" s="348" t="str">
        <f>IF(COUNT(D17:M17)=0,"",SUM(D17:M17))</f>
        <v/>
      </c>
      <c r="O17" s="349" t="str">
        <f>IFERROR(IF(N17="","",ROUND(N17/N$14*O$14,2)),"")</f>
        <v/>
      </c>
      <c r="P17" s="350" t="str">
        <f>IFERROR(IF(O17="","",ROUND(O17*P$14,2)),"")</f>
        <v/>
      </c>
      <c r="Q17" s="345"/>
      <c r="R17" s="346"/>
      <c r="S17" s="346"/>
      <c r="T17" s="346"/>
      <c r="U17" s="346"/>
      <c r="V17" s="346"/>
      <c r="W17" s="346"/>
      <c r="X17" s="346"/>
      <c r="Y17" s="346"/>
      <c r="Z17" s="347"/>
      <c r="AA17" s="348" t="str">
        <f>IF(COUNT(Q17:Z17)=0,"",SUM(Q17:Z17))</f>
        <v/>
      </c>
      <c r="AB17" s="349" t="str">
        <f>IFERROR(IF(AA17="","",ROUND(AA17/AA$14*AB$14,2)),"")</f>
        <v/>
      </c>
      <c r="AC17" s="350" t="str">
        <f>IFERROR(IF(AB17="","",ROUND(AB17*AC$14,2)),"")</f>
        <v/>
      </c>
      <c r="AD17" s="345"/>
      <c r="AE17" s="346"/>
      <c r="AF17" s="347"/>
      <c r="AG17" s="351" t="str">
        <f>IFERROR(IF(AD17="","",ROUND(AD17/$AD$14*$AG$14,2)),"")</f>
        <v/>
      </c>
      <c r="AH17" s="349" t="str">
        <f>IFERROR(IF(AE17="","",ROUND(AE17/$AE$14*$AH$14,2)),"")</f>
        <v/>
      </c>
      <c r="AI17" s="352" t="str">
        <f>IFERROR(IF(AF17="","",ROUND(AF17/$AF$14*$AI$14,2)),"")</f>
        <v/>
      </c>
      <c r="AJ17" s="351" t="str">
        <f>IF($AD$12=0,"",IF(OR(AG17&lt;&gt;"",AH17&lt;&gt;"",AI17&lt;&gt;""),(SUM(AG17:AI17)/SUM($AG$14:$AI$14))*$AJ$14,""))</f>
        <v/>
      </c>
      <c r="AK17" s="353" t="str">
        <f>IFERROR(IF(AJ17="","",ROUND(AJ17*$AK$14,2)),"")</f>
        <v/>
      </c>
      <c r="AL17" s="354" t="str">
        <f>IF(AND(C17&lt;&gt;"",P17&lt;&gt;"",AC17&lt;&gt;"",$AD$12=0),SUM(P17,AC17),IF(AND(C17&lt;&gt;"",P17&lt;&gt;"",AC17&lt;&gt;"",AK17&lt;&gt;"",$D$12&gt;0,$Q$12&gt;0,$AD$12&gt;0),SUM(P17,AC17,AK17),""))</f>
        <v/>
      </c>
      <c r="AM17" s="355" t="str">
        <f>IFERROR(_xlfn.XLOOKUP(AL17,HELPER!$C$7:$C$47,HELPER!$D$7:$D$47,,1),"")</f>
        <v/>
      </c>
    </row>
    <row r="18" spans="2:39">
      <c r="B18" s="356">
        <v>2</v>
      </c>
      <c r="C18" s="357" t="str">
        <f>IFERROR(IF(OR($B$8="INCORRECT SHEET. Do not use this sheet to input data.",'INPUT DATA'!O12=""),"",'INPUT DATA'!O12),"")</f>
        <v/>
      </c>
      <c r="D18" s="358"/>
      <c r="E18" s="359"/>
      <c r="F18" s="359"/>
      <c r="G18" s="359"/>
      <c r="H18" s="359"/>
      <c r="I18" s="359"/>
      <c r="J18" s="359"/>
      <c r="K18" s="359"/>
      <c r="L18" s="359"/>
      <c r="M18" s="360"/>
      <c r="N18" s="361" t="str">
        <f t="shared" ref="N18:N66" si="0">IF(COUNT(D18:M18)=0,"",SUM(D18:M18))</f>
        <v/>
      </c>
      <c r="O18" s="362" t="str">
        <f t="shared" ref="O18:O66" si="1">IFERROR(IF(N18="","",ROUND(N18/N$14*O$14,2)),"")</f>
        <v/>
      </c>
      <c r="P18" s="363" t="str">
        <f t="shared" ref="P18:P66" si="2">IFERROR(IF(O18="","",ROUND(O18*P$14,2)),"")</f>
        <v/>
      </c>
      <c r="Q18" s="358"/>
      <c r="R18" s="359"/>
      <c r="S18" s="359"/>
      <c r="T18" s="359"/>
      <c r="U18" s="359"/>
      <c r="V18" s="359"/>
      <c r="W18" s="359"/>
      <c r="X18" s="359"/>
      <c r="Y18" s="359"/>
      <c r="Z18" s="360"/>
      <c r="AA18" s="361" t="str">
        <f t="shared" ref="AA18:AA66" si="3">IF(COUNT(Q18:Z18)=0,"",SUM(Q18:Z18))</f>
        <v/>
      </c>
      <c r="AB18" s="362" t="str">
        <f t="shared" ref="AB18:AB66" si="4">IFERROR(IF(AA18="","",ROUND(AA18/AA$14*AB$14,2)),"")</f>
        <v/>
      </c>
      <c r="AC18" s="363" t="str">
        <f t="shared" ref="AC18:AC66" si="5">IFERROR(IF(AB18="","",ROUND(AB18*AC$14,2)),"")</f>
        <v/>
      </c>
      <c r="AD18" s="358"/>
      <c r="AE18" s="359"/>
      <c r="AF18" s="360"/>
      <c r="AG18" s="364" t="str">
        <f t="shared" ref="AG18:AG66" si="6">IFERROR(IF(AD18="","",ROUND(AD18/$AD$14*$AG$14,2)),"")</f>
        <v/>
      </c>
      <c r="AH18" s="362" t="str">
        <f t="shared" ref="AH18:AH66" si="7">IFERROR(IF(AE18="","",ROUND(AE18/$AE$14*$AH$14,2)),"")</f>
        <v/>
      </c>
      <c r="AI18" s="365" t="str">
        <f t="shared" ref="AI18:AI66" si="8">IFERROR(IF(AF18="","",ROUND(AF18/$AF$14*$AI$14,2)),"")</f>
        <v/>
      </c>
      <c r="AJ18" s="364" t="str">
        <f t="shared" ref="AJ18:AJ66" si="9">IF($AD$12=0,"",IF(OR(AG18&lt;&gt;"",AH18&lt;&gt;"",AI18&lt;&gt;""),(SUM(AG18:AI18)/SUM($AG$14:$AI$14))*$AJ$14,""))</f>
        <v/>
      </c>
      <c r="AK18" s="366" t="str">
        <f t="shared" ref="AK18:AK66" si="10">IFERROR(IF(AJ18="","",ROUND(AJ18*$AK$14,2)),"")</f>
        <v/>
      </c>
      <c r="AL18" s="367" t="str">
        <f t="shared" ref="AL18:AL66" si="11">IF(AND(C18&lt;&gt;"",P18&lt;&gt;"",AC18&lt;&gt;"",$AD$12=0),SUM(P18,AC18),IF(AND(C18&lt;&gt;"",P18&lt;&gt;"",AC18&lt;&gt;"",AK18&lt;&gt;"",$D$12&gt;0,$Q$12&gt;0,$AD$12&gt;0),SUM(P18,AC18,AK18),""))</f>
        <v/>
      </c>
      <c r="AM18" s="368" t="str">
        <f>IFERROR(_xlfn.XLOOKUP(AL18,HELPER!$C$7:$C$47,HELPER!$D$7:$D$47,,1),"")</f>
        <v/>
      </c>
    </row>
    <row r="19" spans="2:39">
      <c r="B19" s="356">
        <v>3</v>
      </c>
      <c r="C19" s="357" t="str">
        <f>IFERROR(IF(OR($B$8="INCORRECT SHEET. Do not use this sheet to input data.",'INPUT DATA'!O13=""),"",'INPUT DATA'!O13),"")</f>
        <v/>
      </c>
      <c r="D19" s="358"/>
      <c r="E19" s="359"/>
      <c r="F19" s="359"/>
      <c r="G19" s="359"/>
      <c r="H19" s="359"/>
      <c r="I19" s="359"/>
      <c r="J19" s="359"/>
      <c r="K19" s="359"/>
      <c r="L19" s="359"/>
      <c r="M19" s="360"/>
      <c r="N19" s="361" t="str">
        <f t="shared" si="0"/>
        <v/>
      </c>
      <c r="O19" s="362" t="str">
        <f t="shared" si="1"/>
        <v/>
      </c>
      <c r="P19" s="363" t="str">
        <f t="shared" si="2"/>
        <v/>
      </c>
      <c r="Q19" s="358"/>
      <c r="R19" s="359"/>
      <c r="S19" s="359"/>
      <c r="T19" s="359"/>
      <c r="U19" s="359"/>
      <c r="V19" s="359"/>
      <c r="W19" s="359"/>
      <c r="X19" s="359"/>
      <c r="Y19" s="359"/>
      <c r="Z19" s="360"/>
      <c r="AA19" s="361" t="str">
        <f t="shared" si="3"/>
        <v/>
      </c>
      <c r="AB19" s="362" t="str">
        <f t="shared" si="4"/>
        <v/>
      </c>
      <c r="AC19" s="363" t="str">
        <f t="shared" si="5"/>
        <v/>
      </c>
      <c r="AD19" s="358"/>
      <c r="AE19" s="359"/>
      <c r="AF19" s="360"/>
      <c r="AG19" s="364" t="str">
        <f t="shared" si="6"/>
        <v/>
      </c>
      <c r="AH19" s="362" t="str">
        <f t="shared" si="7"/>
        <v/>
      </c>
      <c r="AI19" s="365" t="str">
        <f t="shared" si="8"/>
        <v/>
      </c>
      <c r="AJ19" s="364" t="str">
        <f t="shared" si="9"/>
        <v/>
      </c>
      <c r="AK19" s="366" t="str">
        <f t="shared" si="10"/>
        <v/>
      </c>
      <c r="AL19" s="367" t="str">
        <f t="shared" si="11"/>
        <v/>
      </c>
      <c r="AM19" s="368" t="str">
        <f>IFERROR(_xlfn.XLOOKUP(AL19,HELPER!$C$7:$C$47,HELPER!$D$7:$D$47,,1),"")</f>
        <v/>
      </c>
    </row>
    <row r="20" spans="2:39">
      <c r="B20" s="356">
        <v>4</v>
      </c>
      <c r="C20" s="357" t="str">
        <f>IFERROR(IF(OR($B$8="INCORRECT SHEET. Do not use this sheet to input data.",'INPUT DATA'!O14=""),"",'INPUT DATA'!O14),"")</f>
        <v/>
      </c>
      <c r="D20" s="358"/>
      <c r="E20" s="359"/>
      <c r="F20" s="359"/>
      <c r="G20" s="359"/>
      <c r="H20" s="359"/>
      <c r="I20" s="359"/>
      <c r="J20" s="359"/>
      <c r="K20" s="359"/>
      <c r="L20" s="359"/>
      <c r="M20" s="360"/>
      <c r="N20" s="361" t="str">
        <f t="shared" si="0"/>
        <v/>
      </c>
      <c r="O20" s="362" t="str">
        <f t="shared" si="1"/>
        <v/>
      </c>
      <c r="P20" s="363" t="str">
        <f t="shared" si="2"/>
        <v/>
      </c>
      <c r="Q20" s="358"/>
      <c r="R20" s="359"/>
      <c r="S20" s="359"/>
      <c r="T20" s="359"/>
      <c r="U20" s="359"/>
      <c r="V20" s="359"/>
      <c r="W20" s="359"/>
      <c r="X20" s="359"/>
      <c r="Y20" s="359"/>
      <c r="Z20" s="360"/>
      <c r="AA20" s="361" t="str">
        <f t="shared" si="3"/>
        <v/>
      </c>
      <c r="AB20" s="362" t="str">
        <f t="shared" si="4"/>
        <v/>
      </c>
      <c r="AC20" s="363" t="str">
        <f t="shared" si="5"/>
        <v/>
      </c>
      <c r="AD20" s="358"/>
      <c r="AE20" s="359"/>
      <c r="AF20" s="360"/>
      <c r="AG20" s="364" t="str">
        <f t="shared" si="6"/>
        <v/>
      </c>
      <c r="AH20" s="362" t="str">
        <f t="shared" si="7"/>
        <v/>
      </c>
      <c r="AI20" s="365" t="str">
        <f t="shared" si="8"/>
        <v/>
      </c>
      <c r="AJ20" s="364" t="str">
        <f t="shared" si="9"/>
        <v/>
      </c>
      <c r="AK20" s="366" t="str">
        <f t="shared" si="10"/>
        <v/>
      </c>
      <c r="AL20" s="367" t="str">
        <f t="shared" si="11"/>
        <v/>
      </c>
      <c r="AM20" s="368" t="str">
        <f>IFERROR(_xlfn.XLOOKUP(AL20,HELPER!$C$7:$C$47,HELPER!$D$7:$D$47,,1),"")</f>
        <v/>
      </c>
    </row>
    <row r="21" spans="2:39">
      <c r="B21" s="356">
        <v>5</v>
      </c>
      <c r="C21" s="357" t="str">
        <f>IFERROR(IF(OR($B$8="INCORRECT SHEET. Do not use this sheet to input data.",'INPUT DATA'!O15=""),"",'INPUT DATA'!O15),"")</f>
        <v/>
      </c>
      <c r="D21" s="358"/>
      <c r="E21" s="359"/>
      <c r="F21" s="359"/>
      <c r="G21" s="359"/>
      <c r="H21" s="359"/>
      <c r="I21" s="359"/>
      <c r="J21" s="359"/>
      <c r="K21" s="359"/>
      <c r="L21" s="359"/>
      <c r="M21" s="360"/>
      <c r="N21" s="361" t="str">
        <f t="shared" si="0"/>
        <v/>
      </c>
      <c r="O21" s="362" t="str">
        <f t="shared" si="1"/>
        <v/>
      </c>
      <c r="P21" s="363" t="str">
        <f t="shared" si="2"/>
        <v/>
      </c>
      <c r="Q21" s="358"/>
      <c r="R21" s="359"/>
      <c r="S21" s="359"/>
      <c r="T21" s="359"/>
      <c r="U21" s="359"/>
      <c r="V21" s="359"/>
      <c r="W21" s="359"/>
      <c r="X21" s="359"/>
      <c r="Y21" s="359"/>
      <c r="Z21" s="360"/>
      <c r="AA21" s="361" t="str">
        <f t="shared" si="3"/>
        <v/>
      </c>
      <c r="AB21" s="362" t="str">
        <f t="shared" si="4"/>
        <v/>
      </c>
      <c r="AC21" s="363" t="str">
        <f t="shared" si="5"/>
        <v/>
      </c>
      <c r="AD21" s="358"/>
      <c r="AE21" s="359"/>
      <c r="AF21" s="360"/>
      <c r="AG21" s="364" t="str">
        <f t="shared" si="6"/>
        <v/>
      </c>
      <c r="AH21" s="362" t="str">
        <f t="shared" si="7"/>
        <v/>
      </c>
      <c r="AI21" s="365" t="str">
        <f t="shared" si="8"/>
        <v/>
      </c>
      <c r="AJ21" s="364" t="str">
        <f t="shared" si="9"/>
        <v/>
      </c>
      <c r="AK21" s="366" t="str">
        <f t="shared" si="10"/>
        <v/>
      </c>
      <c r="AL21" s="367" t="str">
        <f t="shared" si="11"/>
        <v/>
      </c>
      <c r="AM21" s="368" t="str">
        <f>IFERROR(_xlfn.XLOOKUP(AL21,HELPER!$C$7:$C$47,HELPER!$D$7:$D$47,,1),"")</f>
        <v/>
      </c>
    </row>
    <row r="22" spans="2:39">
      <c r="B22" s="356">
        <v>6</v>
      </c>
      <c r="C22" s="357" t="str">
        <f>IFERROR(IF(OR($B$8="INCORRECT SHEET. Do not use this sheet to input data.",'INPUT DATA'!O16=""),"",'INPUT DATA'!O16),"")</f>
        <v/>
      </c>
      <c r="D22" s="358"/>
      <c r="E22" s="359"/>
      <c r="F22" s="359"/>
      <c r="G22" s="359"/>
      <c r="H22" s="359"/>
      <c r="I22" s="359"/>
      <c r="J22" s="359"/>
      <c r="K22" s="359"/>
      <c r="L22" s="359"/>
      <c r="M22" s="360"/>
      <c r="N22" s="361" t="str">
        <f t="shared" si="0"/>
        <v/>
      </c>
      <c r="O22" s="362" t="str">
        <f t="shared" si="1"/>
        <v/>
      </c>
      <c r="P22" s="363" t="str">
        <f t="shared" si="2"/>
        <v/>
      </c>
      <c r="Q22" s="358"/>
      <c r="R22" s="359"/>
      <c r="S22" s="359"/>
      <c r="T22" s="359"/>
      <c r="U22" s="359"/>
      <c r="V22" s="359"/>
      <c r="W22" s="359"/>
      <c r="X22" s="359"/>
      <c r="Y22" s="359"/>
      <c r="Z22" s="360"/>
      <c r="AA22" s="361" t="str">
        <f t="shared" si="3"/>
        <v/>
      </c>
      <c r="AB22" s="362" t="str">
        <f t="shared" si="4"/>
        <v/>
      </c>
      <c r="AC22" s="363" t="str">
        <f t="shared" si="5"/>
        <v/>
      </c>
      <c r="AD22" s="358"/>
      <c r="AE22" s="359"/>
      <c r="AF22" s="360"/>
      <c r="AG22" s="364" t="str">
        <f t="shared" si="6"/>
        <v/>
      </c>
      <c r="AH22" s="362" t="str">
        <f t="shared" si="7"/>
        <v/>
      </c>
      <c r="AI22" s="365" t="str">
        <f t="shared" si="8"/>
        <v/>
      </c>
      <c r="AJ22" s="364" t="str">
        <f t="shared" si="9"/>
        <v/>
      </c>
      <c r="AK22" s="366" t="str">
        <f t="shared" si="10"/>
        <v/>
      </c>
      <c r="AL22" s="367" t="str">
        <f t="shared" si="11"/>
        <v/>
      </c>
      <c r="AM22" s="368" t="str">
        <f>IFERROR(_xlfn.XLOOKUP(AL22,HELPER!$C$7:$C$47,HELPER!$D$7:$D$47,,1),"")</f>
        <v/>
      </c>
    </row>
    <row r="23" spans="2:39">
      <c r="B23" s="356">
        <v>7</v>
      </c>
      <c r="C23" s="357" t="str">
        <f>IFERROR(IF(OR($B$8="INCORRECT SHEET. Do not use this sheet to input data.",'INPUT DATA'!O17=""),"",'INPUT DATA'!O17),"")</f>
        <v/>
      </c>
      <c r="D23" s="358"/>
      <c r="E23" s="359"/>
      <c r="F23" s="359"/>
      <c r="G23" s="359"/>
      <c r="H23" s="359"/>
      <c r="I23" s="359"/>
      <c r="J23" s="359"/>
      <c r="K23" s="359"/>
      <c r="L23" s="359"/>
      <c r="M23" s="360"/>
      <c r="N23" s="361" t="str">
        <f t="shared" si="0"/>
        <v/>
      </c>
      <c r="O23" s="362" t="str">
        <f t="shared" si="1"/>
        <v/>
      </c>
      <c r="P23" s="363" t="str">
        <f t="shared" si="2"/>
        <v/>
      </c>
      <c r="Q23" s="358"/>
      <c r="R23" s="359"/>
      <c r="S23" s="359"/>
      <c r="T23" s="359"/>
      <c r="U23" s="359"/>
      <c r="V23" s="359"/>
      <c r="W23" s="359"/>
      <c r="X23" s="359"/>
      <c r="Y23" s="359"/>
      <c r="Z23" s="360"/>
      <c r="AA23" s="361" t="str">
        <f t="shared" si="3"/>
        <v/>
      </c>
      <c r="AB23" s="362" t="str">
        <f t="shared" si="4"/>
        <v/>
      </c>
      <c r="AC23" s="363" t="str">
        <f t="shared" si="5"/>
        <v/>
      </c>
      <c r="AD23" s="358"/>
      <c r="AE23" s="359"/>
      <c r="AF23" s="360"/>
      <c r="AG23" s="364" t="str">
        <f t="shared" si="6"/>
        <v/>
      </c>
      <c r="AH23" s="362" t="str">
        <f t="shared" si="7"/>
        <v/>
      </c>
      <c r="AI23" s="365" t="str">
        <f t="shared" si="8"/>
        <v/>
      </c>
      <c r="AJ23" s="364" t="str">
        <f t="shared" si="9"/>
        <v/>
      </c>
      <c r="AK23" s="366" t="str">
        <f t="shared" si="10"/>
        <v/>
      </c>
      <c r="AL23" s="367" t="str">
        <f t="shared" si="11"/>
        <v/>
      </c>
      <c r="AM23" s="368" t="str">
        <f>IFERROR(_xlfn.XLOOKUP(AL23,HELPER!$C$7:$C$47,HELPER!$D$7:$D$47,,1),"")</f>
        <v/>
      </c>
    </row>
    <row r="24" spans="2:39">
      <c r="B24" s="356">
        <v>8</v>
      </c>
      <c r="C24" s="357" t="str">
        <f>IFERROR(IF(OR($B$8="INCORRECT SHEET. Do not use this sheet to input data.",'INPUT DATA'!O18=""),"",'INPUT DATA'!O18),"")</f>
        <v/>
      </c>
      <c r="D24" s="358"/>
      <c r="E24" s="359"/>
      <c r="F24" s="359"/>
      <c r="G24" s="359"/>
      <c r="H24" s="359"/>
      <c r="I24" s="359"/>
      <c r="J24" s="359"/>
      <c r="K24" s="359"/>
      <c r="L24" s="359"/>
      <c r="M24" s="360"/>
      <c r="N24" s="361" t="str">
        <f t="shared" si="0"/>
        <v/>
      </c>
      <c r="O24" s="362" t="str">
        <f t="shared" si="1"/>
        <v/>
      </c>
      <c r="P24" s="363" t="str">
        <f t="shared" si="2"/>
        <v/>
      </c>
      <c r="Q24" s="358"/>
      <c r="R24" s="359"/>
      <c r="S24" s="359"/>
      <c r="T24" s="359"/>
      <c r="U24" s="359"/>
      <c r="V24" s="359"/>
      <c r="W24" s="359"/>
      <c r="X24" s="359"/>
      <c r="Y24" s="359"/>
      <c r="Z24" s="360"/>
      <c r="AA24" s="361" t="str">
        <f t="shared" si="3"/>
        <v/>
      </c>
      <c r="AB24" s="362" t="str">
        <f t="shared" si="4"/>
        <v/>
      </c>
      <c r="AC24" s="363" t="str">
        <f t="shared" si="5"/>
        <v/>
      </c>
      <c r="AD24" s="358"/>
      <c r="AE24" s="359"/>
      <c r="AF24" s="360"/>
      <c r="AG24" s="364" t="str">
        <f t="shared" si="6"/>
        <v/>
      </c>
      <c r="AH24" s="362" t="str">
        <f t="shared" si="7"/>
        <v/>
      </c>
      <c r="AI24" s="365" t="str">
        <f t="shared" si="8"/>
        <v/>
      </c>
      <c r="AJ24" s="364" t="str">
        <f t="shared" si="9"/>
        <v/>
      </c>
      <c r="AK24" s="366" t="str">
        <f t="shared" si="10"/>
        <v/>
      </c>
      <c r="AL24" s="367" t="str">
        <f t="shared" si="11"/>
        <v/>
      </c>
      <c r="AM24" s="368" t="str">
        <f>IFERROR(_xlfn.XLOOKUP(AL24,HELPER!$C$7:$C$47,HELPER!$D$7:$D$47,,1),"")</f>
        <v/>
      </c>
    </row>
    <row r="25" spans="2:39">
      <c r="B25" s="356">
        <v>9</v>
      </c>
      <c r="C25" s="357" t="str">
        <f>IFERROR(IF(OR($B$8="INCORRECT SHEET. Do not use this sheet to input data.",'INPUT DATA'!O19=""),"",'INPUT DATA'!O19),"")</f>
        <v/>
      </c>
      <c r="D25" s="358"/>
      <c r="E25" s="359"/>
      <c r="F25" s="359"/>
      <c r="G25" s="359"/>
      <c r="H25" s="359"/>
      <c r="I25" s="359"/>
      <c r="J25" s="359"/>
      <c r="K25" s="359"/>
      <c r="L25" s="359"/>
      <c r="M25" s="360"/>
      <c r="N25" s="361" t="str">
        <f t="shared" si="0"/>
        <v/>
      </c>
      <c r="O25" s="362" t="str">
        <f t="shared" si="1"/>
        <v/>
      </c>
      <c r="P25" s="363" t="str">
        <f t="shared" si="2"/>
        <v/>
      </c>
      <c r="Q25" s="358"/>
      <c r="R25" s="359"/>
      <c r="S25" s="359"/>
      <c r="T25" s="359"/>
      <c r="U25" s="359"/>
      <c r="V25" s="359"/>
      <c r="W25" s="359"/>
      <c r="X25" s="359"/>
      <c r="Y25" s="359"/>
      <c r="Z25" s="360"/>
      <c r="AA25" s="361" t="str">
        <f t="shared" si="3"/>
        <v/>
      </c>
      <c r="AB25" s="362" t="str">
        <f t="shared" si="4"/>
        <v/>
      </c>
      <c r="AC25" s="363" t="str">
        <f t="shared" si="5"/>
        <v/>
      </c>
      <c r="AD25" s="358"/>
      <c r="AE25" s="359"/>
      <c r="AF25" s="360"/>
      <c r="AG25" s="364" t="str">
        <f t="shared" si="6"/>
        <v/>
      </c>
      <c r="AH25" s="362" t="str">
        <f t="shared" si="7"/>
        <v/>
      </c>
      <c r="AI25" s="365" t="str">
        <f t="shared" si="8"/>
        <v/>
      </c>
      <c r="AJ25" s="364" t="str">
        <f t="shared" si="9"/>
        <v/>
      </c>
      <c r="AK25" s="366" t="str">
        <f t="shared" si="10"/>
        <v/>
      </c>
      <c r="AL25" s="367" t="str">
        <f t="shared" si="11"/>
        <v/>
      </c>
      <c r="AM25" s="368" t="str">
        <f>IFERROR(_xlfn.XLOOKUP(AL25,HELPER!$C$7:$C$47,HELPER!$D$7:$D$47,,1),"")</f>
        <v/>
      </c>
    </row>
    <row r="26" ht="14.55" spans="2:39">
      <c r="B26" s="356">
        <v>10</v>
      </c>
      <c r="C26" s="357" t="str">
        <f>IFERROR(IF(OR($B$8="INCORRECT SHEET. Do not use this sheet to input data.",'INPUT DATA'!O20=""),"",'INPUT DATA'!O20),"")</f>
        <v/>
      </c>
      <c r="D26" s="358"/>
      <c r="E26" s="359"/>
      <c r="F26" s="359"/>
      <c r="G26" s="359"/>
      <c r="H26" s="359"/>
      <c r="I26" s="359"/>
      <c r="J26" s="359"/>
      <c r="K26" s="359"/>
      <c r="L26" s="359"/>
      <c r="M26" s="360"/>
      <c r="N26" s="361" t="str">
        <f t="shared" si="0"/>
        <v/>
      </c>
      <c r="O26" s="362" t="str">
        <f t="shared" si="1"/>
        <v/>
      </c>
      <c r="P26" s="363" t="str">
        <f t="shared" si="2"/>
        <v/>
      </c>
      <c r="Q26" s="358"/>
      <c r="R26" s="359"/>
      <c r="S26" s="359"/>
      <c r="T26" s="359"/>
      <c r="U26" s="359"/>
      <c r="V26" s="359"/>
      <c r="W26" s="359"/>
      <c r="X26" s="359"/>
      <c r="Y26" s="359"/>
      <c r="Z26" s="360"/>
      <c r="AA26" s="361" t="str">
        <f t="shared" si="3"/>
        <v/>
      </c>
      <c r="AB26" s="362" t="str">
        <f t="shared" si="4"/>
        <v/>
      </c>
      <c r="AC26" s="363" t="str">
        <f t="shared" si="5"/>
        <v/>
      </c>
      <c r="AD26" s="358"/>
      <c r="AE26" s="359"/>
      <c r="AF26" s="360"/>
      <c r="AG26" s="364" t="str">
        <f t="shared" si="6"/>
        <v/>
      </c>
      <c r="AH26" s="362" t="str">
        <f t="shared" si="7"/>
        <v/>
      </c>
      <c r="AI26" s="365" t="str">
        <f t="shared" si="8"/>
        <v/>
      </c>
      <c r="AJ26" s="364" t="str">
        <f t="shared" si="9"/>
        <v/>
      </c>
      <c r="AK26" s="366" t="str">
        <f t="shared" si="10"/>
        <v/>
      </c>
      <c r="AL26" s="367" t="str">
        <f t="shared" si="11"/>
        <v/>
      </c>
      <c r="AM26" s="368" t="str">
        <f>IFERROR(_xlfn.XLOOKUP(AL26,HELPER!$C$7:$C$47,HELPER!$D$7:$D$47,,1),"")</f>
        <v/>
      </c>
    </row>
    <row r="27" hidden="1" spans="2:39">
      <c r="B27" s="356">
        <v>11</v>
      </c>
      <c r="C27" s="357" t="str">
        <f>IFERROR(IF(OR($B$8="INCORRECT SHEET. Do not use this sheet to input data.",'INPUT DATA'!O21=""),"",'INPUT DATA'!O21),"")</f>
        <v/>
      </c>
      <c r="D27" s="358"/>
      <c r="E27" s="359"/>
      <c r="F27" s="359"/>
      <c r="G27" s="359"/>
      <c r="H27" s="359"/>
      <c r="I27" s="359"/>
      <c r="J27" s="359"/>
      <c r="K27" s="359"/>
      <c r="L27" s="359"/>
      <c r="M27" s="360"/>
      <c r="N27" s="361" t="str">
        <f t="shared" si="0"/>
        <v/>
      </c>
      <c r="O27" s="362" t="str">
        <f t="shared" si="1"/>
        <v/>
      </c>
      <c r="P27" s="363" t="str">
        <f t="shared" si="2"/>
        <v/>
      </c>
      <c r="Q27" s="358"/>
      <c r="R27" s="359"/>
      <c r="S27" s="359"/>
      <c r="T27" s="359"/>
      <c r="U27" s="359"/>
      <c r="V27" s="359"/>
      <c r="W27" s="359"/>
      <c r="X27" s="359"/>
      <c r="Y27" s="359"/>
      <c r="Z27" s="360"/>
      <c r="AA27" s="361" t="str">
        <f t="shared" si="3"/>
        <v/>
      </c>
      <c r="AB27" s="362" t="str">
        <f t="shared" si="4"/>
        <v/>
      </c>
      <c r="AC27" s="363" t="str">
        <f t="shared" si="5"/>
        <v/>
      </c>
      <c r="AD27" s="358"/>
      <c r="AE27" s="359"/>
      <c r="AF27" s="360"/>
      <c r="AG27" s="364" t="str">
        <f t="shared" si="6"/>
        <v/>
      </c>
      <c r="AH27" s="362" t="str">
        <f t="shared" si="7"/>
        <v/>
      </c>
      <c r="AI27" s="365" t="str">
        <f t="shared" si="8"/>
        <v/>
      </c>
      <c r="AJ27" s="364" t="str">
        <f t="shared" si="9"/>
        <v/>
      </c>
      <c r="AK27" s="366" t="str">
        <f t="shared" si="10"/>
        <v/>
      </c>
      <c r="AL27" s="367" t="str">
        <f t="shared" si="11"/>
        <v/>
      </c>
      <c r="AM27" s="368" t="str">
        <f>IFERROR(_xlfn.XLOOKUP(AL27,HELPER!$C$7:$C$47,HELPER!$D$7:$D$47,,1),"")</f>
        <v/>
      </c>
    </row>
    <row r="28" hidden="1" spans="2:39">
      <c r="B28" s="356">
        <v>12</v>
      </c>
      <c r="C28" s="357" t="str">
        <f>IFERROR(IF(OR($B$8="INCORRECT SHEET. Do not use this sheet to input data.",'INPUT DATA'!O22=""),"",'INPUT DATA'!O22),"")</f>
        <v/>
      </c>
      <c r="D28" s="358"/>
      <c r="E28" s="359"/>
      <c r="F28" s="359"/>
      <c r="G28" s="359"/>
      <c r="H28" s="359"/>
      <c r="I28" s="359"/>
      <c r="J28" s="359"/>
      <c r="K28" s="359"/>
      <c r="L28" s="359"/>
      <c r="M28" s="360"/>
      <c r="N28" s="361" t="str">
        <f t="shared" si="0"/>
        <v/>
      </c>
      <c r="O28" s="362" t="str">
        <f t="shared" si="1"/>
        <v/>
      </c>
      <c r="P28" s="363" t="str">
        <f t="shared" si="2"/>
        <v/>
      </c>
      <c r="Q28" s="358"/>
      <c r="R28" s="359"/>
      <c r="S28" s="359"/>
      <c r="T28" s="359"/>
      <c r="U28" s="359"/>
      <c r="V28" s="359"/>
      <c r="W28" s="359"/>
      <c r="X28" s="359"/>
      <c r="Y28" s="359"/>
      <c r="Z28" s="360"/>
      <c r="AA28" s="361" t="str">
        <f t="shared" si="3"/>
        <v/>
      </c>
      <c r="AB28" s="362" t="str">
        <f t="shared" si="4"/>
        <v/>
      </c>
      <c r="AC28" s="363" t="str">
        <f t="shared" si="5"/>
        <v/>
      </c>
      <c r="AD28" s="358"/>
      <c r="AE28" s="359"/>
      <c r="AF28" s="360"/>
      <c r="AG28" s="364" t="str">
        <f t="shared" si="6"/>
        <v/>
      </c>
      <c r="AH28" s="362" t="str">
        <f t="shared" si="7"/>
        <v/>
      </c>
      <c r="AI28" s="365" t="str">
        <f t="shared" si="8"/>
        <v/>
      </c>
      <c r="AJ28" s="364" t="str">
        <f t="shared" si="9"/>
        <v/>
      </c>
      <c r="AK28" s="366" t="str">
        <f t="shared" si="10"/>
        <v/>
      </c>
      <c r="AL28" s="367" t="str">
        <f t="shared" si="11"/>
        <v/>
      </c>
      <c r="AM28" s="368" t="str">
        <f>IFERROR(_xlfn.XLOOKUP(AL28,HELPER!$C$7:$C$47,HELPER!$D$7:$D$47,,1),"")</f>
        <v/>
      </c>
    </row>
    <row r="29" hidden="1" spans="2:39">
      <c r="B29" s="356">
        <v>13</v>
      </c>
      <c r="C29" s="357" t="str">
        <f>IFERROR(IF(OR($B$8="INCORRECT SHEET. Do not use this sheet to input data.",'INPUT DATA'!O23=""),"",'INPUT DATA'!O23),"")</f>
        <v/>
      </c>
      <c r="D29" s="358"/>
      <c r="E29" s="359"/>
      <c r="F29" s="359"/>
      <c r="G29" s="359"/>
      <c r="H29" s="359"/>
      <c r="I29" s="359"/>
      <c r="J29" s="359"/>
      <c r="K29" s="359"/>
      <c r="L29" s="359"/>
      <c r="M29" s="360"/>
      <c r="N29" s="361" t="str">
        <f t="shared" si="0"/>
        <v/>
      </c>
      <c r="O29" s="362" t="str">
        <f t="shared" si="1"/>
        <v/>
      </c>
      <c r="P29" s="363" t="str">
        <f t="shared" si="2"/>
        <v/>
      </c>
      <c r="Q29" s="358"/>
      <c r="R29" s="359"/>
      <c r="S29" s="359"/>
      <c r="T29" s="359"/>
      <c r="U29" s="359"/>
      <c r="V29" s="359"/>
      <c r="W29" s="359"/>
      <c r="X29" s="359"/>
      <c r="Y29" s="359"/>
      <c r="Z29" s="360"/>
      <c r="AA29" s="361" t="str">
        <f t="shared" si="3"/>
        <v/>
      </c>
      <c r="AB29" s="362" t="str">
        <f t="shared" si="4"/>
        <v/>
      </c>
      <c r="AC29" s="363" t="str">
        <f t="shared" si="5"/>
        <v/>
      </c>
      <c r="AD29" s="358"/>
      <c r="AE29" s="359"/>
      <c r="AF29" s="360"/>
      <c r="AG29" s="364" t="str">
        <f t="shared" si="6"/>
        <v/>
      </c>
      <c r="AH29" s="362" t="str">
        <f t="shared" si="7"/>
        <v/>
      </c>
      <c r="AI29" s="365" t="str">
        <f t="shared" si="8"/>
        <v/>
      </c>
      <c r="AJ29" s="364" t="str">
        <f t="shared" si="9"/>
        <v/>
      </c>
      <c r="AK29" s="366" t="str">
        <f t="shared" si="10"/>
        <v/>
      </c>
      <c r="AL29" s="367" t="str">
        <f t="shared" si="11"/>
        <v/>
      </c>
      <c r="AM29" s="368" t="str">
        <f>IFERROR(_xlfn.XLOOKUP(AL29,HELPER!$C$7:$C$47,HELPER!$D$7:$D$47,,1),"")</f>
        <v/>
      </c>
    </row>
    <row r="30" hidden="1" spans="2:39">
      <c r="B30" s="356">
        <v>14</v>
      </c>
      <c r="C30" s="357" t="str">
        <f>IFERROR(IF(OR($B$8="INCORRECT SHEET. Do not use this sheet to input data.",'INPUT DATA'!O24=""),"",'INPUT DATA'!O24),"")</f>
        <v/>
      </c>
      <c r="D30" s="358"/>
      <c r="E30" s="359"/>
      <c r="F30" s="359"/>
      <c r="G30" s="359"/>
      <c r="H30" s="359"/>
      <c r="I30" s="359"/>
      <c r="J30" s="359"/>
      <c r="K30" s="359"/>
      <c r="L30" s="359"/>
      <c r="M30" s="360"/>
      <c r="N30" s="361" t="str">
        <f t="shared" si="0"/>
        <v/>
      </c>
      <c r="O30" s="362" t="str">
        <f t="shared" si="1"/>
        <v/>
      </c>
      <c r="P30" s="363" t="str">
        <f t="shared" si="2"/>
        <v/>
      </c>
      <c r="Q30" s="358"/>
      <c r="R30" s="359"/>
      <c r="S30" s="359"/>
      <c r="T30" s="359"/>
      <c r="U30" s="359"/>
      <c r="V30" s="359"/>
      <c r="W30" s="359"/>
      <c r="X30" s="359"/>
      <c r="Y30" s="359"/>
      <c r="Z30" s="360"/>
      <c r="AA30" s="361" t="str">
        <f t="shared" si="3"/>
        <v/>
      </c>
      <c r="AB30" s="362" t="str">
        <f t="shared" si="4"/>
        <v/>
      </c>
      <c r="AC30" s="363" t="str">
        <f t="shared" si="5"/>
        <v/>
      </c>
      <c r="AD30" s="358"/>
      <c r="AE30" s="359"/>
      <c r="AF30" s="360"/>
      <c r="AG30" s="364" t="str">
        <f t="shared" si="6"/>
        <v/>
      </c>
      <c r="AH30" s="362" t="str">
        <f t="shared" si="7"/>
        <v/>
      </c>
      <c r="AI30" s="365" t="str">
        <f t="shared" si="8"/>
        <v/>
      </c>
      <c r="AJ30" s="364" t="str">
        <f t="shared" si="9"/>
        <v/>
      </c>
      <c r="AK30" s="366" t="str">
        <f t="shared" si="10"/>
        <v/>
      </c>
      <c r="AL30" s="367" t="str">
        <f t="shared" si="11"/>
        <v/>
      </c>
      <c r="AM30" s="368" t="str">
        <f>IFERROR(_xlfn.XLOOKUP(AL30,HELPER!$C$7:$C$47,HELPER!$D$7:$D$47,,1),"")</f>
        <v/>
      </c>
    </row>
    <row r="31" hidden="1" spans="2:39">
      <c r="B31" s="356">
        <v>15</v>
      </c>
      <c r="C31" s="357" t="str">
        <f>IFERROR(IF(OR($B$8="INCORRECT SHEET. Do not use this sheet to input data.",'INPUT DATA'!O25=""),"",'INPUT DATA'!O25),"")</f>
        <v/>
      </c>
      <c r="D31" s="358"/>
      <c r="E31" s="359"/>
      <c r="F31" s="359"/>
      <c r="G31" s="359"/>
      <c r="H31" s="359"/>
      <c r="I31" s="359"/>
      <c r="J31" s="359"/>
      <c r="K31" s="359"/>
      <c r="L31" s="359"/>
      <c r="M31" s="360"/>
      <c r="N31" s="361" t="str">
        <f t="shared" si="0"/>
        <v/>
      </c>
      <c r="O31" s="362" t="str">
        <f t="shared" si="1"/>
        <v/>
      </c>
      <c r="P31" s="363" t="str">
        <f t="shared" si="2"/>
        <v/>
      </c>
      <c r="Q31" s="358"/>
      <c r="R31" s="359"/>
      <c r="S31" s="359"/>
      <c r="T31" s="359"/>
      <c r="U31" s="359"/>
      <c r="V31" s="359"/>
      <c r="W31" s="359"/>
      <c r="X31" s="359"/>
      <c r="Y31" s="359"/>
      <c r="Z31" s="360"/>
      <c r="AA31" s="361" t="str">
        <f t="shared" si="3"/>
        <v/>
      </c>
      <c r="AB31" s="362" t="str">
        <f t="shared" si="4"/>
        <v/>
      </c>
      <c r="AC31" s="363" t="str">
        <f t="shared" si="5"/>
        <v/>
      </c>
      <c r="AD31" s="358"/>
      <c r="AE31" s="359"/>
      <c r="AF31" s="360"/>
      <c r="AG31" s="364" t="str">
        <f t="shared" si="6"/>
        <v/>
      </c>
      <c r="AH31" s="362" t="str">
        <f t="shared" si="7"/>
        <v/>
      </c>
      <c r="AI31" s="365" t="str">
        <f t="shared" si="8"/>
        <v/>
      </c>
      <c r="AJ31" s="364" t="str">
        <f t="shared" si="9"/>
        <v/>
      </c>
      <c r="AK31" s="366" t="str">
        <f t="shared" si="10"/>
        <v/>
      </c>
      <c r="AL31" s="367" t="str">
        <f t="shared" si="11"/>
        <v/>
      </c>
      <c r="AM31" s="368" t="str">
        <f>IFERROR(_xlfn.XLOOKUP(AL31,HELPER!$C$7:$C$47,HELPER!$D$7:$D$47,,1),"")</f>
        <v/>
      </c>
    </row>
    <row r="32" hidden="1" spans="2:39">
      <c r="B32" s="356">
        <v>16</v>
      </c>
      <c r="C32" s="357" t="str">
        <f>IFERROR(IF(OR($B$8="INCORRECT SHEET. Do not use this sheet to input data.",'INPUT DATA'!O26=""),"",'INPUT DATA'!O26),"")</f>
        <v/>
      </c>
      <c r="D32" s="358"/>
      <c r="E32" s="359"/>
      <c r="F32" s="359"/>
      <c r="G32" s="359"/>
      <c r="H32" s="359"/>
      <c r="I32" s="359"/>
      <c r="J32" s="359"/>
      <c r="K32" s="359"/>
      <c r="L32" s="359"/>
      <c r="M32" s="360"/>
      <c r="N32" s="361" t="str">
        <f t="shared" si="0"/>
        <v/>
      </c>
      <c r="O32" s="362" t="str">
        <f t="shared" si="1"/>
        <v/>
      </c>
      <c r="P32" s="363" t="str">
        <f t="shared" si="2"/>
        <v/>
      </c>
      <c r="Q32" s="358"/>
      <c r="R32" s="359"/>
      <c r="S32" s="359"/>
      <c r="T32" s="359"/>
      <c r="U32" s="359"/>
      <c r="V32" s="359"/>
      <c r="W32" s="359"/>
      <c r="X32" s="359"/>
      <c r="Y32" s="359"/>
      <c r="Z32" s="360"/>
      <c r="AA32" s="361" t="str">
        <f t="shared" si="3"/>
        <v/>
      </c>
      <c r="AB32" s="362" t="str">
        <f t="shared" si="4"/>
        <v/>
      </c>
      <c r="AC32" s="363" t="str">
        <f t="shared" si="5"/>
        <v/>
      </c>
      <c r="AD32" s="358"/>
      <c r="AE32" s="359"/>
      <c r="AF32" s="360"/>
      <c r="AG32" s="364" t="str">
        <f t="shared" si="6"/>
        <v/>
      </c>
      <c r="AH32" s="362" t="str">
        <f t="shared" si="7"/>
        <v/>
      </c>
      <c r="AI32" s="365" t="str">
        <f t="shared" si="8"/>
        <v/>
      </c>
      <c r="AJ32" s="364" t="str">
        <f t="shared" si="9"/>
        <v/>
      </c>
      <c r="AK32" s="366" t="str">
        <f t="shared" si="10"/>
        <v/>
      </c>
      <c r="AL32" s="367" t="str">
        <f t="shared" si="11"/>
        <v/>
      </c>
      <c r="AM32" s="368" t="str">
        <f>IFERROR(_xlfn.XLOOKUP(AL32,HELPER!$C$7:$C$47,HELPER!$D$7:$D$47,,1),"")</f>
        <v/>
      </c>
    </row>
    <row r="33" hidden="1" spans="2:39">
      <c r="B33" s="356">
        <v>17</v>
      </c>
      <c r="C33" s="357" t="str">
        <f>IFERROR(IF(OR($B$8="INCORRECT SHEET. Do not use this sheet to input data.",'INPUT DATA'!O27=""),"",'INPUT DATA'!O27),"")</f>
        <v/>
      </c>
      <c r="D33" s="358"/>
      <c r="E33" s="359"/>
      <c r="F33" s="359"/>
      <c r="G33" s="359"/>
      <c r="H33" s="359"/>
      <c r="I33" s="359"/>
      <c r="J33" s="359"/>
      <c r="K33" s="359"/>
      <c r="L33" s="359"/>
      <c r="M33" s="360"/>
      <c r="N33" s="361" t="str">
        <f t="shared" si="0"/>
        <v/>
      </c>
      <c r="O33" s="362" t="str">
        <f t="shared" si="1"/>
        <v/>
      </c>
      <c r="P33" s="363" t="str">
        <f t="shared" si="2"/>
        <v/>
      </c>
      <c r="Q33" s="358"/>
      <c r="R33" s="359"/>
      <c r="S33" s="359"/>
      <c r="T33" s="359"/>
      <c r="U33" s="359"/>
      <c r="V33" s="359"/>
      <c r="W33" s="359"/>
      <c r="X33" s="359"/>
      <c r="Y33" s="359"/>
      <c r="Z33" s="360"/>
      <c r="AA33" s="361" t="str">
        <f t="shared" si="3"/>
        <v/>
      </c>
      <c r="AB33" s="362" t="str">
        <f t="shared" si="4"/>
        <v/>
      </c>
      <c r="AC33" s="363" t="str">
        <f t="shared" si="5"/>
        <v/>
      </c>
      <c r="AD33" s="358"/>
      <c r="AE33" s="359"/>
      <c r="AF33" s="360"/>
      <c r="AG33" s="364" t="str">
        <f t="shared" si="6"/>
        <v/>
      </c>
      <c r="AH33" s="362" t="str">
        <f t="shared" si="7"/>
        <v/>
      </c>
      <c r="AI33" s="365" t="str">
        <f t="shared" si="8"/>
        <v/>
      </c>
      <c r="AJ33" s="364" t="str">
        <f t="shared" si="9"/>
        <v/>
      </c>
      <c r="AK33" s="366" t="str">
        <f t="shared" si="10"/>
        <v/>
      </c>
      <c r="AL33" s="367" t="str">
        <f t="shared" si="11"/>
        <v/>
      </c>
      <c r="AM33" s="368" t="str">
        <f>IFERROR(_xlfn.XLOOKUP(AL33,HELPER!$C$7:$C$47,HELPER!$D$7:$D$47,,1),"")</f>
        <v/>
      </c>
    </row>
    <row r="34" hidden="1" spans="2:39">
      <c r="B34" s="356">
        <v>18</v>
      </c>
      <c r="C34" s="357" t="str">
        <f>IFERROR(IF(OR($B$8="INCORRECT SHEET. Do not use this sheet to input data.",'INPUT DATA'!O28=""),"",'INPUT DATA'!O28),"")</f>
        <v/>
      </c>
      <c r="D34" s="358"/>
      <c r="E34" s="359"/>
      <c r="F34" s="359"/>
      <c r="G34" s="359"/>
      <c r="H34" s="359"/>
      <c r="I34" s="359"/>
      <c r="J34" s="359"/>
      <c r="K34" s="359"/>
      <c r="L34" s="359"/>
      <c r="M34" s="360"/>
      <c r="N34" s="361" t="str">
        <f t="shared" si="0"/>
        <v/>
      </c>
      <c r="O34" s="362" t="str">
        <f t="shared" si="1"/>
        <v/>
      </c>
      <c r="P34" s="363" t="str">
        <f t="shared" si="2"/>
        <v/>
      </c>
      <c r="Q34" s="358"/>
      <c r="R34" s="359"/>
      <c r="S34" s="359"/>
      <c r="T34" s="359"/>
      <c r="U34" s="359"/>
      <c r="V34" s="359"/>
      <c r="W34" s="359"/>
      <c r="X34" s="359"/>
      <c r="Y34" s="359"/>
      <c r="Z34" s="360"/>
      <c r="AA34" s="361" t="str">
        <f t="shared" si="3"/>
        <v/>
      </c>
      <c r="AB34" s="362" t="str">
        <f t="shared" si="4"/>
        <v/>
      </c>
      <c r="AC34" s="363" t="str">
        <f t="shared" si="5"/>
        <v/>
      </c>
      <c r="AD34" s="358"/>
      <c r="AE34" s="359"/>
      <c r="AF34" s="360"/>
      <c r="AG34" s="364" t="str">
        <f t="shared" si="6"/>
        <v/>
      </c>
      <c r="AH34" s="362" t="str">
        <f t="shared" si="7"/>
        <v/>
      </c>
      <c r="AI34" s="365" t="str">
        <f t="shared" si="8"/>
        <v/>
      </c>
      <c r="AJ34" s="364" t="str">
        <f t="shared" si="9"/>
        <v/>
      </c>
      <c r="AK34" s="366" t="str">
        <f t="shared" si="10"/>
        <v/>
      </c>
      <c r="AL34" s="367" t="str">
        <f t="shared" si="11"/>
        <v/>
      </c>
      <c r="AM34" s="368" t="str">
        <f>IFERROR(_xlfn.XLOOKUP(AL34,HELPER!$C$7:$C$47,HELPER!$D$7:$D$47,,1),"")</f>
        <v/>
      </c>
    </row>
    <row r="35" hidden="1" spans="2:39">
      <c r="B35" s="356">
        <v>19</v>
      </c>
      <c r="C35" s="357" t="str">
        <f>IFERROR(IF(OR($B$8="INCORRECT SHEET. Do not use this sheet to input data.",'INPUT DATA'!O29=""),"",'INPUT DATA'!O29),"")</f>
        <v/>
      </c>
      <c r="D35" s="358"/>
      <c r="E35" s="359"/>
      <c r="F35" s="359"/>
      <c r="G35" s="359"/>
      <c r="H35" s="359"/>
      <c r="I35" s="359"/>
      <c r="J35" s="359"/>
      <c r="K35" s="359"/>
      <c r="L35" s="359"/>
      <c r="M35" s="360"/>
      <c r="N35" s="361" t="str">
        <f t="shared" si="0"/>
        <v/>
      </c>
      <c r="O35" s="362" t="str">
        <f t="shared" si="1"/>
        <v/>
      </c>
      <c r="P35" s="363" t="str">
        <f t="shared" si="2"/>
        <v/>
      </c>
      <c r="Q35" s="358"/>
      <c r="R35" s="359"/>
      <c r="S35" s="359"/>
      <c r="T35" s="359"/>
      <c r="U35" s="359"/>
      <c r="V35" s="359"/>
      <c r="W35" s="359"/>
      <c r="X35" s="359"/>
      <c r="Y35" s="359"/>
      <c r="Z35" s="360"/>
      <c r="AA35" s="361" t="str">
        <f t="shared" si="3"/>
        <v/>
      </c>
      <c r="AB35" s="362" t="str">
        <f t="shared" si="4"/>
        <v/>
      </c>
      <c r="AC35" s="363" t="str">
        <f t="shared" si="5"/>
        <v/>
      </c>
      <c r="AD35" s="358"/>
      <c r="AE35" s="359"/>
      <c r="AF35" s="360"/>
      <c r="AG35" s="364" t="str">
        <f t="shared" si="6"/>
        <v/>
      </c>
      <c r="AH35" s="362" t="str">
        <f t="shared" si="7"/>
        <v/>
      </c>
      <c r="AI35" s="365" t="str">
        <f t="shared" si="8"/>
        <v/>
      </c>
      <c r="AJ35" s="364" t="str">
        <f t="shared" si="9"/>
        <v/>
      </c>
      <c r="AK35" s="366" t="str">
        <f t="shared" si="10"/>
        <v/>
      </c>
      <c r="AL35" s="367" t="str">
        <f t="shared" si="11"/>
        <v/>
      </c>
      <c r="AM35" s="368" t="str">
        <f>IFERROR(_xlfn.XLOOKUP(AL35,HELPER!$C$7:$C$47,HELPER!$D$7:$D$47,,1),"")</f>
        <v/>
      </c>
    </row>
    <row r="36" hidden="1" spans="2:39">
      <c r="B36" s="356">
        <v>20</v>
      </c>
      <c r="C36" s="357" t="str">
        <f>IFERROR(IF(OR($B$8="INCORRECT SHEET. Do not use this sheet to input data.",'INPUT DATA'!O30=""),"",'INPUT DATA'!O30),"")</f>
        <v/>
      </c>
      <c r="D36" s="358"/>
      <c r="E36" s="359"/>
      <c r="F36" s="359"/>
      <c r="G36" s="359"/>
      <c r="H36" s="359"/>
      <c r="I36" s="359"/>
      <c r="J36" s="359"/>
      <c r="K36" s="359"/>
      <c r="L36" s="359"/>
      <c r="M36" s="360"/>
      <c r="N36" s="361" t="str">
        <f t="shared" si="0"/>
        <v/>
      </c>
      <c r="O36" s="362" t="str">
        <f t="shared" si="1"/>
        <v/>
      </c>
      <c r="P36" s="363" t="str">
        <f t="shared" si="2"/>
        <v/>
      </c>
      <c r="Q36" s="358"/>
      <c r="R36" s="359"/>
      <c r="S36" s="359"/>
      <c r="T36" s="359"/>
      <c r="U36" s="359"/>
      <c r="V36" s="359"/>
      <c r="W36" s="359"/>
      <c r="X36" s="359"/>
      <c r="Y36" s="359"/>
      <c r="Z36" s="360"/>
      <c r="AA36" s="361" t="str">
        <f t="shared" si="3"/>
        <v/>
      </c>
      <c r="AB36" s="362" t="str">
        <f t="shared" si="4"/>
        <v/>
      </c>
      <c r="AC36" s="363" t="str">
        <f t="shared" si="5"/>
        <v/>
      </c>
      <c r="AD36" s="358"/>
      <c r="AE36" s="359"/>
      <c r="AF36" s="360"/>
      <c r="AG36" s="364" t="str">
        <f t="shared" si="6"/>
        <v/>
      </c>
      <c r="AH36" s="362" t="str">
        <f t="shared" si="7"/>
        <v/>
      </c>
      <c r="AI36" s="365" t="str">
        <f t="shared" si="8"/>
        <v/>
      </c>
      <c r="AJ36" s="364" t="str">
        <f t="shared" si="9"/>
        <v/>
      </c>
      <c r="AK36" s="366" t="str">
        <f t="shared" si="10"/>
        <v/>
      </c>
      <c r="AL36" s="367" t="str">
        <f t="shared" si="11"/>
        <v/>
      </c>
      <c r="AM36" s="368" t="str">
        <f>IFERROR(_xlfn.XLOOKUP(AL36,HELPER!$C$7:$C$47,HELPER!$D$7:$D$47,,1),"")</f>
        <v/>
      </c>
    </row>
    <row r="37" hidden="1" spans="2:39">
      <c r="B37" s="356">
        <v>21</v>
      </c>
      <c r="C37" s="357" t="str">
        <f>IFERROR(IF(OR($B$8="INCORRECT SHEET. Do not use this sheet to input data.",'INPUT DATA'!O31=""),"",'INPUT DATA'!O31),"")</f>
        <v/>
      </c>
      <c r="D37" s="358"/>
      <c r="E37" s="359"/>
      <c r="F37" s="359"/>
      <c r="G37" s="359"/>
      <c r="H37" s="359"/>
      <c r="I37" s="359"/>
      <c r="J37" s="359"/>
      <c r="K37" s="359"/>
      <c r="L37" s="359"/>
      <c r="M37" s="360"/>
      <c r="N37" s="361" t="str">
        <f t="shared" si="0"/>
        <v/>
      </c>
      <c r="O37" s="362" t="str">
        <f t="shared" si="1"/>
        <v/>
      </c>
      <c r="P37" s="363" t="str">
        <f t="shared" si="2"/>
        <v/>
      </c>
      <c r="Q37" s="358"/>
      <c r="R37" s="359"/>
      <c r="S37" s="359"/>
      <c r="T37" s="359"/>
      <c r="U37" s="359"/>
      <c r="V37" s="359"/>
      <c r="W37" s="359"/>
      <c r="X37" s="359"/>
      <c r="Y37" s="359"/>
      <c r="Z37" s="360"/>
      <c r="AA37" s="361" t="str">
        <f t="shared" si="3"/>
        <v/>
      </c>
      <c r="AB37" s="362" t="str">
        <f t="shared" si="4"/>
        <v/>
      </c>
      <c r="AC37" s="363" t="str">
        <f t="shared" si="5"/>
        <v/>
      </c>
      <c r="AD37" s="358"/>
      <c r="AE37" s="359"/>
      <c r="AF37" s="360"/>
      <c r="AG37" s="364" t="str">
        <f t="shared" si="6"/>
        <v/>
      </c>
      <c r="AH37" s="362" t="str">
        <f t="shared" si="7"/>
        <v/>
      </c>
      <c r="AI37" s="365" t="str">
        <f t="shared" si="8"/>
        <v/>
      </c>
      <c r="AJ37" s="364" t="str">
        <f t="shared" si="9"/>
        <v/>
      </c>
      <c r="AK37" s="366" t="str">
        <f t="shared" si="10"/>
        <v/>
      </c>
      <c r="AL37" s="367" t="str">
        <f t="shared" si="11"/>
        <v/>
      </c>
      <c r="AM37" s="368" t="str">
        <f>IFERROR(_xlfn.XLOOKUP(AL37,HELPER!$C$7:$C$47,HELPER!$D$7:$D$47,,1),"")</f>
        <v/>
      </c>
    </row>
    <row r="38" hidden="1" spans="2:39">
      <c r="B38" s="356">
        <v>22</v>
      </c>
      <c r="C38" s="357" t="str">
        <f>IFERROR(IF(OR($B$8="INCORRECT SHEET. Do not use this sheet to input data.",'INPUT DATA'!O32=""),"",'INPUT DATA'!O32),"")</f>
        <v/>
      </c>
      <c r="D38" s="358"/>
      <c r="E38" s="359"/>
      <c r="F38" s="359"/>
      <c r="G38" s="359"/>
      <c r="H38" s="359"/>
      <c r="I38" s="359"/>
      <c r="J38" s="359"/>
      <c r="K38" s="359"/>
      <c r="L38" s="359"/>
      <c r="M38" s="360"/>
      <c r="N38" s="361" t="str">
        <f t="shared" si="0"/>
        <v/>
      </c>
      <c r="O38" s="362" t="str">
        <f t="shared" si="1"/>
        <v/>
      </c>
      <c r="P38" s="363" t="str">
        <f t="shared" si="2"/>
        <v/>
      </c>
      <c r="Q38" s="358"/>
      <c r="R38" s="359"/>
      <c r="S38" s="359"/>
      <c r="T38" s="359"/>
      <c r="U38" s="359"/>
      <c r="V38" s="359"/>
      <c r="W38" s="359"/>
      <c r="X38" s="359"/>
      <c r="Y38" s="359"/>
      <c r="Z38" s="360"/>
      <c r="AA38" s="361" t="str">
        <f t="shared" si="3"/>
        <v/>
      </c>
      <c r="AB38" s="362" t="str">
        <f t="shared" si="4"/>
        <v/>
      </c>
      <c r="AC38" s="363" t="str">
        <f t="shared" si="5"/>
        <v/>
      </c>
      <c r="AD38" s="358"/>
      <c r="AE38" s="359"/>
      <c r="AF38" s="360"/>
      <c r="AG38" s="364" t="str">
        <f t="shared" si="6"/>
        <v/>
      </c>
      <c r="AH38" s="362" t="str">
        <f t="shared" si="7"/>
        <v/>
      </c>
      <c r="AI38" s="365" t="str">
        <f t="shared" si="8"/>
        <v/>
      </c>
      <c r="AJ38" s="364" t="str">
        <f t="shared" si="9"/>
        <v/>
      </c>
      <c r="AK38" s="366" t="str">
        <f t="shared" si="10"/>
        <v/>
      </c>
      <c r="AL38" s="367" t="str">
        <f t="shared" si="11"/>
        <v/>
      </c>
      <c r="AM38" s="368" t="str">
        <f>IFERROR(_xlfn.XLOOKUP(AL38,HELPER!$C$7:$C$47,HELPER!$D$7:$D$47,,1),"")</f>
        <v/>
      </c>
    </row>
    <row r="39" hidden="1" spans="2:39">
      <c r="B39" s="356">
        <v>23</v>
      </c>
      <c r="C39" s="357" t="str">
        <f>IFERROR(IF(OR($B$8="INCORRECT SHEET. Do not use this sheet to input data.",'INPUT DATA'!O33=""),"",'INPUT DATA'!O33),"")</f>
        <v/>
      </c>
      <c r="D39" s="358"/>
      <c r="E39" s="359"/>
      <c r="F39" s="359"/>
      <c r="G39" s="359"/>
      <c r="H39" s="359"/>
      <c r="I39" s="359"/>
      <c r="J39" s="359"/>
      <c r="K39" s="359"/>
      <c r="L39" s="359"/>
      <c r="M39" s="360"/>
      <c r="N39" s="361" t="str">
        <f t="shared" si="0"/>
        <v/>
      </c>
      <c r="O39" s="362" t="str">
        <f t="shared" si="1"/>
        <v/>
      </c>
      <c r="P39" s="363" t="str">
        <f t="shared" si="2"/>
        <v/>
      </c>
      <c r="Q39" s="358"/>
      <c r="R39" s="359"/>
      <c r="S39" s="359"/>
      <c r="T39" s="359"/>
      <c r="U39" s="359"/>
      <c r="V39" s="359"/>
      <c r="W39" s="359"/>
      <c r="X39" s="359"/>
      <c r="Y39" s="359"/>
      <c r="Z39" s="360"/>
      <c r="AA39" s="361" t="str">
        <f t="shared" si="3"/>
        <v/>
      </c>
      <c r="AB39" s="362" t="str">
        <f t="shared" si="4"/>
        <v/>
      </c>
      <c r="AC39" s="363" t="str">
        <f t="shared" si="5"/>
        <v/>
      </c>
      <c r="AD39" s="358"/>
      <c r="AE39" s="359"/>
      <c r="AF39" s="360"/>
      <c r="AG39" s="364" t="str">
        <f t="shared" si="6"/>
        <v/>
      </c>
      <c r="AH39" s="362" t="str">
        <f t="shared" si="7"/>
        <v/>
      </c>
      <c r="AI39" s="365" t="str">
        <f t="shared" si="8"/>
        <v/>
      </c>
      <c r="AJ39" s="364" t="str">
        <f t="shared" si="9"/>
        <v/>
      </c>
      <c r="AK39" s="366" t="str">
        <f t="shared" si="10"/>
        <v/>
      </c>
      <c r="AL39" s="367" t="str">
        <f t="shared" si="11"/>
        <v/>
      </c>
      <c r="AM39" s="368" t="str">
        <f>IFERROR(_xlfn.XLOOKUP(AL39,HELPER!$C$7:$C$47,HELPER!$D$7:$D$47,,1),"")</f>
        <v/>
      </c>
    </row>
    <row r="40" hidden="1" spans="2:39">
      <c r="B40" s="356">
        <v>24</v>
      </c>
      <c r="C40" s="357" t="str">
        <f>IFERROR(IF(OR($B$8="INCORRECT SHEET. Do not use this sheet to input data.",'INPUT DATA'!O34=""),"",'INPUT DATA'!O34),"")</f>
        <v/>
      </c>
      <c r="D40" s="358"/>
      <c r="E40" s="359"/>
      <c r="F40" s="359"/>
      <c r="G40" s="359"/>
      <c r="H40" s="359"/>
      <c r="I40" s="359"/>
      <c r="J40" s="359"/>
      <c r="K40" s="359"/>
      <c r="L40" s="359"/>
      <c r="M40" s="360"/>
      <c r="N40" s="361" t="str">
        <f t="shared" si="0"/>
        <v/>
      </c>
      <c r="O40" s="362" t="str">
        <f t="shared" si="1"/>
        <v/>
      </c>
      <c r="P40" s="363" t="str">
        <f t="shared" si="2"/>
        <v/>
      </c>
      <c r="Q40" s="358"/>
      <c r="R40" s="359"/>
      <c r="S40" s="359"/>
      <c r="T40" s="359"/>
      <c r="U40" s="359"/>
      <c r="V40" s="359"/>
      <c r="W40" s="359"/>
      <c r="X40" s="359"/>
      <c r="Y40" s="359"/>
      <c r="Z40" s="360"/>
      <c r="AA40" s="361" t="str">
        <f t="shared" si="3"/>
        <v/>
      </c>
      <c r="AB40" s="362" t="str">
        <f t="shared" si="4"/>
        <v/>
      </c>
      <c r="AC40" s="363" t="str">
        <f t="shared" si="5"/>
        <v/>
      </c>
      <c r="AD40" s="358"/>
      <c r="AE40" s="359"/>
      <c r="AF40" s="360"/>
      <c r="AG40" s="364" t="str">
        <f t="shared" si="6"/>
        <v/>
      </c>
      <c r="AH40" s="362" t="str">
        <f t="shared" si="7"/>
        <v/>
      </c>
      <c r="AI40" s="365" t="str">
        <f t="shared" si="8"/>
        <v/>
      </c>
      <c r="AJ40" s="364" t="str">
        <f t="shared" si="9"/>
        <v/>
      </c>
      <c r="AK40" s="366" t="str">
        <f t="shared" si="10"/>
        <v/>
      </c>
      <c r="AL40" s="367" t="str">
        <f t="shared" si="11"/>
        <v/>
      </c>
      <c r="AM40" s="368" t="str">
        <f>IFERROR(_xlfn.XLOOKUP(AL40,HELPER!$C$7:$C$47,HELPER!$D$7:$D$47,,1),"")</f>
        <v/>
      </c>
    </row>
    <row r="41" hidden="1" spans="2:39">
      <c r="B41" s="356">
        <v>25</v>
      </c>
      <c r="C41" s="357" t="str">
        <f>IFERROR(IF(OR($B$8="INCORRECT SHEET. Do not use this sheet to input data.",'INPUT DATA'!O35=""),"",'INPUT DATA'!O35),"")</f>
        <v/>
      </c>
      <c r="D41" s="358"/>
      <c r="E41" s="359"/>
      <c r="F41" s="359"/>
      <c r="G41" s="359"/>
      <c r="H41" s="359"/>
      <c r="I41" s="359"/>
      <c r="J41" s="359"/>
      <c r="K41" s="359"/>
      <c r="L41" s="359"/>
      <c r="M41" s="360"/>
      <c r="N41" s="361" t="str">
        <f t="shared" si="0"/>
        <v/>
      </c>
      <c r="O41" s="362" t="str">
        <f t="shared" si="1"/>
        <v/>
      </c>
      <c r="P41" s="363" t="str">
        <f t="shared" si="2"/>
        <v/>
      </c>
      <c r="Q41" s="358"/>
      <c r="R41" s="359"/>
      <c r="S41" s="359"/>
      <c r="T41" s="359"/>
      <c r="U41" s="359"/>
      <c r="V41" s="359"/>
      <c r="W41" s="359"/>
      <c r="X41" s="359"/>
      <c r="Y41" s="359"/>
      <c r="Z41" s="360"/>
      <c r="AA41" s="361" t="str">
        <f t="shared" si="3"/>
        <v/>
      </c>
      <c r="AB41" s="362" t="str">
        <f t="shared" si="4"/>
        <v/>
      </c>
      <c r="AC41" s="363" t="str">
        <f t="shared" si="5"/>
        <v/>
      </c>
      <c r="AD41" s="358"/>
      <c r="AE41" s="359"/>
      <c r="AF41" s="360"/>
      <c r="AG41" s="364" t="str">
        <f t="shared" si="6"/>
        <v/>
      </c>
      <c r="AH41" s="362" t="str">
        <f t="shared" si="7"/>
        <v/>
      </c>
      <c r="AI41" s="365" t="str">
        <f t="shared" si="8"/>
        <v/>
      </c>
      <c r="AJ41" s="364" t="str">
        <f t="shared" si="9"/>
        <v/>
      </c>
      <c r="AK41" s="366" t="str">
        <f t="shared" si="10"/>
        <v/>
      </c>
      <c r="AL41" s="367" t="str">
        <f t="shared" si="11"/>
        <v/>
      </c>
      <c r="AM41" s="368" t="str">
        <f>IFERROR(_xlfn.XLOOKUP(AL41,HELPER!$C$7:$C$47,HELPER!$D$7:$D$47,,1),"")</f>
        <v/>
      </c>
    </row>
    <row r="42" hidden="1" spans="2:39">
      <c r="B42" s="356">
        <v>26</v>
      </c>
      <c r="C42" s="357" t="str">
        <f>IFERROR(IF(OR($B$8="INCORRECT SHEET. Do not use this sheet to input data.",'INPUT DATA'!O36=""),"",'INPUT DATA'!O36),"")</f>
        <v/>
      </c>
      <c r="D42" s="358"/>
      <c r="E42" s="359"/>
      <c r="F42" s="359"/>
      <c r="G42" s="359"/>
      <c r="H42" s="359"/>
      <c r="I42" s="359"/>
      <c r="J42" s="359"/>
      <c r="K42" s="359"/>
      <c r="L42" s="359"/>
      <c r="M42" s="360"/>
      <c r="N42" s="361" t="str">
        <f t="shared" si="0"/>
        <v/>
      </c>
      <c r="O42" s="362" t="str">
        <f t="shared" si="1"/>
        <v/>
      </c>
      <c r="P42" s="363" t="str">
        <f t="shared" si="2"/>
        <v/>
      </c>
      <c r="Q42" s="358"/>
      <c r="R42" s="359"/>
      <c r="S42" s="359"/>
      <c r="T42" s="359"/>
      <c r="U42" s="359"/>
      <c r="V42" s="359"/>
      <c r="W42" s="359"/>
      <c r="X42" s="359"/>
      <c r="Y42" s="359"/>
      <c r="Z42" s="360"/>
      <c r="AA42" s="361" t="str">
        <f t="shared" si="3"/>
        <v/>
      </c>
      <c r="AB42" s="362" t="str">
        <f t="shared" si="4"/>
        <v/>
      </c>
      <c r="AC42" s="363" t="str">
        <f t="shared" si="5"/>
        <v/>
      </c>
      <c r="AD42" s="358"/>
      <c r="AE42" s="359"/>
      <c r="AF42" s="360"/>
      <c r="AG42" s="364" t="str">
        <f t="shared" si="6"/>
        <v/>
      </c>
      <c r="AH42" s="362" t="str">
        <f t="shared" si="7"/>
        <v/>
      </c>
      <c r="AI42" s="365" t="str">
        <f t="shared" si="8"/>
        <v/>
      </c>
      <c r="AJ42" s="364" t="str">
        <f t="shared" si="9"/>
        <v/>
      </c>
      <c r="AK42" s="366" t="str">
        <f t="shared" si="10"/>
        <v/>
      </c>
      <c r="AL42" s="367" t="str">
        <f t="shared" si="11"/>
        <v/>
      </c>
      <c r="AM42" s="368" t="str">
        <f>IFERROR(_xlfn.XLOOKUP(AL42,HELPER!$C$7:$C$47,HELPER!$D$7:$D$47,,1),"")</f>
        <v/>
      </c>
    </row>
    <row r="43" hidden="1" spans="2:39">
      <c r="B43" s="356">
        <v>27</v>
      </c>
      <c r="C43" s="357" t="str">
        <f>IFERROR(IF(OR($B$8="INCORRECT SHEET. Do not use this sheet to input data.",'INPUT DATA'!O37=""),"",'INPUT DATA'!O37),"")</f>
        <v/>
      </c>
      <c r="D43" s="358"/>
      <c r="E43" s="359"/>
      <c r="F43" s="359"/>
      <c r="G43" s="359"/>
      <c r="H43" s="359"/>
      <c r="I43" s="359"/>
      <c r="J43" s="359"/>
      <c r="K43" s="359"/>
      <c r="L43" s="359"/>
      <c r="M43" s="360"/>
      <c r="N43" s="361" t="str">
        <f t="shared" si="0"/>
        <v/>
      </c>
      <c r="O43" s="362" t="str">
        <f t="shared" si="1"/>
        <v/>
      </c>
      <c r="P43" s="363" t="str">
        <f t="shared" si="2"/>
        <v/>
      </c>
      <c r="Q43" s="358"/>
      <c r="R43" s="359"/>
      <c r="S43" s="359"/>
      <c r="T43" s="359"/>
      <c r="U43" s="359"/>
      <c r="V43" s="359"/>
      <c r="W43" s="359"/>
      <c r="X43" s="359"/>
      <c r="Y43" s="359"/>
      <c r="Z43" s="360"/>
      <c r="AA43" s="361" t="str">
        <f t="shared" si="3"/>
        <v/>
      </c>
      <c r="AB43" s="362" t="str">
        <f t="shared" si="4"/>
        <v/>
      </c>
      <c r="AC43" s="363" t="str">
        <f t="shared" si="5"/>
        <v/>
      </c>
      <c r="AD43" s="358"/>
      <c r="AE43" s="359"/>
      <c r="AF43" s="360"/>
      <c r="AG43" s="364" t="str">
        <f t="shared" si="6"/>
        <v/>
      </c>
      <c r="AH43" s="362" t="str">
        <f t="shared" si="7"/>
        <v/>
      </c>
      <c r="AI43" s="365" t="str">
        <f t="shared" si="8"/>
        <v/>
      </c>
      <c r="AJ43" s="364" t="str">
        <f t="shared" si="9"/>
        <v/>
      </c>
      <c r="AK43" s="366" t="str">
        <f t="shared" si="10"/>
        <v/>
      </c>
      <c r="AL43" s="367" t="str">
        <f t="shared" si="11"/>
        <v/>
      </c>
      <c r="AM43" s="368" t="str">
        <f>IFERROR(_xlfn.XLOOKUP(AL43,HELPER!$C$7:$C$47,HELPER!$D$7:$D$47,,1),"")</f>
        <v/>
      </c>
    </row>
    <row r="44" hidden="1" spans="2:39">
      <c r="B44" s="356">
        <v>28</v>
      </c>
      <c r="C44" s="357" t="str">
        <f>IFERROR(IF(OR($B$8="INCORRECT SHEET. Do not use this sheet to input data.",'INPUT DATA'!O38=""),"",'INPUT DATA'!O38),"")</f>
        <v/>
      </c>
      <c r="D44" s="358"/>
      <c r="E44" s="359"/>
      <c r="F44" s="359"/>
      <c r="G44" s="359"/>
      <c r="H44" s="359"/>
      <c r="I44" s="359"/>
      <c r="J44" s="359"/>
      <c r="K44" s="359"/>
      <c r="L44" s="359"/>
      <c r="M44" s="360"/>
      <c r="N44" s="361" t="str">
        <f t="shared" si="0"/>
        <v/>
      </c>
      <c r="O44" s="362" t="str">
        <f t="shared" si="1"/>
        <v/>
      </c>
      <c r="P44" s="363" t="str">
        <f t="shared" si="2"/>
        <v/>
      </c>
      <c r="Q44" s="358"/>
      <c r="R44" s="359"/>
      <c r="S44" s="359"/>
      <c r="T44" s="359"/>
      <c r="U44" s="359"/>
      <c r="V44" s="359"/>
      <c r="W44" s="359"/>
      <c r="X44" s="359"/>
      <c r="Y44" s="359"/>
      <c r="Z44" s="360"/>
      <c r="AA44" s="361" t="str">
        <f t="shared" si="3"/>
        <v/>
      </c>
      <c r="AB44" s="362" t="str">
        <f t="shared" si="4"/>
        <v/>
      </c>
      <c r="AC44" s="363" t="str">
        <f t="shared" si="5"/>
        <v/>
      </c>
      <c r="AD44" s="358"/>
      <c r="AE44" s="359"/>
      <c r="AF44" s="360"/>
      <c r="AG44" s="364" t="str">
        <f t="shared" si="6"/>
        <v/>
      </c>
      <c r="AH44" s="362" t="str">
        <f t="shared" si="7"/>
        <v/>
      </c>
      <c r="AI44" s="365" t="str">
        <f t="shared" si="8"/>
        <v/>
      </c>
      <c r="AJ44" s="364" t="str">
        <f t="shared" si="9"/>
        <v/>
      </c>
      <c r="AK44" s="366" t="str">
        <f t="shared" si="10"/>
        <v/>
      </c>
      <c r="AL44" s="367" t="str">
        <f t="shared" si="11"/>
        <v/>
      </c>
      <c r="AM44" s="368" t="str">
        <f>IFERROR(_xlfn.XLOOKUP(AL44,HELPER!$C$7:$C$47,HELPER!$D$7:$D$47,,1),"")</f>
        <v/>
      </c>
    </row>
    <row r="45" hidden="1" spans="2:39">
      <c r="B45" s="356">
        <v>29</v>
      </c>
      <c r="C45" s="357" t="str">
        <f>IFERROR(IF(OR($B$8="INCORRECT SHEET. Do not use this sheet to input data.",'INPUT DATA'!O39=""),"",'INPUT DATA'!O39),"")</f>
        <v/>
      </c>
      <c r="D45" s="358"/>
      <c r="E45" s="359"/>
      <c r="F45" s="359"/>
      <c r="G45" s="359"/>
      <c r="H45" s="359"/>
      <c r="I45" s="359"/>
      <c r="J45" s="359"/>
      <c r="K45" s="359"/>
      <c r="L45" s="359"/>
      <c r="M45" s="360"/>
      <c r="N45" s="361" t="str">
        <f t="shared" si="0"/>
        <v/>
      </c>
      <c r="O45" s="362" t="str">
        <f t="shared" si="1"/>
        <v/>
      </c>
      <c r="P45" s="363" t="str">
        <f t="shared" si="2"/>
        <v/>
      </c>
      <c r="Q45" s="358"/>
      <c r="R45" s="359"/>
      <c r="S45" s="359"/>
      <c r="T45" s="359"/>
      <c r="U45" s="359"/>
      <c r="V45" s="359"/>
      <c r="W45" s="359"/>
      <c r="X45" s="359"/>
      <c r="Y45" s="359"/>
      <c r="Z45" s="360"/>
      <c r="AA45" s="361" t="str">
        <f t="shared" si="3"/>
        <v/>
      </c>
      <c r="AB45" s="362" t="str">
        <f t="shared" si="4"/>
        <v/>
      </c>
      <c r="AC45" s="363" t="str">
        <f t="shared" si="5"/>
        <v/>
      </c>
      <c r="AD45" s="358"/>
      <c r="AE45" s="359"/>
      <c r="AF45" s="360"/>
      <c r="AG45" s="364" t="str">
        <f t="shared" si="6"/>
        <v/>
      </c>
      <c r="AH45" s="362" t="str">
        <f t="shared" si="7"/>
        <v/>
      </c>
      <c r="AI45" s="365" t="str">
        <f t="shared" si="8"/>
        <v/>
      </c>
      <c r="AJ45" s="364" t="str">
        <f t="shared" si="9"/>
        <v/>
      </c>
      <c r="AK45" s="366" t="str">
        <f t="shared" si="10"/>
        <v/>
      </c>
      <c r="AL45" s="367" t="str">
        <f t="shared" si="11"/>
        <v/>
      </c>
      <c r="AM45" s="368" t="str">
        <f>IFERROR(_xlfn.XLOOKUP(AL45,HELPER!$C$7:$C$47,HELPER!$D$7:$D$47,,1),"")</f>
        <v/>
      </c>
    </row>
    <row r="46" hidden="1" spans="2:39">
      <c r="B46" s="356">
        <v>30</v>
      </c>
      <c r="C46" s="357" t="str">
        <f>IFERROR(IF(OR($B$8="INCORRECT SHEET. Do not use this sheet to input data.",'INPUT DATA'!O40=""),"",'INPUT DATA'!O40),"")</f>
        <v/>
      </c>
      <c r="D46" s="358"/>
      <c r="E46" s="359"/>
      <c r="F46" s="359"/>
      <c r="G46" s="359"/>
      <c r="H46" s="359"/>
      <c r="I46" s="359"/>
      <c r="J46" s="359"/>
      <c r="K46" s="359"/>
      <c r="L46" s="359"/>
      <c r="M46" s="360"/>
      <c r="N46" s="361" t="str">
        <f t="shared" si="0"/>
        <v/>
      </c>
      <c r="O46" s="362" t="str">
        <f t="shared" si="1"/>
        <v/>
      </c>
      <c r="P46" s="363" t="str">
        <f t="shared" si="2"/>
        <v/>
      </c>
      <c r="Q46" s="358"/>
      <c r="R46" s="359"/>
      <c r="S46" s="359"/>
      <c r="T46" s="359"/>
      <c r="U46" s="359"/>
      <c r="V46" s="359"/>
      <c r="W46" s="359"/>
      <c r="X46" s="359"/>
      <c r="Y46" s="359"/>
      <c r="Z46" s="360"/>
      <c r="AA46" s="361" t="str">
        <f t="shared" si="3"/>
        <v/>
      </c>
      <c r="AB46" s="362" t="str">
        <f t="shared" si="4"/>
        <v/>
      </c>
      <c r="AC46" s="363" t="str">
        <f t="shared" si="5"/>
        <v/>
      </c>
      <c r="AD46" s="358"/>
      <c r="AE46" s="359"/>
      <c r="AF46" s="360"/>
      <c r="AG46" s="364" t="str">
        <f t="shared" si="6"/>
        <v/>
      </c>
      <c r="AH46" s="362" t="str">
        <f t="shared" si="7"/>
        <v/>
      </c>
      <c r="AI46" s="365" t="str">
        <f t="shared" si="8"/>
        <v/>
      </c>
      <c r="AJ46" s="364" t="str">
        <f t="shared" si="9"/>
        <v/>
      </c>
      <c r="AK46" s="366" t="str">
        <f t="shared" si="10"/>
        <v/>
      </c>
      <c r="AL46" s="367" t="str">
        <f t="shared" si="11"/>
        <v/>
      </c>
      <c r="AM46" s="368" t="str">
        <f>IFERROR(_xlfn.XLOOKUP(AL46,HELPER!$C$7:$C$47,HELPER!$D$7:$D$47,,1),"")</f>
        <v/>
      </c>
    </row>
    <row r="47" hidden="1" spans="2:39">
      <c r="B47" s="356">
        <v>31</v>
      </c>
      <c r="C47" s="357" t="str">
        <f>IFERROR(IF(OR($B$8="INCORRECT SHEET. Do not use this sheet to input data.",'INPUT DATA'!O41=""),"",'INPUT DATA'!O41),"")</f>
        <v/>
      </c>
      <c r="D47" s="358"/>
      <c r="E47" s="359"/>
      <c r="F47" s="359"/>
      <c r="G47" s="359"/>
      <c r="H47" s="359"/>
      <c r="I47" s="359"/>
      <c r="J47" s="359"/>
      <c r="K47" s="359"/>
      <c r="L47" s="359"/>
      <c r="M47" s="360"/>
      <c r="N47" s="361" t="str">
        <f t="shared" si="0"/>
        <v/>
      </c>
      <c r="O47" s="362" t="str">
        <f t="shared" si="1"/>
        <v/>
      </c>
      <c r="P47" s="363" t="str">
        <f t="shared" si="2"/>
        <v/>
      </c>
      <c r="Q47" s="358"/>
      <c r="R47" s="359"/>
      <c r="S47" s="359"/>
      <c r="T47" s="359"/>
      <c r="U47" s="359"/>
      <c r="V47" s="359"/>
      <c r="W47" s="359"/>
      <c r="X47" s="359"/>
      <c r="Y47" s="359"/>
      <c r="Z47" s="360"/>
      <c r="AA47" s="361" t="str">
        <f t="shared" si="3"/>
        <v/>
      </c>
      <c r="AB47" s="362" t="str">
        <f t="shared" si="4"/>
        <v/>
      </c>
      <c r="AC47" s="363" t="str">
        <f t="shared" si="5"/>
        <v/>
      </c>
      <c r="AD47" s="358"/>
      <c r="AE47" s="359"/>
      <c r="AF47" s="360"/>
      <c r="AG47" s="364" t="str">
        <f t="shared" si="6"/>
        <v/>
      </c>
      <c r="AH47" s="362" t="str">
        <f t="shared" si="7"/>
        <v/>
      </c>
      <c r="AI47" s="365" t="str">
        <f t="shared" si="8"/>
        <v/>
      </c>
      <c r="AJ47" s="364" t="str">
        <f t="shared" si="9"/>
        <v/>
      </c>
      <c r="AK47" s="366" t="str">
        <f t="shared" si="10"/>
        <v/>
      </c>
      <c r="AL47" s="367" t="str">
        <f t="shared" si="11"/>
        <v/>
      </c>
      <c r="AM47" s="368" t="str">
        <f>IFERROR(_xlfn.XLOOKUP(AL47,HELPER!$C$7:$C$47,HELPER!$D$7:$D$47,,1),"")</f>
        <v/>
      </c>
    </row>
    <row r="48" hidden="1" spans="2:39">
      <c r="B48" s="356">
        <v>32</v>
      </c>
      <c r="C48" s="357" t="str">
        <f>IFERROR(IF(OR($B$8="INCORRECT SHEET. Do not use this sheet to input data.",'INPUT DATA'!O42=""),"",'INPUT DATA'!O42),"")</f>
        <v/>
      </c>
      <c r="D48" s="358"/>
      <c r="E48" s="359"/>
      <c r="F48" s="359"/>
      <c r="G48" s="359"/>
      <c r="H48" s="359"/>
      <c r="I48" s="359"/>
      <c r="J48" s="359"/>
      <c r="K48" s="359"/>
      <c r="L48" s="359"/>
      <c r="M48" s="360"/>
      <c r="N48" s="361" t="str">
        <f t="shared" si="0"/>
        <v/>
      </c>
      <c r="O48" s="362" t="str">
        <f t="shared" si="1"/>
        <v/>
      </c>
      <c r="P48" s="363" t="str">
        <f t="shared" si="2"/>
        <v/>
      </c>
      <c r="Q48" s="358"/>
      <c r="R48" s="359"/>
      <c r="S48" s="359"/>
      <c r="T48" s="359"/>
      <c r="U48" s="359"/>
      <c r="V48" s="359"/>
      <c r="W48" s="359"/>
      <c r="X48" s="359"/>
      <c r="Y48" s="359"/>
      <c r="Z48" s="360"/>
      <c r="AA48" s="361" t="str">
        <f t="shared" si="3"/>
        <v/>
      </c>
      <c r="AB48" s="362" t="str">
        <f t="shared" si="4"/>
        <v/>
      </c>
      <c r="AC48" s="363" t="str">
        <f t="shared" si="5"/>
        <v/>
      </c>
      <c r="AD48" s="358"/>
      <c r="AE48" s="359"/>
      <c r="AF48" s="360"/>
      <c r="AG48" s="364" t="str">
        <f t="shared" si="6"/>
        <v/>
      </c>
      <c r="AH48" s="362" t="str">
        <f t="shared" si="7"/>
        <v/>
      </c>
      <c r="AI48" s="365" t="str">
        <f t="shared" si="8"/>
        <v/>
      </c>
      <c r="AJ48" s="364" t="str">
        <f t="shared" si="9"/>
        <v/>
      </c>
      <c r="AK48" s="366" t="str">
        <f t="shared" si="10"/>
        <v/>
      </c>
      <c r="AL48" s="367" t="str">
        <f t="shared" si="11"/>
        <v/>
      </c>
      <c r="AM48" s="368" t="str">
        <f>IFERROR(_xlfn.XLOOKUP(AL48,HELPER!$C$7:$C$47,HELPER!$D$7:$D$47,,1),"")</f>
        <v/>
      </c>
    </row>
    <row r="49" hidden="1" spans="2:39">
      <c r="B49" s="356">
        <v>33</v>
      </c>
      <c r="C49" s="357" t="str">
        <f>IFERROR(IF(OR($B$8="INCORRECT SHEET. Do not use this sheet to input data.",'INPUT DATA'!O43=""),"",'INPUT DATA'!O43),"")</f>
        <v/>
      </c>
      <c r="D49" s="358"/>
      <c r="E49" s="359"/>
      <c r="F49" s="359"/>
      <c r="G49" s="359"/>
      <c r="H49" s="359"/>
      <c r="I49" s="359"/>
      <c r="J49" s="359"/>
      <c r="K49" s="359"/>
      <c r="L49" s="359"/>
      <c r="M49" s="360"/>
      <c r="N49" s="361" t="str">
        <f t="shared" si="0"/>
        <v/>
      </c>
      <c r="O49" s="362" t="str">
        <f t="shared" si="1"/>
        <v/>
      </c>
      <c r="P49" s="363" t="str">
        <f t="shared" si="2"/>
        <v/>
      </c>
      <c r="Q49" s="358"/>
      <c r="R49" s="359"/>
      <c r="S49" s="359"/>
      <c r="T49" s="359"/>
      <c r="U49" s="359"/>
      <c r="V49" s="359"/>
      <c r="W49" s="359"/>
      <c r="X49" s="359"/>
      <c r="Y49" s="359"/>
      <c r="Z49" s="360"/>
      <c r="AA49" s="361" t="str">
        <f t="shared" si="3"/>
        <v/>
      </c>
      <c r="AB49" s="362" t="str">
        <f t="shared" si="4"/>
        <v/>
      </c>
      <c r="AC49" s="363" t="str">
        <f t="shared" si="5"/>
        <v/>
      </c>
      <c r="AD49" s="358"/>
      <c r="AE49" s="359"/>
      <c r="AF49" s="360"/>
      <c r="AG49" s="364" t="str">
        <f t="shared" si="6"/>
        <v/>
      </c>
      <c r="AH49" s="362" t="str">
        <f t="shared" si="7"/>
        <v/>
      </c>
      <c r="AI49" s="365" t="str">
        <f t="shared" si="8"/>
        <v/>
      </c>
      <c r="AJ49" s="364" t="str">
        <f t="shared" si="9"/>
        <v/>
      </c>
      <c r="AK49" s="366" t="str">
        <f t="shared" si="10"/>
        <v/>
      </c>
      <c r="AL49" s="367" t="str">
        <f t="shared" si="11"/>
        <v/>
      </c>
      <c r="AM49" s="368" t="str">
        <f>IFERROR(_xlfn.XLOOKUP(AL49,HELPER!$C$7:$C$47,HELPER!$D$7:$D$47,,1),"")</f>
        <v/>
      </c>
    </row>
    <row r="50" hidden="1" spans="2:39">
      <c r="B50" s="356">
        <v>34</v>
      </c>
      <c r="C50" s="357" t="str">
        <f>IFERROR(IF(OR($B$8="INCORRECT SHEET. Do not use this sheet to input data.",'INPUT DATA'!O44=""),"",'INPUT DATA'!O44),"")</f>
        <v/>
      </c>
      <c r="D50" s="358"/>
      <c r="E50" s="359"/>
      <c r="F50" s="359"/>
      <c r="G50" s="359"/>
      <c r="H50" s="359"/>
      <c r="I50" s="359"/>
      <c r="J50" s="359"/>
      <c r="K50" s="359"/>
      <c r="L50" s="359"/>
      <c r="M50" s="360"/>
      <c r="N50" s="361" t="str">
        <f t="shared" si="0"/>
        <v/>
      </c>
      <c r="O50" s="362" t="str">
        <f t="shared" si="1"/>
        <v/>
      </c>
      <c r="P50" s="363" t="str">
        <f t="shared" si="2"/>
        <v/>
      </c>
      <c r="Q50" s="358"/>
      <c r="R50" s="359"/>
      <c r="S50" s="359"/>
      <c r="T50" s="359"/>
      <c r="U50" s="359"/>
      <c r="V50" s="359"/>
      <c r="W50" s="359"/>
      <c r="X50" s="359"/>
      <c r="Y50" s="359"/>
      <c r="Z50" s="360"/>
      <c r="AA50" s="361" t="str">
        <f t="shared" si="3"/>
        <v/>
      </c>
      <c r="AB50" s="362" t="str">
        <f t="shared" si="4"/>
        <v/>
      </c>
      <c r="AC50" s="363" t="str">
        <f t="shared" si="5"/>
        <v/>
      </c>
      <c r="AD50" s="358"/>
      <c r="AE50" s="359"/>
      <c r="AF50" s="360"/>
      <c r="AG50" s="364" t="str">
        <f t="shared" si="6"/>
        <v/>
      </c>
      <c r="AH50" s="362" t="str">
        <f t="shared" si="7"/>
        <v/>
      </c>
      <c r="AI50" s="365" t="str">
        <f t="shared" si="8"/>
        <v/>
      </c>
      <c r="AJ50" s="364" t="str">
        <f t="shared" si="9"/>
        <v/>
      </c>
      <c r="AK50" s="366" t="str">
        <f t="shared" si="10"/>
        <v/>
      </c>
      <c r="AL50" s="367" t="str">
        <f t="shared" si="11"/>
        <v/>
      </c>
      <c r="AM50" s="368" t="str">
        <f>IFERROR(_xlfn.XLOOKUP(AL50,HELPER!$C$7:$C$47,HELPER!$D$7:$D$47,,1),"")</f>
        <v/>
      </c>
    </row>
    <row r="51" hidden="1" spans="2:39">
      <c r="B51" s="356">
        <v>35</v>
      </c>
      <c r="C51" s="357" t="str">
        <f>IFERROR(IF(OR($B$8="INCORRECT SHEET. Do not use this sheet to input data.",'INPUT DATA'!O45=""),"",'INPUT DATA'!O45),"")</f>
        <v/>
      </c>
      <c r="D51" s="358"/>
      <c r="E51" s="359"/>
      <c r="F51" s="359"/>
      <c r="G51" s="359"/>
      <c r="H51" s="359"/>
      <c r="I51" s="359"/>
      <c r="J51" s="359"/>
      <c r="K51" s="359"/>
      <c r="L51" s="359"/>
      <c r="M51" s="360"/>
      <c r="N51" s="361" t="str">
        <f t="shared" si="0"/>
        <v/>
      </c>
      <c r="O51" s="362" t="str">
        <f t="shared" si="1"/>
        <v/>
      </c>
      <c r="P51" s="363" t="str">
        <f t="shared" si="2"/>
        <v/>
      </c>
      <c r="Q51" s="358"/>
      <c r="R51" s="359"/>
      <c r="S51" s="359"/>
      <c r="T51" s="359"/>
      <c r="U51" s="359"/>
      <c r="V51" s="359"/>
      <c r="W51" s="359"/>
      <c r="X51" s="359"/>
      <c r="Y51" s="359"/>
      <c r="Z51" s="360"/>
      <c r="AA51" s="361" t="str">
        <f t="shared" si="3"/>
        <v/>
      </c>
      <c r="AB51" s="362" t="str">
        <f t="shared" si="4"/>
        <v/>
      </c>
      <c r="AC51" s="363" t="str">
        <f t="shared" si="5"/>
        <v/>
      </c>
      <c r="AD51" s="358"/>
      <c r="AE51" s="359"/>
      <c r="AF51" s="360"/>
      <c r="AG51" s="364" t="str">
        <f t="shared" si="6"/>
        <v/>
      </c>
      <c r="AH51" s="362" t="str">
        <f t="shared" si="7"/>
        <v/>
      </c>
      <c r="AI51" s="365" t="str">
        <f t="shared" si="8"/>
        <v/>
      </c>
      <c r="AJ51" s="364" t="str">
        <f t="shared" si="9"/>
        <v/>
      </c>
      <c r="AK51" s="366" t="str">
        <f t="shared" si="10"/>
        <v/>
      </c>
      <c r="AL51" s="367" t="str">
        <f t="shared" si="11"/>
        <v/>
      </c>
      <c r="AM51" s="368" t="str">
        <f>IFERROR(_xlfn.XLOOKUP(AL51,HELPER!$C$7:$C$47,HELPER!$D$7:$D$47,,1),"")</f>
        <v/>
      </c>
    </row>
    <row r="52" hidden="1" spans="2:39">
      <c r="B52" s="356">
        <v>36</v>
      </c>
      <c r="C52" s="357" t="str">
        <f>IFERROR(IF(OR($B$8="INCORRECT SHEET. Do not use this sheet to input data.",'INPUT DATA'!O46=""),"",'INPUT DATA'!O46),"")</f>
        <v/>
      </c>
      <c r="D52" s="358"/>
      <c r="E52" s="359"/>
      <c r="F52" s="359"/>
      <c r="G52" s="359"/>
      <c r="H52" s="359"/>
      <c r="I52" s="359"/>
      <c r="J52" s="359"/>
      <c r="K52" s="359"/>
      <c r="L52" s="359"/>
      <c r="M52" s="360"/>
      <c r="N52" s="361" t="str">
        <f t="shared" si="0"/>
        <v/>
      </c>
      <c r="O52" s="362" t="str">
        <f t="shared" si="1"/>
        <v/>
      </c>
      <c r="P52" s="363" t="str">
        <f t="shared" si="2"/>
        <v/>
      </c>
      <c r="Q52" s="358"/>
      <c r="R52" s="359"/>
      <c r="S52" s="359"/>
      <c r="T52" s="359"/>
      <c r="U52" s="359"/>
      <c r="V52" s="359"/>
      <c r="W52" s="359"/>
      <c r="X52" s="359"/>
      <c r="Y52" s="359"/>
      <c r="Z52" s="360"/>
      <c r="AA52" s="361" t="str">
        <f t="shared" si="3"/>
        <v/>
      </c>
      <c r="AB52" s="362" t="str">
        <f t="shared" si="4"/>
        <v/>
      </c>
      <c r="AC52" s="363" t="str">
        <f t="shared" si="5"/>
        <v/>
      </c>
      <c r="AD52" s="358"/>
      <c r="AE52" s="359"/>
      <c r="AF52" s="360"/>
      <c r="AG52" s="364" t="str">
        <f t="shared" si="6"/>
        <v/>
      </c>
      <c r="AH52" s="362" t="str">
        <f t="shared" si="7"/>
        <v/>
      </c>
      <c r="AI52" s="365" t="str">
        <f t="shared" si="8"/>
        <v/>
      </c>
      <c r="AJ52" s="364" t="str">
        <f t="shared" si="9"/>
        <v/>
      </c>
      <c r="AK52" s="366" t="str">
        <f t="shared" si="10"/>
        <v/>
      </c>
      <c r="AL52" s="367" t="str">
        <f t="shared" si="11"/>
        <v/>
      </c>
      <c r="AM52" s="368" t="str">
        <f>IFERROR(_xlfn.XLOOKUP(AL52,HELPER!$C$7:$C$47,HELPER!$D$7:$D$47,,1),"")</f>
        <v/>
      </c>
    </row>
    <row r="53" hidden="1" spans="2:39">
      <c r="B53" s="356">
        <v>37</v>
      </c>
      <c r="C53" s="357" t="str">
        <f>IFERROR(IF(OR($B$8="INCORRECT SHEET. Do not use this sheet to input data.",'INPUT DATA'!O47=""),"",'INPUT DATA'!O47),"")</f>
        <v/>
      </c>
      <c r="D53" s="358"/>
      <c r="E53" s="359"/>
      <c r="F53" s="359"/>
      <c r="G53" s="359"/>
      <c r="H53" s="359"/>
      <c r="I53" s="359"/>
      <c r="J53" s="359"/>
      <c r="K53" s="359"/>
      <c r="L53" s="359"/>
      <c r="M53" s="360"/>
      <c r="N53" s="361" t="str">
        <f t="shared" si="0"/>
        <v/>
      </c>
      <c r="O53" s="362" t="str">
        <f t="shared" si="1"/>
        <v/>
      </c>
      <c r="P53" s="363" t="str">
        <f t="shared" si="2"/>
        <v/>
      </c>
      <c r="Q53" s="358"/>
      <c r="R53" s="359"/>
      <c r="S53" s="359"/>
      <c r="T53" s="359"/>
      <c r="U53" s="359"/>
      <c r="V53" s="359"/>
      <c r="W53" s="359"/>
      <c r="X53" s="359"/>
      <c r="Y53" s="359"/>
      <c r="Z53" s="360"/>
      <c r="AA53" s="361" t="str">
        <f t="shared" si="3"/>
        <v/>
      </c>
      <c r="AB53" s="362" t="str">
        <f t="shared" si="4"/>
        <v/>
      </c>
      <c r="AC53" s="363" t="str">
        <f t="shared" si="5"/>
        <v/>
      </c>
      <c r="AD53" s="358"/>
      <c r="AE53" s="359"/>
      <c r="AF53" s="360"/>
      <c r="AG53" s="364" t="str">
        <f t="shared" si="6"/>
        <v/>
      </c>
      <c r="AH53" s="362" t="str">
        <f t="shared" si="7"/>
        <v/>
      </c>
      <c r="AI53" s="365" t="str">
        <f t="shared" si="8"/>
        <v/>
      </c>
      <c r="AJ53" s="364" t="str">
        <f t="shared" si="9"/>
        <v/>
      </c>
      <c r="AK53" s="366" t="str">
        <f t="shared" si="10"/>
        <v/>
      </c>
      <c r="AL53" s="367" t="str">
        <f t="shared" si="11"/>
        <v/>
      </c>
      <c r="AM53" s="368" t="str">
        <f>IFERROR(_xlfn.XLOOKUP(AL53,HELPER!$C$7:$C$47,HELPER!$D$7:$D$47,,1),"")</f>
        <v/>
      </c>
    </row>
    <row r="54" hidden="1" spans="2:39">
      <c r="B54" s="356">
        <v>38</v>
      </c>
      <c r="C54" s="357" t="str">
        <f>IFERROR(IF(OR($B$8="INCORRECT SHEET. Do not use this sheet to input data.",'INPUT DATA'!O48=""),"",'INPUT DATA'!O48),"")</f>
        <v/>
      </c>
      <c r="D54" s="358"/>
      <c r="E54" s="359"/>
      <c r="F54" s="359"/>
      <c r="G54" s="359"/>
      <c r="H54" s="359"/>
      <c r="I54" s="359"/>
      <c r="J54" s="359"/>
      <c r="K54" s="359"/>
      <c r="L54" s="359"/>
      <c r="M54" s="360"/>
      <c r="N54" s="361" t="str">
        <f t="shared" si="0"/>
        <v/>
      </c>
      <c r="O54" s="362" t="str">
        <f t="shared" si="1"/>
        <v/>
      </c>
      <c r="P54" s="363" t="str">
        <f t="shared" si="2"/>
        <v/>
      </c>
      <c r="Q54" s="358"/>
      <c r="R54" s="359"/>
      <c r="S54" s="359"/>
      <c r="T54" s="359"/>
      <c r="U54" s="359"/>
      <c r="V54" s="359"/>
      <c r="W54" s="359"/>
      <c r="X54" s="359"/>
      <c r="Y54" s="359"/>
      <c r="Z54" s="360"/>
      <c r="AA54" s="361" t="str">
        <f t="shared" si="3"/>
        <v/>
      </c>
      <c r="AB54" s="362" t="str">
        <f t="shared" si="4"/>
        <v/>
      </c>
      <c r="AC54" s="363" t="str">
        <f t="shared" si="5"/>
        <v/>
      </c>
      <c r="AD54" s="358"/>
      <c r="AE54" s="359"/>
      <c r="AF54" s="360"/>
      <c r="AG54" s="364" t="str">
        <f t="shared" si="6"/>
        <v/>
      </c>
      <c r="AH54" s="362" t="str">
        <f t="shared" si="7"/>
        <v/>
      </c>
      <c r="AI54" s="365" t="str">
        <f t="shared" si="8"/>
        <v/>
      </c>
      <c r="AJ54" s="364" t="str">
        <f t="shared" si="9"/>
        <v/>
      </c>
      <c r="AK54" s="366" t="str">
        <f t="shared" si="10"/>
        <v/>
      </c>
      <c r="AL54" s="367" t="str">
        <f t="shared" si="11"/>
        <v/>
      </c>
      <c r="AM54" s="368" t="str">
        <f>IFERROR(_xlfn.XLOOKUP(AL54,HELPER!$C$7:$C$47,HELPER!$D$7:$D$47,,1),"")</f>
        <v/>
      </c>
    </row>
    <row r="55" hidden="1" spans="2:39">
      <c r="B55" s="356">
        <v>39</v>
      </c>
      <c r="C55" s="357" t="str">
        <f>IFERROR(IF(OR($B$8="INCORRECT SHEET. Do not use this sheet to input data.",'INPUT DATA'!O49=""),"",'INPUT DATA'!O49),"")</f>
        <v/>
      </c>
      <c r="D55" s="358"/>
      <c r="E55" s="359"/>
      <c r="F55" s="359"/>
      <c r="G55" s="359"/>
      <c r="H55" s="359"/>
      <c r="I55" s="359"/>
      <c r="J55" s="359"/>
      <c r="K55" s="359"/>
      <c r="L55" s="359"/>
      <c r="M55" s="360"/>
      <c r="N55" s="361" t="str">
        <f t="shared" si="0"/>
        <v/>
      </c>
      <c r="O55" s="362" t="str">
        <f t="shared" si="1"/>
        <v/>
      </c>
      <c r="P55" s="363" t="str">
        <f t="shared" si="2"/>
        <v/>
      </c>
      <c r="Q55" s="358"/>
      <c r="R55" s="359"/>
      <c r="S55" s="359"/>
      <c r="T55" s="359"/>
      <c r="U55" s="359"/>
      <c r="V55" s="359"/>
      <c r="W55" s="359"/>
      <c r="X55" s="359"/>
      <c r="Y55" s="359"/>
      <c r="Z55" s="360"/>
      <c r="AA55" s="361" t="str">
        <f t="shared" si="3"/>
        <v/>
      </c>
      <c r="AB55" s="362" t="str">
        <f t="shared" si="4"/>
        <v/>
      </c>
      <c r="AC55" s="363" t="str">
        <f t="shared" si="5"/>
        <v/>
      </c>
      <c r="AD55" s="358"/>
      <c r="AE55" s="359"/>
      <c r="AF55" s="360"/>
      <c r="AG55" s="364" t="str">
        <f t="shared" si="6"/>
        <v/>
      </c>
      <c r="AH55" s="362" t="str">
        <f t="shared" si="7"/>
        <v/>
      </c>
      <c r="AI55" s="365" t="str">
        <f t="shared" si="8"/>
        <v/>
      </c>
      <c r="AJ55" s="364" t="str">
        <f t="shared" si="9"/>
        <v/>
      </c>
      <c r="AK55" s="366" t="str">
        <f t="shared" si="10"/>
        <v/>
      </c>
      <c r="AL55" s="367" t="str">
        <f t="shared" si="11"/>
        <v/>
      </c>
      <c r="AM55" s="368" t="str">
        <f>IFERROR(_xlfn.XLOOKUP(AL55,HELPER!$C$7:$C$47,HELPER!$D$7:$D$47,,1),"")</f>
        <v/>
      </c>
    </row>
    <row r="56" hidden="1" spans="2:39">
      <c r="B56" s="356">
        <v>40</v>
      </c>
      <c r="C56" s="357" t="str">
        <f>IFERROR(IF(OR($B$8="INCORRECT SHEET. Do not use this sheet to input data.",'INPUT DATA'!O50=""),"",'INPUT DATA'!O50),"")</f>
        <v/>
      </c>
      <c r="D56" s="358"/>
      <c r="E56" s="359"/>
      <c r="F56" s="359"/>
      <c r="G56" s="359"/>
      <c r="H56" s="359"/>
      <c r="I56" s="359"/>
      <c r="J56" s="359"/>
      <c r="K56" s="359"/>
      <c r="L56" s="359"/>
      <c r="M56" s="360"/>
      <c r="N56" s="361" t="str">
        <f t="shared" si="0"/>
        <v/>
      </c>
      <c r="O56" s="362" t="str">
        <f t="shared" si="1"/>
        <v/>
      </c>
      <c r="P56" s="363" t="str">
        <f t="shared" si="2"/>
        <v/>
      </c>
      <c r="Q56" s="358"/>
      <c r="R56" s="359"/>
      <c r="S56" s="359"/>
      <c r="T56" s="359"/>
      <c r="U56" s="359"/>
      <c r="V56" s="359"/>
      <c r="W56" s="359"/>
      <c r="X56" s="359"/>
      <c r="Y56" s="359"/>
      <c r="Z56" s="360"/>
      <c r="AA56" s="361" t="str">
        <f t="shared" si="3"/>
        <v/>
      </c>
      <c r="AB56" s="362" t="str">
        <f t="shared" si="4"/>
        <v/>
      </c>
      <c r="AC56" s="363" t="str">
        <f t="shared" si="5"/>
        <v/>
      </c>
      <c r="AD56" s="358"/>
      <c r="AE56" s="359"/>
      <c r="AF56" s="360"/>
      <c r="AG56" s="364" t="str">
        <f t="shared" si="6"/>
        <v/>
      </c>
      <c r="AH56" s="362" t="str">
        <f t="shared" si="7"/>
        <v/>
      </c>
      <c r="AI56" s="365" t="str">
        <f t="shared" si="8"/>
        <v/>
      </c>
      <c r="AJ56" s="364" t="str">
        <f t="shared" si="9"/>
        <v/>
      </c>
      <c r="AK56" s="366" t="str">
        <f t="shared" si="10"/>
        <v/>
      </c>
      <c r="AL56" s="367" t="str">
        <f t="shared" si="11"/>
        <v/>
      </c>
      <c r="AM56" s="368" t="str">
        <f>IFERROR(_xlfn.XLOOKUP(AL56,HELPER!$C$7:$C$47,HELPER!$D$7:$D$47,,1),"")</f>
        <v/>
      </c>
    </row>
    <row r="57" hidden="1" spans="2:39">
      <c r="B57" s="356">
        <v>41</v>
      </c>
      <c r="C57" s="357" t="str">
        <f>IFERROR(IF(OR($B$8="INCORRECT SHEET. Do not use this sheet to input data.",'INPUT DATA'!O51=""),"",'INPUT DATA'!O51),"")</f>
        <v/>
      </c>
      <c r="D57" s="358"/>
      <c r="E57" s="359"/>
      <c r="F57" s="359"/>
      <c r="G57" s="359"/>
      <c r="H57" s="359"/>
      <c r="I57" s="359"/>
      <c r="J57" s="359"/>
      <c r="K57" s="359"/>
      <c r="L57" s="359"/>
      <c r="M57" s="360"/>
      <c r="N57" s="361" t="str">
        <f t="shared" si="0"/>
        <v/>
      </c>
      <c r="O57" s="362" t="str">
        <f t="shared" si="1"/>
        <v/>
      </c>
      <c r="P57" s="363" t="str">
        <f t="shared" si="2"/>
        <v/>
      </c>
      <c r="Q57" s="358"/>
      <c r="R57" s="359"/>
      <c r="S57" s="359"/>
      <c r="T57" s="359"/>
      <c r="U57" s="359"/>
      <c r="V57" s="359"/>
      <c r="W57" s="359"/>
      <c r="X57" s="359"/>
      <c r="Y57" s="359"/>
      <c r="Z57" s="360"/>
      <c r="AA57" s="361" t="str">
        <f t="shared" si="3"/>
        <v/>
      </c>
      <c r="AB57" s="362" t="str">
        <f t="shared" si="4"/>
        <v/>
      </c>
      <c r="AC57" s="363" t="str">
        <f t="shared" si="5"/>
        <v/>
      </c>
      <c r="AD57" s="358"/>
      <c r="AE57" s="359"/>
      <c r="AF57" s="360"/>
      <c r="AG57" s="364" t="str">
        <f t="shared" si="6"/>
        <v/>
      </c>
      <c r="AH57" s="362" t="str">
        <f t="shared" si="7"/>
        <v/>
      </c>
      <c r="AI57" s="365" t="str">
        <f t="shared" si="8"/>
        <v/>
      </c>
      <c r="AJ57" s="364" t="str">
        <f t="shared" si="9"/>
        <v/>
      </c>
      <c r="AK57" s="366" t="str">
        <f t="shared" si="10"/>
        <v/>
      </c>
      <c r="AL57" s="367" t="str">
        <f t="shared" si="11"/>
        <v/>
      </c>
      <c r="AM57" s="368" t="str">
        <f>IFERROR(_xlfn.XLOOKUP(AL57,HELPER!$C$7:$C$47,HELPER!$D$7:$D$47,,1),"")</f>
        <v/>
      </c>
    </row>
    <row r="58" hidden="1" spans="2:39">
      <c r="B58" s="356">
        <v>42</v>
      </c>
      <c r="C58" s="357" t="str">
        <f>IFERROR(IF(OR($B$8="INCORRECT SHEET. Do not use this sheet to input data.",'INPUT DATA'!O52=""),"",'INPUT DATA'!O52),"")</f>
        <v/>
      </c>
      <c r="D58" s="358"/>
      <c r="E58" s="359"/>
      <c r="F58" s="359"/>
      <c r="G58" s="359"/>
      <c r="H58" s="359"/>
      <c r="I58" s="359"/>
      <c r="J58" s="359"/>
      <c r="K58" s="359"/>
      <c r="L58" s="359"/>
      <c r="M58" s="360"/>
      <c r="N58" s="361" t="str">
        <f t="shared" si="0"/>
        <v/>
      </c>
      <c r="O58" s="362" t="str">
        <f t="shared" si="1"/>
        <v/>
      </c>
      <c r="P58" s="363" t="str">
        <f t="shared" si="2"/>
        <v/>
      </c>
      <c r="Q58" s="358"/>
      <c r="R58" s="359"/>
      <c r="S58" s="359"/>
      <c r="T58" s="359"/>
      <c r="U58" s="359"/>
      <c r="V58" s="359"/>
      <c r="W58" s="359"/>
      <c r="X58" s="359"/>
      <c r="Y58" s="359"/>
      <c r="Z58" s="360"/>
      <c r="AA58" s="361" t="str">
        <f t="shared" si="3"/>
        <v/>
      </c>
      <c r="AB58" s="362" t="str">
        <f t="shared" si="4"/>
        <v/>
      </c>
      <c r="AC58" s="363" t="str">
        <f t="shared" si="5"/>
        <v/>
      </c>
      <c r="AD58" s="358"/>
      <c r="AE58" s="359"/>
      <c r="AF58" s="360"/>
      <c r="AG58" s="364" t="str">
        <f t="shared" si="6"/>
        <v/>
      </c>
      <c r="AH58" s="362" t="str">
        <f t="shared" si="7"/>
        <v/>
      </c>
      <c r="AI58" s="365" t="str">
        <f t="shared" si="8"/>
        <v/>
      </c>
      <c r="AJ58" s="364" t="str">
        <f t="shared" si="9"/>
        <v/>
      </c>
      <c r="AK58" s="366" t="str">
        <f t="shared" si="10"/>
        <v/>
      </c>
      <c r="AL58" s="367" t="str">
        <f t="shared" si="11"/>
        <v/>
      </c>
      <c r="AM58" s="368" t="str">
        <f>IFERROR(_xlfn.XLOOKUP(AL58,HELPER!$C$7:$C$47,HELPER!$D$7:$D$47,,1),"")</f>
        <v/>
      </c>
    </row>
    <row r="59" hidden="1" spans="2:39">
      <c r="B59" s="356">
        <v>43</v>
      </c>
      <c r="C59" s="357" t="str">
        <f>IFERROR(IF(OR($B$8="INCORRECT SHEET. Do not use this sheet to input data.",'INPUT DATA'!O53=""),"",'INPUT DATA'!O53),"")</f>
        <v/>
      </c>
      <c r="D59" s="358"/>
      <c r="E59" s="359"/>
      <c r="F59" s="359"/>
      <c r="G59" s="359"/>
      <c r="H59" s="359"/>
      <c r="I59" s="359"/>
      <c r="J59" s="359"/>
      <c r="K59" s="359"/>
      <c r="L59" s="359"/>
      <c r="M59" s="360"/>
      <c r="N59" s="361" t="str">
        <f t="shared" si="0"/>
        <v/>
      </c>
      <c r="O59" s="362" t="str">
        <f t="shared" si="1"/>
        <v/>
      </c>
      <c r="P59" s="363" t="str">
        <f t="shared" si="2"/>
        <v/>
      </c>
      <c r="Q59" s="358"/>
      <c r="R59" s="359"/>
      <c r="S59" s="359"/>
      <c r="T59" s="359"/>
      <c r="U59" s="359"/>
      <c r="V59" s="359"/>
      <c r="W59" s="359"/>
      <c r="X59" s="359"/>
      <c r="Y59" s="359"/>
      <c r="Z59" s="360"/>
      <c r="AA59" s="361" t="str">
        <f t="shared" si="3"/>
        <v/>
      </c>
      <c r="AB59" s="362" t="str">
        <f t="shared" si="4"/>
        <v/>
      </c>
      <c r="AC59" s="363" t="str">
        <f t="shared" si="5"/>
        <v/>
      </c>
      <c r="AD59" s="358"/>
      <c r="AE59" s="359"/>
      <c r="AF59" s="360"/>
      <c r="AG59" s="364" t="str">
        <f t="shared" si="6"/>
        <v/>
      </c>
      <c r="AH59" s="362" t="str">
        <f t="shared" si="7"/>
        <v/>
      </c>
      <c r="AI59" s="365" t="str">
        <f t="shared" si="8"/>
        <v/>
      </c>
      <c r="AJ59" s="364" t="str">
        <f t="shared" si="9"/>
        <v/>
      </c>
      <c r="AK59" s="366" t="str">
        <f t="shared" si="10"/>
        <v/>
      </c>
      <c r="AL59" s="367" t="str">
        <f t="shared" si="11"/>
        <v/>
      </c>
      <c r="AM59" s="368" t="str">
        <f>IFERROR(_xlfn.XLOOKUP(AL59,HELPER!$C$7:$C$47,HELPER!$D$7:$D$47,,1),"")</f>
        <v/>
      </c>
    </row>
    <row r="60" hidden="1" spans="2:39">
      <c r="B60" s="356">
        <v>44</v>
      </c>
      <c r="C60" s="357" t="str">
        <f>IFERROR(IF(OR($B$8="INCORRECT SHEET. Do not use this sheet to input data.",'INPUT DATA'!O54=""),"",'INPUT DATA'!O54),"")</f>
        <v/>
      </c>
      <c r="D60" s="358"/>
      <c r="E60" s="359"/>
      <c r="F60" s="359"/>
      <c r="G60" s="359"/>
      <c r="H60" s="359"/>
      <c r="I60" s="359"/>
      <c r="J60" s="359"/>
      <c r="K60" s="359"/>
      <c r="L60" s="359"/>
      <c r="M60" s="360"/>
      <c r="N60" s="361" t="str">
        <f t="shared" si="0"/>
        <v/>
      </c>
      <c r="O60" s="362" t="str">
        <f t="shared" si="1"/>
        <v/>
      </c>
      <c r="P60" s="363" t="str">
        <f t="shared" si="2"/>
        <v/>
      </c>
      <c r="Q60" s="358"/>
      <c r="R60" s="359"/>
      <c r="S60" s="359"/>
      <c r="T60" s="359"/>
      <c r="U60" s="359"/>
      <c r="V60" s="359"/>
      <c r="W60" s="359"/>
      <c r="X60" s="359"/>
      <c r="Y60" s="359"/>
      <c r="Z60" s="360"/>
      <c r="AA60" s="361" t="str">
        <f t="shared" si="3"/>
        <v/>
      </c>
      <c r="AB60" s="362" t="str">
        <f t="shared" si="4"/>
        <v/>
      </c>
      <c r="AC60" s="363" t="str">
        <f t="shared" si="5"/>
        <v/>
      </c>
      <c r="AD60" s="358"/>
      <c r="AE60" s="359"/>
      <c r="AF60" s="360"/>
      <c r="AG60" s="364" t="str">
        <f t="shared" si="6"/>
        <v/>
      </c>
      <c r="AH60" s="362" t="str">
        <f t="shared" si="7"/>
        <v/>
      </c>
      <c r="AI60" s="365" t="str">
        <f t="shared" si="8"/>
        <v/>
      </c>
      <c r="AJ60" s="364" t="str">
        <f t="shared" si="9"/>
        <v/>
      </c>
      <c r="AK60" s="366" t="str">
        <f t="shared" si="10"/>
        <v/>
      </c>
      <c r="AL60" s="367" t="str">
        <f t="shared" si="11"/>
        <v/>
      </c>
      <c r="AM60" s="368" t="str">
        <f>IFERROR(_xlfn.XLOOKUP(AL60,HELPER!$C$7:$C$47,HELPER!$D$7:$D$47,,1),"")</f>
        <v/>
      </c>
    </row>
    <row r="61" hidden="1" spans="2:39">
      <c r="B61" s="356">
        <v>45</v>
      </c>
      <c r="C61" s="357" t="str">
        <f>IFERROR(IF(OR($B$8="INCORRECT SHEET. Do not use this sheet to input data.",'INPUT DATA'!O55=""),"",'INPUT DATA'!O55),"")</f>
        <v/>
      </c>
      <c r="D61" s="358"/>
      <c r="E61" s="359"/>
      <c r="F61" s="359"/>
      <c r="G61" s="359"/>
      <c r="H61" s="359"/>
      <c r="I61" s="359"/>
      <c r="J61" s="359"/>
      <c r="K61" s="359"/>
      <c r="L61" s="359"/>
      <c r="M61" s="360"/>
      <c r="N61" s="361" t="str">
        <f t="shared" si="0"/>
        <v/>
      </c>
      <c r="O61" s="362" t="str">
        <f t="shared" si="1"/>
        <v/>
      </c>
      <c r="P61" s="363" t="str">
        <f t="shared" si="2"/>
        <v/>
      </c>
      <c r="Q61" s="358"/>
      <c r="R61" s="359"/>
      <c r="S61" s="359"/>
      <c r="T61" s="359"/>
      <c r="U61" s="359"/>
      <c r="V61" s="359"/>
      <c r="W61" s="359"/>
      <c r="X61" s="359"/>
      <c r="Y61" s="359"/>
      <c r="Z61" s="360"/>
      <c r="AA61" s="361" t="str">
        <f t="shared" si="3"/>
        <v/>
      </c>
      <c r="AB61" s="362" t="str">
        <f t="shared" si="4"/>
        <v/>
      </c>
      <c r="AC61" s="363" t="str">
        <f t="shared" si="5"/>
        <v/>
      </c>
      <c r="AD61" s="358"/>
      <c r="AE61" s="359"/>
      <c r="AF61" s="360"/>
      <c r="AG61" s="364" t="str">
        <f t="shared" si="6"/>
        <v/>
      </c>
      <c r="AH61" s="362" t="str">
        <f t="shared" si="7"/>
        <v/>
      </c>
      <c r="AI61" s="365" t="str">
        <f t="shared" si="8"/>
        <v/>
      </c>
      <c r="AJ61" s="364" t="str">
        <f t="shared" si="9"/>
        <v/>
      </c>
      <c r="AK61" s="366" t="str">
        <f t="shared" si="10"/>
        <v/>
      </c>
      <c r="AL61" s="367" t="str">
        <f t="shared" si="11"/>
        <v/>
      </c>
      <c r="AM61" s="368" t="str">
        <f>IFERROR(_xlfn.XLOOKUP(AL61,HELPER!$C$7:$C$47,HELPER!$D$7:$D$47,,1),"")</f>
        <v/>
      </c>
    </row>
    <row r="62" hidden="1" spans="2:39">
      <c r="B62" s="356">
        <v>46</v>
      </c>
      <c r="C62" s="357" t="str">
        <f>IFERROR(IF(OR($B$8="INCORRECT SHEET. Do not use this sheet to input data.",'INPUT DATA'!O56=""),"",'INPUT DATA'!O56),"")</f>
        <v/>
      </c>
      <c r="D62" s="358"/>
      <c r="E62" s="359"/>
      <c r="F62" s="359"/>
      <c r="G62" s="359"/>
      <c r="H62" s="359"/>
      <c r="I62" s="359"/>
      <c r="J62" s="359"/>
      <c r="K62" s="359"/>
      <c r="L62" s="359"/>
      <c r="M62" s="360"/>
      <c r="N62" s="361" t="str">
        <f t="shared" si="0"/>
        <v/>
      </c>
      <c r="O62" s="362" t="str">
        <f t="shared" si="1"/>
        <v/>
      </c>
      <c r="P62" s="363" t="str">
        <f t="shared" si="2"/>
        <v/>
      </c>
      <c r="Q62" s="358"/>
      <c r="R62" s="359"/>
      <c r="S62" s="359"/>
      <c r="T62" s="359"/>
      <c r="U62" s="359"/>
      <c r="V62" s="359"/>
      <c r="W62" s="359"/>
      <c r="X62" s="359"/>
      <c r="Y62" s="359"/>
      <c r="Z62" s="360"/>
      <c r="AA62" s="361" t="str">
        <f t="shared" si="3"/>
        <v/>
      </c>
      <c r="AB62" s="362" t="str">
        <f t="shared" si="4"/>
        <v/>
      </c>
      <c r="AC62" s="363" t="str">
        <f t="shared" si="5"/>
        <v/>
      </c>
      <c r="AD62" s="358"/>
      <c r="AE62" s="359"/>
      <c r="AF62" s="360"/>
      <c r="AG62" s="364" t="str">
        <f t="shared" si="6"/>
        <v/>
      </c>
      <c r="AH62" s="362" t="str">
        <f t="shared" si="7"/>
        <v/>
      </c>
      <c r="AI62" s="365" t="str">
        <f t="shared" si="8"/>
        <v/>
      </c>
      <c r="AJ62" s="364" t="str">
        <f t="shared" si="9"/>
        <v/>
      </c>
      <c r="AK62" s="366" t="str">
        <f t="shared" si="10"/>
        <v/>
      </c>
      <c r="AL62" s="367" t="str">
        <f t="shared" si="11"/>
        <v/>
      </c>
      <c r="AM62" s="368" t="str">
        <f>IFERROR(_xlfn.XLOOKUP(AL62,HELPER!$C$7:$C$47,HELPER!$D$7:$D$47,,1),"")</f>
        <v/>
      </c>
    </row>
    <row r="63" hidden="1" spans="2:39">
      <c r="B63" s="356">
        <v>47</v>
      </c>
      <c r="C63" s="357" t="str">
        <f>IFERROR(IF(OR($B$8="INCORRECT SHEET. Do not use this sheet to input data.",'INPUT DATA'!O57=""),"",'INPUT DATA'!O57),"")</f>
        <v/>
      </c>
      <c r="D63" s="358"/>
      <c r="E63" s="359"/>
      <c r="F63" s="359"/>
      <c r="G63" s="359"/>
      <c r="H63" s="359"/>
      <c r="I63" s="359"/>
      <c r="J63" s="359"/>
      <c r="K63" s="359"/>
      <c r="L63" s="359"/>
      <c r="M63" s="360"/>
      <c r="N63" s="361" t="str">
        <f t="shared" si="0"/>
        <v/>
      </c>
      <c r="O63" s="362" t="str">
        <f t="shared" si="1"/>
        <v/>
      </c>
      <c r="P63" s="363" t="str">
        <f t="shared" si="2"/>
        <v/>
      </c>
      <c r="Q63" s="358"/>
      <c r="R63" s="359"/>
      <c r="S63" s="359"/>
      <c r="T63" s="359"/>
      <c r="U63" s="359"/>
      <c r="V63" s="359"/>
      <c r="W63" s="359"/>
      <c r="X63" s="359"/>
      <c r="Y63" s="359"/>
      <c r="Z63" s="360"/>
      <c r="AA63" s="361" t="str">
        <f t="shared" si="3"/>
        <v/>
      </c>
      <c r="AB63" s="362" t="str">
        <f t="shared" si="4"/>
        <v/>
      </c>
      <c r="AC63" s="363" t="str">
        <f t="shared" si="5"/>
        <v/>
      </c>
      <c r="AD63" s="358"/>
      <c r="AE63" s="359"/>
      <c r="AF63" s="360"/>
      <c r="AG63" s="364" t="str">
        <f t="shared" si="6"/>
        <v/>
      </c>
      <c r="AH63" s="362" t="str">
        <f t="shared" si="7"/>
        <v/>
      </c>
      <c r="AI63" s="365" t="str">
        <f t="shared" si="8"/>
        <v/>
      </c>
      <c r="AJ63" s="364" t="str">
        <f t="shared" si="9"/>
        <v/>
      </c>
      <c r="AK63" s="366" t="str">
        <f t="shared" si="10"/>
        <v/>
      </c>
      <c r="AL63" s="367" t="str">
        <f t="shared" si="11"/>
        <v/>
      </c>
      <c r="AM63" s="368" t="str">
        <f>IFERROR(_xlfn.XLOOKUP(AL63,HELPER!$C$7:$C$47,HELPER!$D$7:$D$47,,1),"")</f>
        <v/>
      </c>
    </row>
    <row r="64" hidden="1" spans="2:39">
      <c r="B64" s="356">
        <v>48</v>
      </c>
      <c r="C64" s="357" t="str">
        <f>IFERROR(IF(OR($B$8="INCORRECT SHEET. Do not use this sheet to input data.",'INPUT DATA'!O58=""),"",'INPUT DATA'!O58),"")</f>
        <v/>
      </c>
      <c r="D64" s="358"/>
      <c r="E64" s="359"/>
      <c r="F64" s="359"/>
      <c r="G64" s="359"/>
      <c r="H64" s="359"/>
      <c r="I64" s="359"/>
      <c r="J64" s="359"/>
      <c r="K64" s="359"/>
      <c r="L64" s="359"/>
      <c r="M64" s="360"/>
      <c r="N64" s="361" t="str">
        <f t="shared" si="0"/>
        <v/>
      </c>
      <c r="O64" s="362" t="str">
        <f t="shared" si="1"/>
        <v/>
      </c>
      <c r="P64" s="363" t="str">
        <f t="shared" si="2"/>
        <v/>
      </c>
      <c r="Q64" s="358"/>
      <c r="R64" s="359"/>
      <c r="S64" s="359"/>
      <c r="T64" s="359"/>
      <c r="U64" s="359"/>
      <c r="V64" s="359"/>
      <c r="W64" s="359"/>
      <c r="X64" s="359"/>
      <c r="Y64" s="359"/>
      <c r="Z64" s="360"/>
      <c r="AA64" s="361" t="str">
        <f t="shared" si="3"/>
        <v/>
      </c>
      <c r="AB64" s="362" t="str">
        <f t="shared" si="4"/>
        <v/>
      </c>
      <c r="AC64" s="363" t="str">
        <f t="shared" si="5"/>
        <v/>
      </c>
      <c r="AD64" s="358"/>
      <c r="AE64" s="359"/>
      <c r="AF64" s="360"/>
      <c r="AG64" s="364" t="str">
        <f t="shared" si="6"/>
        <v/>
      </c>
      <c r="AH64" s="362" t="str">
        <f t="shared" si="7"/>
        <v/>
      </c>
      <c r="AI64" s="365" t="str">
        <f t="shared" si="8"/>
        <v/>
      </c>
      <c r="AJ64" s="364" t="str">
        <f t="shared" si="9"/>
        <v/>
      </c>
      <c r="AK64" s="366" t="str">
        <f t="shared" si="10"/>
        <v/>
      </c>
      <c r="AL64" s="367" t="str">
        <f t="shared" si="11"/>
        <v/>
      </c>
      <c r="AM64" s="368" t="str">
        <f>IFERROR(_xlfn.XLOOKUP(AL64,HELPER!$C$7:$C$47,HELPER!$D$7:$D$47,,1),"")</f>
        <v/>
      </c>
    </row>
    <row r="65" hidden="1" spans="2:39">
      <c r="B65" s="356">
        <v>49</v>
      </c>
      <c r="C65" s="357" t="str">
        <f>IFERROR(IF(OR($B$8="INCORRECT SHEET. Do not use this sheet to input data.",'INPUT DATA'!O59=""),"",'INPUT DATA'!O59),"")</f>
        <v/>
      </c>
      <c r="D65" s="358"/>
      <c r="E65" s="359"/>
      <c r="F65" s="359"/>
      <c r="G65" s="359"/>
      <c r="H65" s="359"/>
      <c r="I65" s="359"/>
      <c r="J65" s="359"/>
      <c r="K65" s="359"/>
      <c r="L65" s="359"/>
      <c r="M65" s="360"/>
      <c r="N65" s="361" t="str">
        <f t="shared" si="0"/>
        <v/>
      </c>
      <c r="O65" s="362" t="str">
        <f t="shared" si="1"/>
        <v/>
      </c>
      <c r="P65" s="363" t="str">
        <f t="shared" si="2"/>
        <v/>
      </c>
      <c r="Q65" s="358"/>
      <c r="R65" s="359"/>
      <c r="S65" s="359"/>
      <c r="T65" s="359"/>
      <c r="U65" s="359"/>
      <c r="V65" s="359"/>
      <c r="W65" s="359"/>
      <c r="X65" s="359"/>
      <c r="Y65" s="359"/>
      <c r="Z65" s="360"/>
      <c r="AA65" s="361" t="str">
        <f t="shared" si="3"/>
        <v/>
      </c>
      <c r="AB65" s="362" t="str">
        <f t="shared" si="4"/>
        <v/>
      </c>
      <c r="AC65" s="363" t="str">
        <f t="shared" si="5"/>
        <v/>
      </c>
      <c r="AD65" s="358"/>
      <c r="AE65" s="359"/>
      <c r="AF65" s="360"/>
      <c r="AG65" s="364" t="str">
        <f t="shared" si="6"/>
        <v/>
      </c>
      <c r="AH65" s="362" t="str">
        <f t="shared" si="7"/>
        <v/>
      </c>
      <c r="AI65" s="365" t="str">
        <f t="shared" si="8"/>
        <v/>
      </c>
      <c r="AJ65" s="364" t="str">
        <f t="shared" si="9"/>
        <v/>
      </c>
      <c r="AK65" s="366" t="str">
        <f t="shared" si="10"/>
        <v/>
      </c>
      <c r="AL65" s="367" t="str">
        <f t="shared" si="11"/>
        <v/>
      </c>
      <c r="AM65" s="368" t="str">
        <f>IFERROR(_xlfn.XLOOKUP(AL65,HELPER!$C$7:$C$47,HELPER!$D$7:$D$47,,1),"")</f>
        <v/>
      </c>
    </row>
    <row r="66" ht="14.55" hidden="1" spans="2:39">
      <c r="B66" s="369">
        <v>50</v>
      </c>
      <c r="C66" s="370" t="str">
        <f>IFERROR(IF(OR($B$8="INCORRECT SHEET. Do not use this sheet to input data.",'INPUT DATA'!O60=""),"",'INPUT DATA'!O60),"")</f>
        <v/>
      </c>
      <c r="D66" s="371"/>
      <c r="E66" s="372"/>
      <c r="F66" s="372"/>
      <c r="G66" s="372"/>
      <c r="H66" s="372"/>
      <c r="I66" s="372"/>
      <c r="J66" s="372"/>
      <c r="K66" s="372"/>
      <c r="L66" s="372"/>
      <c r="M66" s="373"/>
      <c r="N66" s="374" t="str">
        <f t="shared" si="0"/>
        <v/>
      </c>
      <c r="O66" s="375" t="str">
        <f t="shared" si="1"/>
        <v/>
      </c>
      <c r="P66" s="376" t="str">
        <f t="shared" si="2"/>
        <v/>
      </c>
      <c r="Q66" s="371"/>
      <c r="R66" s="372"/>
      <c r="S66" s="372"/>
      <c r="T66" s="372"/>
      <c r="U66" s="372"/>
      <c r="V66" s="372"/>
      <c r="W66" s="372"/>
      <c r="X66" s="372"/>
      <c r="Y66" s="372"/>
      <c r="Z66" s="373"/>
      <c r="AA66" s="374" t="str">
        <f t="shared" si="3"/>
        <v/>
      </c>
      <c r="AB66" s="375" t="str">
        <f t="shared" si="4"/>
        <v/>
      </c>
      <c r="AC66" s="376" t="str">
        <f t="shared" si="5"/>
        <v/>
      </c>
      <c r="AD66" s="371"/>
      <c r="AE66" s="372"/>
      <c r="AF66" s="373"/>
      <c r="AG66" s="377" t="str">
        <f t="shared" si="6"/>
        <v/>
      </c>
      <c r="AH66" s="375" t="str">
        <f t="shared" si="7"/>
        <v/>
      </c>
      <c r="AI66" s="378" t="str">
        <f t="shared" si="8"/>
        <v/>
      </c>
      <c r="AJ66" s="377" t="str">
        <f t="shared" si="9"/>
        <v/>
      </c>
      <c r="AK66" s="379" t="str">
        <f t="shared" si="10"/>
        <v/>
      </c>
      <c r="AL66" s="380" t="str">
        <f t="shared" si="11"/>
        <v/>
      </c>
      <c r="AM66" s="381" t="str">
        <f>IFERROR(_xlfn.XLOOKUP(AL66,HELPER!$C$7:$C$47,HELPER!$D$7:$D$47,,1),"")</f>
        <v/>
      </c>
    </row>
    <row r="67" ht="14.55" spans="2:39">
      <c r="B67" s="382" t="s">
        <v>45</v>
      </c>
      <c r="C67" s="383"/>
      <c r="D67" s="384"/>
      <c r="E67" s="384"/>
      <c r="F67" s="384"/>
      <c r="G67" s="384"/>
      <c r="H67" s="384"/>
      <c r="I67" s="384"/>
      <c r="J67" s="384"/>
      <c r="K67" s="384"/>
      <c r="L67" s="384"/>
      <c r="M67" s="384"/>
      <c r="N67" s="385"/>
      <c r="O67" s="386"/>
      <c r="P67" s="387"/>
      <c r="Q67" s="384"/>
      <c r="R67" s="384"/>
      <c r="S67" s="384"/>
      <c r="T67" s="384"/>
      <c r="U67" s="384"/>
      <c r="V67" s="384"/>
      <c r="W67" s="384"/>
      <c r="X67" s="384"/>
      <c r="Y67" s="384"/>
      <c r="Z67" s="384"/>
      <c r="AA67" s="385"/>
      <c r="AB67" s="386"/>
      <c r="AC67" s="387"/>
      <c r="AD67" s="384"/>
      <c r="AE67" s="384"/>
      <c r="AF67" s="384"/>
      <c r="AG67" s="385"/>
      <c r="AH67" s="385"/>
      <c r="AI67" s="385"/>
      <c r="AJ67" s="386"/>
      <c r="AK67" s="387"/>
      <c r="AL67" s="388"/>
      <c r="AM67" s="389"/>
    </row>
    <row r="68" spans="2:39">
      <c r="B68" s="390">
        <v>1</v>
      </c>
      <c r="C68" s="391" t="str">
        <f>IFERROR(IF(OR($B$8="INCORRECT SHEET. Do not use this sheet to input data.",'INPUT DATA'!S11=""),"",'INPUT DATA'!S11),"")</f>
        <v/>
      </c>
      <c r="D68" s="392"/>
      <c r="E68" s="393"/>
      <c r="F68" s="393"/>
      <c r="G68" s="393"/>
      <c r="H68" s="393"/>
      <c r="I68" s="393"/>
      <c r="J68" s="393"/>
      <c r="K68" s="393"/>
      <c r="L68" s="393"/>
      <c r="M68" s="394"/>
      <c r="N68" s="395" t="str">
        <f>IF(COUNT(D68:M68)=0,"",SUM(D68:M68))</f>
        <v/>
      </c>
      <c r="O68" s="396" t="str">
        <f>IFERROR(IF(N68="","",ROUND(N68/N$14*O$14,2)),"")</f>
        <v/>
      </c>
      <c r="P68" s="397" t="str">
        <f>IFERROR(IF(O68="","",ROUND(O68*P$14,2)),"")</f>
        <v/>
      </c>
      <c r="Q68" s="392"/>
      <c r="R68" s="393"/>
      <c r="S68" s="393"/>
      <c r="T68" s="393"/>
      <c r="U68" s="393"/>
      <c r="V68" s="393"/>
      <c r="W68" s="393"/>
      <c r="X68" s="393"/>
      <c r="Y68" s="393"/>
      <c r="Z68" s="394"/>
      <c r="AA68" s="395" t="str">
        <f>IF(COUNT(Q68:Z68)=0,"",SUM(Q68:Z68))</f>
        <v/>
      </c>
      <c r="AB68" s="396" t="str">
        <f>IFERROR(IF(AA68="","",ROUND(AA68/AA$14*AB$14,2)),"")</f>
        <v/>
      </c>
      <c r="AC68" s="397" t="str">
        <f>IFERROR(IF(AB68="","",ROUND(AB68*AC$14,2)),"")</f>
        <v/>
      </c>
      <c r="AD68" s="392"/>
      <c r="AE68" s="393"/>
      <c r="AF68" s="394"/>
      <c r="AG68" s="398" t="str">
        <f>IFERROR(IF(AD68="","",ROUND(AD68/$AD$14*$AG$14,2)),"")</f>
        <v/>
      </c>
      <c r="AH68" s="396" t="str">
        <f>IFERROR(IF(AE68="","",ROUND(AE68/$AE$14*$AH$14,2)),"")</f>
        <v/>
      </c>
      <c r="AI68" s="399" t="str">
        <f>IFERROR(IF(AF68="","",ROUND(AF68/$AF$14*$AI$14,2)),"")</f>
        <v/>
      </c>
      <c r="AJ68" s="398" t="str">
        <f>IF($AD$12=0,"",IF(OR(AG68&lt;&gt;"",AH68&lt;&gt;"",AI68&lt;&gt;""),(SUM(AG68:AI68)/SUM($AG$14:$AI$14))*$AJ$14,""))</f>
        <v/>
      </c>
      <c r="AK68" s="400" t="str">
        <f>IFERROR(IF(AJ68="","",ROUND(AJ68*$AK$14,2)),"")</f>
        <v/>
      </c>
      <c r="AL68" s="401" t="str">
        <f t="shared" ref="AL68:AL117" si="12">IF(AND(C68&lt;&gt;"",P68&lt;&gt;"",AC68&lt;&gt;"",$AD$12=0),SUM(P68,AC68),IF(AND(C68&lt;&gt;"",P68&lt;&gt;"",AC68&lt;&gt;"",AK68&lt;&gt;"",$D$12&gt;0,$Q$12&gt;0,$AD$12&gt;0),SUM(P68,AC68,AK68),""))</f>
        <v/>
      </c>
      <c r="AM68" s="218" t="str">
        <f>IFERROR(_xlfn.XLOOKUP(AL68,HELPER!$C$7:$C$47,HELPER!$D$7:$D$47,,1),"")</f>
        <v/>
      </c>
    </row>
    <row r="69" spans="2:39">
      <c r="B69" s="402">
        <v>2</v>
      </c>
      <c r="C69" s="391" t="str">
        <f>IFERROR(IF(OR($B$8="INCORRECT SHEET. Do not use this sheet to input data.",'INPUT DATA'!S12=""),"",'INPUT DATA'!S12),"")</f>
        <v/>
      </c>
      <c r="D69" s="358"/>
      <c r="E69" s="359"/>
      <c r="F69" s="359"/>
      <c r="G69" s="359"/>
      <c r="H69" s="359"/>
      <c r="I69" s="359"/>
      <c r="J69" s="359"/>
      <c r="K69" s="359"/>
      <c r="L69" s="359"/>
      <c r="M69" s="360"/>
      <c r="N69" s="361" t="str">
        <f t="shared" ref="N69:N117" si="13">IF(COUNT(D69:M69)=0,"",SUM(D69:M69))</f>
        <v/>
      </c>
      <c r="O69" s="362" t="str">
        <f t="shared" ref="O69:O117" si="14">IFERROR(IF(N69="","",ROUND(N69/N$14*O$14,2)),"")</f>
        <v/>
      </c>
      <c r="P69" s="363" t="str">
        <f t="shared" ref="P69:P117" si="15">IFERROR(IF(O69="","",ROUND(O69*P$14,2)),"")</f>
        <v/>
      </c>
      <c r="Q69" s="358"/>
      <c r="R69" s="359"/>
      <c r="S69" s="359"/>
      <c r="T69" s="359"/>
      <c r="U69" s="359"/>
      <c r="V69" s="359"/>
      <c r="W69" s="359"/>
      <c r="X69" s="359"/>
      <c r="Y69" s="359"/>
      <c r="Z69" s="360"/>
      <c r="AA69" s="361" t="str">
        <f t="shared" ref="AA69:AA117" si="16">IF(COUNT(Q69:Z69)=0,"",SUM(Q69:Z69))</f>
        <v/>
      </c>
      <c r="AB69" s="362" t="str">
        <f t="shared" ref="AB69:AB117" si="17">IFERROR(IF(AA69="","",ROUND(AA69/AA$14*AB$14,2)),"")</f>
        <v/>
      </c>
      <c r="AC69" s="363" t="str">
        <f t="shared" ref="AC69:AC117" si="18">IFERROR(IF(AB69="","",ROUND(AB69*AC$14,2)),"")</f>
        <v/>
      </c>
      <c r="AD69" s="358"/>
      <c r="AE69" s="359"/>
      <c r="AF69" s="360"/>
      <c r="AG69" s="364" t="str">
        <f t="shared" ref="AG69:AG117" si="19">IFERROR(IF(AD69="","",ROUND(AD69/$AD$14*$AG$14,2)),"")</f>
        <v/>
      </c>
      <c r="AH69" s="362" t="str">
        <f t="shared" ref="AH69:AH117" si="20">IFERROR(IF(AE69="","",ROUND(AE69/$AE$14*$AH$14,2)),"")</f>
        <v/>
      </c>
      <c r="AI69" s="365" t="str">
        <f t="shared" ref="AI69:AI117" si="21">IFERROR(IF(AF69="","",ROUND(AF69/$AF$14*$AI$14,2)),"")</f>
        <v/>
      </c>
      <c r="AJ69" s="364" t="str">
        <f t="shared" ref="AJ69:AJ117" si="22">IF($AD$12=0,"",IF(OR(AG69&lt;&gt;"",AH69&lt;&gt;"",AI69&lt;&gt;""),(SUM(AG69:AI69)/SUM($AG$14:$AI$14))*$AJ$14,""))</f>
        <v/>
      </c>
      <c r="AK69" s="366" t="str">
        <f t="shared" ref="AK69:AK117" si="23">IFERROR(IF(AJ69="","",ROUND(AJ69*$AK$14,2)),"")</f>
        <v/>
      </c>
      <c r="AL69" s="367" t="str">
        <f t="shared" si="12"/>
        <v/>
      </c>
      <c r="AM69" s="368" t="str">
        <f>IFERROR(_xlfn.XLOOKUP(AL69,HELPER!$C$7:$C$47,HELPER!$D$7:$D$47,,1),"")</f>
        <v/>
      </c>
    </row>
    <row r="70" spans="2:39">
      <c r="B70" s="402">
        <v>3</v>
      </c>
      <c r="C70" s="391" t="str">
        <f>IFERROR(IF(OR($B$8="INCORRECT SHEET. Do not use this sheet to input data.",'INPUT DATA'!S13=""),"",'INPUT DATA'!S13),"")</f>
        <v/>
      </c>
      <c r="D70" s="358"/>
      <c r="E70" s="359"/>
      <c r="F70" s="359"/>
      <c r="G70" s="359"/>
      <c r="H70" s="359"/>
      <c r="I70" s="359"/>
      <c r="J70" s="359"/>
      <c r="K70" s="359"/>
      <c r="L70" s="359"/>
      <c r="M70" s="360"/>
      <c r="N70" s="361" t="str">
        <f t="shared" si="13"/>
        <v/>
      </c>
      <c r="O70" s="362" t="str">
        <f t="shared" si="14"/>
        <v/>
      </c>
      <c r="P70" s="363" t="str">
        <f t="shared" si="15"/>
        <v/>
      </c>
      <c r="Q70" s="358"/>
      <c r="R70" s="359"/>
      <c r="S70" s="359"/>
      <c r="T70" s="359"/>
      <c r="U70" s="359"/>
      <c r="V70" s="359"/>
      <c r="W70" s="359"/>
      <c r="X70" s="359"/>
      <c r="Y70" s="359"/>
      <c r="Z70" s="360"/>
      <c r="AA70" s="361" t="str">
        <f t="shared" si="16"/>
        <v/>
      </c>
      <c r="AB70" s="362" t="str">
        <f t="shared" si="17"/>
        <v/>
      </c>
      <c r="AC70" s="363" t="str">
        <f t="shared" si="18"/>
        <v/>
      </c>
      <c r="AD70" s="358"/>
      <c r="AE70" s="359"/>
      <c r="AF70" s="360"/>
      <c r="AG70" s="364" t="str">
        <f t="shared" si="19"/>
        <v/>
      </c>
      <c r="AH70" s="362" t="str">
        <f t="shared" si="20"/>
        <v/>
      </c>
      <c r="AI70" s="365" t="str">
        <f t="shared" si="21"/>
        <v/>
      </c>
      <c r="AJ70" s="364" t="str">
        <f t="shared" si="22"/>
        <v/>
      </c>
      <c r="AK70" s="366" t="str">
        <f t="shared" si="23"/>
        <v/>
      </c>
      <c r="AL70" s="367" t="str">
        <f t="shared" si="12"/>
        <v/>
      </c>
      <c r="AM70" s="368" t="str">
        <f>IFERROR(_xlfn.XLOOKUP(AL70,HELPER!$C$7:$C$47,HELPER!$D$7:$D$47,,1),"")</f>
        <v/>
      </c>
    </row>
    <row r="71" spans="2:39">
      <c r="B71" s="402">
        <v>4</v>
      </c>
      <c r="C71" s="391" t="str">
        <f>IFERROR(IF(OR($B$8="INCORRECT SHEET. Do not use this sheet to input data.",'INPUT DATA'!S14=""),"",'INPUT DATA'!S14),"")</f>
        <v/>
      </c>
      <c r="D71" s="358"/>
      <c r="E71" s="359"/>
      <c r="F71" s="359"/>
      <c r="G71" s="359"/>
      <c r="H71" s="359"/>
      <c r="I71" s="359"/>
      <c r="J71" s="359"/>
      <c r="K71" s="359"/>
      <c r="L71" s="359"/>
      <c r="M71" s="360"/>
      <c r="N71" s="361" t="str">
        <f t="shared" si="13"/>
        <v/>
      </c>
      <c r="O71" s="362" t="str">
        <f t="shared" si="14"/>
        <v/>
      </c>
      <c r="P71" s="363" t="str">
        <f t="shared" si="15"/>
        <v/>
      </c>
      <c r="Q71" s="358"/>
      <c r="R71" s="359"/>
      <c r="S71" s="359"/>
      <c r="T71" s="359"/>
      <c r="U71" s="359"/>
      <c r="V71" s="359"/>
      <c r="W71" s="359"/>
      <c r="X71" s="359"/>
      <c r="Y71" s="359"/>
      <c r="Z71" s="360"/>
      <c r="AA71" s="361" t="str">
        <f t="shared" si="16"/>
        <v/>
      </c>
      <c r="AB71" s="362" t="str">
        <f t="shared" si="17"/>
        <v/>
      </c>
      <c r="AC71" s="363" t="str">
        <f t="shared" si="18"/>
        <v/>
      </c>
      <c r="AD71" s="358"/>
      <c r="AE71" s="359"/>
      <c r="AF71" s="360"/>
      <c r="AG71" s="364" t="str">
        <f t="shared" si="19"/>
        <v/>
      </c>
      <c r="AH71" s="362" t="str">
        <f t="shared" si="20"/>
        <v/>
      </c>
      <c r="AI71" s="365" t="str">
        <f t="shared" si="21"/>
        <v/>
      </c>
      <c r="AJ71" s="364" t="str">
        <f t="shared" si="22"/>
        <v/>
      </c>
      <c r="AK71" s="366" t="str">
        <f t="shared" si="23"/>
        <v/>
      </c>
      <c r="AL71" s="367" t="str">
        <f t="shared" si="12"/>
        <v/>
      </c>
      <c r="AM71" s="368" t="str">
        <f>IFERROR(_xlfn.XLOOKUP(AL71,HELPER!$C$7:$C$47,HELPER!$D$7:$D$47,,1),"")</f>
        <v/>
      </c>
    </row>
    <row r="72" spans="2:39">
      <c r="B72" s="402">
        <v>5</v>
      </c>
      <c r="C72" s="391" t="str">
        <f>IFERROR(IF(OR($B$8="INCORRECT SHEET. Do not use this sheet to input data.",'INPUT DATA'!S15=""),"",'INPUT DATA'!S15),"")</f>
        <v/>
      </c>
      <c r="D72" s="358"/>
      <c r="E72" s="359"/>
      <c r="F72" s="359"/>
      <c r="G72" s="359"/>
      <c r="H72" s="359"/>
      <c r="I72" s="359"/>
      <c r="J72" s="359"/>
      <c r="K72" s="359"/>
      <c r="L72" s="359"/>
      <c r="M72" s="360"/>
      <c r="N72" s="361" t="str">
        <f t="shared" si="13"/>
        <v/>
      </c>
      <c r="O72" s="362" t="str">
        <f t="shared" si="14"/>
        <v/>
      </c>
      <c r="P72" s="363" t="str">
        <f t="shared" si="15"/>
        <v/>
      </c>
      <c r="Q72" s="358"/>
      <c r="R72" s="359"/>
      <c r="S72" s="359"/>
      <c r="T72" s="359"/>
      <c r="U72" s="359"/>
      <c r="V72" s="359"/>
      <c r="W72" s="359"/>
      <c r="X72" s="359"/>
      <c r="Y72" s="359"/>
      <c r="Z72" s="360"/>
      <c r="AA72" s="361" t="str">
        <f t="shared" si="16"/>
        <v/>
      </c>
      <c r="AB72" s="362" t="str">
        <f t="shared" si="17"/>
        <v/>
      </c>
      <c r="AC72" s="363" t="str">
        <f t="shared" si="18"/>
        <v/>
      </c>
      <c r="AD72" s="358"/>
      <c r="AE72" s="359"/>
      <c r="AF72" s="360"/>
      <c r="AG72" s="364" t="str">
        <f t="shared" si="19"/>
        <v/>
      </c>
      <c r="AH72" s="362" t="str">
        <f t="shared" si="20"/>
        <v/>
      </c>
      <c r="AI72" s="365" t="str">
        <f t="shared" si="21"/>
        <v/>
      </c>
      <c r="AJ72" s="364" t="str">
        <f t="shared" si="22"/>
        <v/>
      </c>
      <c r="AK72" s="366" t="str">
        <f t="shared" si="23"/>
        <v/>
      </c>
      <c r="AL72" s="367" t="str">
        <f t="shared" si="12"/>
        <v/>
      </c>
      <c r="AM72" s="368" t="str">
        <f>IFERROR(_xlfn.XLOOKUP(AL72,HELPER!$C$7:$C$47,HELPER!$D$7:$D$47,,1),"")</f>
        <v/>
      </c>
    </row>
    <row r="73" spans="2:39">
      <c r="B73" s="402">
        <v>6</v>
      </c>
      <c r="C73" s="391" t="str">
        <f>IFERROR(IF(OR($B$8="INCORRECT SHEET. Do not use this sheet to input data.",'INPUT DATA'!S16=""),"",'INPUT DATA'!S16),"")</f>
        <v/>
      </c>
      <c r="D73" s="358"/>
      <c r="E73" s="359"/>
      <c r="F73" s="359"/>
      <c r="G73" s="359"/>
      <c r="H73" s="359"/>
      <c r="I73" s="359"/>
      <c r="J73" s="359"/>
      <c r="K73" s="359"/>
      <c r="L73" s="359"/>
      <c r="M73" s="360"/>
      <c r="N73" s="361" t="str">
        <f t="shared" si="13"/>
        <v/>
      </c>
      <c r="O73" s="362" t="str">
        <f t="shared" si="14"/>
        <v/>
      </c>
      <c r="P73" s="363" t="str">
        <f t="shared" si="15"/>
        <v/>
      </c>
      <c r="Q73" s="358"/>
      <c r="R73" s="359"/>
      <c r="S73" s="359"/>
      <c r="T73" s="359"/>
      <c r="U73" s="359"/>
      <c r="V73" s="359"/>
      <c r="W73" s="359"/>
      <c r="X73" s="359"/>
      <c r="Y73" s="359"/>
      <c r="Z73" s="360"/>
      <c r="AA73" s="361" t="str">
        <f t="shared" si="16"/>
        <v/>
      </c>
      <c r="AB73" s="362" t="str">
        <f t="shared" si="17"/>
        <v/>
      </c>
      <c r="AC73" s="363" t="str">
        <f t="shared" si="18"/>
        <v/>
      </c>
      <c r="AD73" s="358"/>
      <c r="AE73" s="359"/>
      <c r="AF73" s="360"/>
      <c r="AG73" s="364" t="str">
        <f t="shared" si="19"/>
        <v/>
      </c>
      <c r="AH73" s="362" t="str">
        <f t="shared" si="20"/>
        <v/>
      </c>
      <c r="AI73" s="365" t="str">
        <f t="shared" si="21"/>
        <v/>
      </c>
      <c r="AJ73" s="364" t="str">
        <f t="shared" si="22"/>
        <v/>
      </c>
      <c r="AK73" s="366" t="str">
        <f t="shared" si="23"/>
        <v/>
      </c>
      <c r="AL73" s="367" t="str">
        <f t="shared" si="12"/>
        <v/>
      </c>
      <c r="AM73" s="368" t="str">
        <f>IFERROR(_xlfn.XLOOKUP(AL73,HELPER!$C$7:$C$47,HELPER!$D$7:$D$47,,1),"")</f>
        <v/>
      </c>
    </row>
    <row r="74" spans="2:39">
      <c r="B74" s="402">
        <v>7</v>
      </c>
      <c r="C74" s="391" t="str">
        <f>IFERROR(IF(OR($B$8="INCORRECT SHEET. Do not use this sheet to input data.",'INPUT DATA'!S17=""),"",'INPUT DATA'!S17),"")</f>
        <v/>
      </c>
      <c r="D74" s="358"/>
      <c r="E74" s="359"/>
      <c r="F74" s="359"/>
      <c r="G74" s="359"/>
      <c r="H74" s="359"/>
      <c r="I74" s="359"/>
      <c r="J74" s="359"/>
      <c r="K74" s="359"/>
      <c r="L74" s="359"/>
      <c r="M74" s="360"/>
      <c r="N74" s="361" t="str">
        <f t="shared" si="13"/>
        <v/>
      </c>
      <c r="O74" s="362" t="str">
        <f t="shared" si="14"/>
        <v/>
      </c>
      <c r="P74" s="363" t="str">
        <f t="shared" si="15"/>
        <v/>
      </c>
      <c r="Q74" s="358"/>
      <c r="R74" s="359"/>
      <c r="S74" s="359"/>
      <c r="T74" s="359"/>
      <c r="U74" s="359"/>
      <c r="V74" s="359"/>
      <c r="W74" s="359"/>
      <c r="X74" s="359"/>
      <c r="Y74" s="359"/>
      <c r="Z74" s="360"/>
      <c r="AA74" s="361" t="str">
        <f t="shared" si="16"/>
        <v/>
      </c>
      <c r="AB74" s="362" t="str">
        <f t="shared" si="17"/>
        <v/>
      </c>
      <c r="AC74" s="363" t="str">
        <f t="shared" si="18"/>
        <v/>
      </c>
      <c r="AD74" s="358"/>
      <c r="AE74" s="359"/>
      <c r="AF74" s="360"/>
      <c r="AG74" s="364" t="str">
        <f t="shared" si="19"/>
        <v/>
      </c>
      <c r="AH74" s="362" t="str">
        <f t="shared" si="20"/>
        <v/>
      </c>
      <c r="AI74" s="365" t="str">
        <f t="shared" si="21"/>
        <v/>
      </c>
      <c r="AJ74" s="364" t="str">
        <f t="shared" si="22"/>
        <v/>
      </c>
      <c r="AK74" s="366" t="str">
        <f t="shared" si="23"/>
        <v/>
      </c>
      <c r="AL74" s="367" t="str">
        <f t="shared" si="12"/>
        <v/>
      </c>
      <c r="AM74" s="368" t="str">
        <f>IFERROR(_xlfn.XLOOKUP(AL74,HELPER!$C$7:$C$47,HELPER!$D$7:$D$47,,1),"")</f>
        <v/>
      </c>
    </row>
    <row r="75" spans="2:39">
      <c r="B75" s="402">
        <v>8</v>
      </c>
      <c r="C75" s="391" t="str">
        <f>IFERROR(IF(OR($B$8="INCORRECT SHEET. Do not use this sheet to input data.",'INPUT DATA'!S18=""),"",'INPUT DATA'!S18),"")</f>
        <v/>
      </c>
      <c r="D75" s="358"/>
      <c r="E75" s="359"/>
      <c r="F75" s="359"/>
      <c r="G75" s="359"/>
      <c r="H75" s="359"/>
      <c r="I75" s="359"/>
      <c r="J75" s="359"/>
      <c r="K75" s="359"/>
      <c r="L75" s="359"/>
      <c r="M75" s="360"/>
      <c r="N75" s="361" t="str">
        <f t="shared" si="13"/>
        <v/>
      </c>
      <c r="O75" s="362" t="str">
        <f t="shared" si="14"/>
        <v/>
      </c>
      <c r="P75" s="363" t="str">
        <f t="shared" si="15"/>
        <v/>
      </c>
      <c r="Q75" s="358"/>
      <c r="R75" s="359"/>
      <c r="S75" s="359"/>
      <c r="T75" s="359"/>
      <c r="U75" s="359"/>
      <c r="V75" s="359"/>
      <c r="W75" s="359"/>
      <c r="X75" s="359"/>
      <c r="Y75" s="359"/>
      <c r="Z75" s="360"/>
      <c r="AA75" s="361" t="str">
        <f t="shared" si="16"/>
        <v/>
      </c>
      <c r="AB75" s="362" t="str">
        <f t="shared" si="17"/>
        <v/>
      </c>
      <c r="AC75" s="363" t="str">
        <f t="shared" si="18"/>
        <v/>
      </c>
      <c r="AD75" s="358"/>
      <c r="AE75" s="359"/>
      <c r="AF75" s="360"/>
      <c r="AG75" s="364" t="str">
        <f t="shared" si="19"/>
        <v/>
      </c>
      <c r="AH75" s="362" t="str">
        <f t="shared" si="20"/>
        <v/>
      </c>
      <c r="AI75" s="365" t="str">
        <f t="shared" si="21"/>
        <v/>
      </c>
      <c r="AJ75" s="364" t="str">
        <f t="shared" si="22"/>
        <v/>
      </c>
      <c r="AK75" s="366" t="str">
        <f t="shared" si="23"/>
        <v/>
      </c>
      <c r="AL75" s="367" t="str">
        <f t="shared" si="12"/>
        <v/>
      </c>
      <c r="AM75" s="368" t="str">
        <f>IFERROR(_xlfn.XLOOKUP(AL75,HELPER!$C$7:$C$47,HELPER!$D$7:$D$47,,1),"")</f>
        <v/>
      </c>
    </row>
    <row r="76" spans="2:39">
      <c r="B76" s="402">
        <v>9</v>
      </c>
      <c r="C76" s="391" t="str">
        <f>IFERROR(IF(OR($B$8="INCORRECT SHEET. Do not use this sheet to input data.",'INPUT DATA'!S19=""),"",'INPUT DATA'!S19),"")</f>
        <v/>
      </c>
      <c r="D76" s="358"/>
      <c r="E76" s="359"/>
      <c r="F76" s="359"/>
      <c r="G76" s="359"/>
      <c r="H76" s="359"/>
      <c r="I76" s="359"/>
      <c r="J76" s="359"/>
      <c r="K76" s="359"/>
      <c r="L76" s="359"/>
      <c r="M76" s="360"/>
      <c r="N76" s="361" t="str">
        <f t="shared" si="13"/>
        <v/>
      </c>
      <c r="O76" s="362" t="str">
        <f t="shared" si="14"/>
        <v/>
      </c>
      <c r="P76" s="363" t="str">
        <f t="shared" si="15"/>
        <v/>
      </c>
      <c r="Q76" s="358"/>
      <c r="R76" s="359"/>
      <c r="S76" s="359"/>
      <c r="T76" s="359"/>
      <c r="U76" s="359"/>
      <c r="V76" s="359"/>
      <c r="W76" s="359"/>
      <c r="X76" s="359"/>
      <c r="Y76" s="359"/>
      <c r="Z76" s="360"/>
      <c r="AA76" s="361" t="str">
        <f t="shared" si="16"/>
        <v/>
      </c>
      <c r="AB76" s="362" t="str">
        <f t="shared" si="17"/>
        <v/>
      </c>
      <c r="AC76" s="363" t="str">
        <f t="shared" si="18"/>
        <v/>
      </c>
      <c r="AD76" s="358"/>
      <c r="AE76" s="359"/>
      <c r="AF76" s="360"/>
      <c r="AG76" s="364" t="str">
        <f t="shared" si="19"/>
        <v/>
      </c>
      <c r="AH76" s="362" t="str">
        <f t="shared" si="20"/>
        <v/>
      </c>
      <c r="AI76" s="365" t="str">
        <f t="shared" si="21"/>
        <v/>
      </c>
      <c r="AJ76" s="364" t="str">
        <f t="shared" si="22"/>
        <v/>
      </c>
      <c r="AK76" s="366" t="str">
        <f t="shared" si="23"/>
        <v/>
      </c>
      <c r="AL76" s="367" t="str">
        <f t="shared" si="12"/>
        <v/>
      </c>
      <c r="AM76" s="368" t="str">
        <f>IFERROR(_xlfn.XLOOKUP(AL76,HELPER!$C$7:$C$47,HELPER!$D$7:$D$47,,1),"")</f>
        <v/>
      </c>
    </row>
    <row r="77" spans="2:39">
      <c r="B77" s="402">
        <v>10</v>
      </c>
      <c r="C77" s="391" t="str">
        <f>IFERROR(IF(OR($B$8="INCORRECT SHEET. Do not use this sheet to input data.",'INPUT DATA'!S20=""),"",'INPUT DATA'!S20),"")</f>
        <v/>
      </c>
      <c r="D77" s="358"/>
      <c r="E77" s="359"/>
      <c r="F77" s="359"/>
      <c r="G77" s="359"/>
      <c r="H77" s="359"/>
      <c r="I77" s="359"/>
      <c r="J77" s="359"/>
      <c r="K77" s="359"/>
      <c r="L77" s="359"/>
      <c r="M77" s="360"/>
      <c r="N77" s="361" t="str">
        <f t="shared" si="13"/>
        <v/>
      </c>
      <c r="O77" s="362" t="str">
        <f t="shared" si="14"/>
        <v/>
      </c>
      <c r="P77" s="363" t="str">
        <f t="shared" si="15"/>
        <v/>
      </c>
      <c r="Q77" s="358"/>
      <c r="R77" s="359"/>
      <c r="S77" s="359"/>
      <c r="T77" s="359"/>
      <c r="U77" s="359"/>
      <c r="V77" s="359"/>
      <c r="W77" s="359"/>
      <c r="X77" s="359"/>
      <c r="Y77" s="359"/>
      <c r="Z77" s="360"/>
      <c r="AA77" s="361" t="str">
        <f t="shared" si="16"/>
        <v/>
      </c>
      <c r="AB77" s="362" t="str">
        <f t="shared" si="17"/>
        <v/>
      </c>
      <c r="AC77" s="363" t="str">
        <f t="shared" si="18"/>
        <v/>
      </c>
      <c r="AD77" s="358"/>
      <c r="AE77" s="359"/>
      <c r="AF77" s="360"/>
      <c r="AG77" s="364" t="str">
        <f t="shared" si="19"/>
        <v/>
      </c>
      <c r="AH77" s="362" t="str">
        <f t="shared" si="20"/>
        <v/>
      </c>
      <c r="AI77" s="365" t="str">
        <f t="shared" si="21"/>
        <v/>
      </c>
      <c r="AJ77" s="364" t="str">
        <f t="shared" si="22"/>
        <v/>
      </c>
      <c r="AK77" s="366" t="str">
        <f t="shared" si="23"/>
        <v/>
      </c>
      <c r="AL77" s="367" t="str">
        <f t="shared" si="12"/>
        <v/>
      </c>
      <c r="AM77" s="368" t="str">
        <f>IFERROR(_xlfn.XLOOKUP(AL77,HELPER!$C$7:$C$47,HELPER!$D$7:$D$47,,1),"")</f>
        <v/>
      </c>
    </row>
    <row r="78" spans="2:39">
      <c r="B78" s="402">
        <v>11</v>
      </c>
      <c r="C78" s="391" t="str">
        <f>IFERROR(IF(OR($B$8="INCORRECT SHEET. Do not use this sheet to input data.",'INPUT DATA'!S21=""),"",'INPUT DATA'!S21),"")</f>
        <v/>
      </c>
      <c r="D78" s="358"/>
      <c r="E78" s="359"/>
      <c r="F78" s="359"/>
      <c r="G78" s="359"/>
      <c r="H78" s="359"/>
      <c r="I78" s="359"/>
      <c r="J78" s="359"/>
      <c r="K78" s="359"/>
      <c r="L78" s="359"/>
      <c r="M78" s="360"/>
      <c r="N78" s="361" t="str">
        <f t="shared" si="13"/>
        <v/>
      </c>
      <c r="O78" s="362" t="str">
        <f t="shared" si="14"/>
        <v/>
      </c>
      <c r="P78" s="363" t="str">
        <f t="shared" si="15"/>
        <v/>
      </c>
      <c r="Q78" s="358"/>
      <c r="R78" s="359"/>
      <c r="S78" s="359"/>
      <c r="T78" s="359"/>
      <c r="U78" s="359"/>
      <c r="V78" s="359"/>
      <c r="W78" s="359"/>
      <c r="X78" s="359"/>
      <c r="Y78" s="359"/>
      <c r="Z78" s="360"/>
      <c r="AA78" s="361" t="str">
        <f t="shared" si="16"/>
        <v/>
      </c>
      <c r="AB78" s="362" t="str">
        <f t="shared" si="17"/>
        <v/>
      </c>
      <c r="AC78" s="363" t="str">
        <f t="shared" si="18"/>
        <v/>
      </c>
      <c r="AD78" s="358"/>
      <c r="AE78" s="359"/>
      <c r="AF78" s="360"/>
      <c r="AG78" s="364" t="str">
        <f t="shared" si="19"/>
        <v/>
      </c>
      <c r="AH78" s="362" t="str">
        <f t="shared" si="20"/>
        <v/>
      </c>
      <c r="AI78" s="365" t="str">
        <f t="shared" si="21"/>
        <v/>
      </c>
      <c r="AJ78" s="364" t="str">
        <f t="shared" si="22"/>
        <v/>
      </c>
      <c r="AK78" s="366" t="str">
        <f t="shared" si="23"/>
        <v/>
      </c>
      <c r="AL78" s="367" t="str">
        <f t="shared" si="12"/>
        <v/>
      </c>
      <c r="AM78" s="368" t="str">
        <f>IFERROR(_xlfn.XLOOKUP(AL78,HELPER!$C$7:$C$47,HELPER!$D$7:$D$47,,1),"")</f>
        <v/>
      </c>
    </row>
    <row r="79" spans="2:39">
      <c r="B79" s="402">
        <v>12</v>
      </c>
      <c r="C79" s="391" t="str">
        <f>IFERROR(IF(OR($B$8="INCORRECT SHEET. Do not use this sheet to input data.",'INPUT DATA'!S22=""),"",'INPUT DATA'!S22),"")</f>
        <v/>
      </c>
      <c r="D79" s="358"/>
      <c r="E79" s="359"/>
      <c r="F79" s="359"/>
      <c r="G79" s="359"/>
      <c r="H79" s="359"/>
      <c r="I79" s="359"/>
      <c r="J79" s="359"/>
      <c r="K79" s="359"/>
      <c r="L79" s="359"/>
      <c r="M79" s="360"/>
      <c r="N79" s="361" t="str">
        <f t="shared" si="13"/>
        <v/>
      </c>
      <c r="O79" s="362" t="str">
        <f t="shared" si="14"/>
        <v/>
      </c>
      <c r="P79" s="363" t="str">
        <f t="shared" si="15"/>
        <v/>
      </c>
      <c r="Q79" s="358"/>
      <c r="R79" s="359"/>
      <c r="S79" s="359"/>
      <c r="T79" s="359"/>
      <c r="U79" s="359"/>
      <c r="V79" s="359"/>
      <c r="W79" s="359"/>
      <c r="X79" s="359"/>
      <c r="Y79" s="359"/>
      <c r="Z79" s="360"/>
      <c r="AA79" s="361" t="str">
        <f t="shared" si="16"/>
        <v/>
      </c>
      <c r="AB79" s="362" t="str">
        <f t="shared" si="17"/>
        <v/>
      </c>
      <c r="AC79" s="363" t="str">
        <f t="shared" si="18"/>
        <v/>
      </c>
      <c r="AD79" s="358"/>
      <c r="AE79" s="359"/>
      <c r="AF79" s="360"/>
      <c r="AG79" s="364" t="str">
        <f t="shared" si="19"/>
        <v/>
      </c>
      <c r="AH79" s="362" t="str">
        <f t="shared" si="20"/>
        <v/>
      </c>
      <c r="AI79" s="365" t="str">
        <f t="shared" si="21"/>
        <v/>
      </c>
      <c r="AJ79" s="364" t="str">
        <f t="shared" si="22"/>
        <v/>
      </c>
      <c r="AK79" s="366" t="str">
        <f t="shared" si="23"/>
        <v/>
      </c>
      <c r="AL79" s="367" t="str">
        <f t="shared" si="12"/>
        <v/>
      </c>
      <c r="AM79" s="368" t="str">
        <f>IFERROR(_xlfn.XLOOKUP(AL79,HELPER!$C$7:$C$47,HELPER!$D$7:$D$47,,1),"")</f>
        <v/>
      </c>
    </row>
    <row r="80" spans="2:39">
      <c r="B80" s="402">
        <v>13</v>
      </c>
      <c r="C80" s="391" t="str">
        <f>IFERROR(IF(OR($B$8="INCORRECT SHEET. Do not use this sheet to input data.",'INPUT DATA'!S23=""),"",'INPUT DATA'!S23),"")</f>
        <v/>
      </c>
      <c r="D80" s="358"/>
      <c r="E80" s="359"/>
      <c r="F80" s="359"/>
      <c r="G80" s="359"/>
      <c r="H80" s="359"/>
      <c r="I80" s="359"/>
      <c r="J80" s="359"/>
      <c r="K80" s="359"/>
      <c r="L80" s="359"/>
      <c r="M80" s="360"/>
      <c r="N80" s="361" t="str">
        <f t="shared" si="13"/>
        <v/>
      </c>
      <c r="O80" s="362" t="str">
        <f t="shared" si="14"/>
        <v/>
      </c>
      <c r="P80" s="363" t="str">
        <f t="shared" si="15"/>
        <v/>
      </c>
      <c r="Q80" s="358"/>
      <c r="R80" s="359"/>
      <c r="S80" s="359"/>
      <c r="T80" s="359"/>
      <c r="U80" s="359"/>
      <c r="V80" s="359"/>
      <c r="W80" s="359"/>
      <c r="X80" s="359"/>
      <c r="Y80" s="359"/>
      <c r="Z80" s="360"/>
      <c r="AA80" s="361" t="str">
        <f t="shared" si="16"/>
        <v/>
      </c>
      <c r="AB80" s="362" t="str">
        <f t="shared" si="17"/>
        <v/>
      </c>
      <c r="AC80" s="363" t="str">
        <f t="shared" si="18"/>
        <v/>
      </c>
      <c r="AD80" s="358"/>
      <c r="AE80" s="359"/>
      <c r="AF80" s="360"/>
      <c r="AG80" s="364" t="str">
        <f t="shared" si="19"/>
        <v/>
      </c>
      <c r="AH80" s="362" t="str">
        <f t="shared" si="20"/>
        <v/>
      </c>
      <c r="AI80" s="365" t="str">
        <f t="shared" si="21"/>
        <v/>
      </c>
      <c r="AJ80" s="364" t="str">
        <f t="shared" si="22"/>
        <v/>
      </c>
      <c r="AK80" s="366" t="str">
        <f t="shared" si="23"/>
        <v/>
      </c>
      <c r="AL80" s="367" t="str">
        <f t="shared" si="12"/>
        <v/>
      </c>
      <c r="AM80" s="368" t="str">
        <f>IFERROR(_xlfn.XLOOKUP(AL80,HELPER!$C$7:$C$47,HELPER!$D$7:$D$47,,1),"")</f>
        <v/>
      </c>
    </row>
    <row r="81" spans="2:39">
      <c r="B81" s="402">
        <v>14</v>
      </c>
      <c r="C81" s="391" t="str">
        <f>IFERROR(IF(OR($B$8="INCORRECT SHEET. Do not use this sheet to input data.",'INPUT DATA'!S24=""),"",'INPUT DATA'!S24),"")</f>
        <v/>
      </c>
      <c r="D81" s="358"/>
      <c r="E81" s="359"/>
      <c r="F81" s="359"/>
      <c r="G81" s="359"/>
      <c r="H81" s="359"/>
      <c r="I81" s="359"/>
      <c r="J81" s="359"/>
      <c r="K81" s="359"/>
      <c r="L81" s="359"/>
      <c r="M81" s="360"/>
      <c r="N81" s="361" t="str">
        <f t="shared" si="13"/>
        <v/>
      </c>
      <c r="O81" s="362" t="str">
        <f t="shared" si="14"/>
        <v/>
      </c>
      <c r="P81" s="363" t="str">
        <f t="shared" si="15"/>
        <v/>
      </c>
      <c r="Q81" s="358"/>
      <c r="R81" s="359"/>
      <c r="S81" s="359"/>
      <c r="T81" s="359"/>
      <c r="U81" s="359"/>
      <c r="V81" s="359"/>
      <c r="W81" s="359"/>
      <c r="X81" s="359"/>
      <c r="Y81" s="359"/>
      <c r="Z81" s="360"/>
      <c r="AA81" s="361" t="str">
        <f t="shared" si="16"/>
        <v/>
      </c>
      <c r="AB81" s="362" t="str">
        <f t="shared" si="17"/>
        <v/>
      </c>
      <c r="AC81" s="363" t="str">
        <f t="shared" si="18"/>
        <v/>
      </c>
      <c r="AD81" s="358"/>
      <c r="AE81" s="359"/>
      <c r="AF81" s="360"/>
      <c r="AG81" s="364" t="str">
        <f t="shared" si="19"/>
        <v/>
      </c>
      <c r="AH81" s="362" t="str">
        <f t="shared" si="20"/>
        <v/>
      </c>
      <c r="AI81" s="365" t="str">
        <f t="shared" si="21"/>
        <v/>
      </c>
      <c r="AJ81" s="364" t="str">
        <f t="shared" si="22"/>
        <v/>
      </c>
      <c r="AK81" s="366" t="str">
        <f t="shared" si="23"/>
        <v/>
      </c>
      <c r="AL81" s="367" t="str">
        <f t="shared" si="12"/>
        <v/>
      </c>
      <c r="AM81" s="368" t="str">
        <f>IFERROR(_xlfn.XLOOKUP(AL81,HELPER!$C$7:$C$47,HELPER!$D$7:$D$47,,1),"")</f>
        <v/>
      </c>
    </row>
    <row r="82" spans="2:39">
      <c r="B82" s="402">
        <v>15</v>
      </c>
      <c r="C82" s="391" t="str">
        <f>IFERROR(IF(OR($B$8="INCORRECT SHEET. Do not use this sheet to input data.",'INPUT DATA'!S25=""),"",'INPUT DATA'!S25),"")</f>
        <v/>
      </c>
      <c r="D82" s="358"/>
      <c r="E82" s="359"/>
      <c r="F82" s="359"/>
      <c r="G82" s="359"/>
      <c r="H82" s="359"/>
      <c r="I82" s="359"/>
      <c r="J82" s="359"/>
      <c r="K82" s="359"/>
      <c r="L82" s="359"/>
      <c r="M82" s="360"/>
      <c r="N82" s="361" t="str">
        <f t="shared" si="13"/>
        <v/>
      </c>
      <c r="O82" s="362" t="str">
        <f t="shared" si="14"/>
        <v/>
      </c>
      <c r="P82" s="363" t="str">
        <f t="shared" si="15"/>
        <v/>
      </c>
      <c r="Q82" s="358"/>
      <c r="R82" s="359"/>
      <c r="S82" s="359"/>
      <c r="T82" s="359"/>
      <c r="U82" s="359"/>
      <c r="V82" s="359"/>
      <c r="W82" s="359"/>
      <c r="X82" s="359"/>
      <c r="Y82" s="359"/>
      <c r="Z82" s="360"/>
      <c r="AA82" s="361" t="str">
        <f t="shared" si="16"/>
        <v/>
      </c>
      <c r="AB82" s="362" t="str">
        <f t="shared" si="17"/>
        <v/>
      </c>
      <c r="AC82" s="363" t="str">
        <f t="shared" si="18"/>
        <v/>
      </c>
      <c r="AD82" s="358"/>
      <c r="AE82" s="359"/>
      <c r="AF82" s="360"/>
      <c r="AG82" s="364" t="str">
        <f t="shared" si="19"/>
        <v/>
      </c>
      <c r="AH82" s="362" t="str">
        <f t="shared" si="20"/>
        <v/>
      </c>
      <c r="AI82" s="365" t="str">
        <f t="shared" si="21"/>
        <v/>
      </c>
      <c r="AJ82" s="364" t="str">
        <f t="shared" si="22"/>
        <v/>
      </c>
      <c r="AK82" s="366" t="str">
        <f t="shared" si="23"/>
        <v/>
      </c>
      <c r="AL82" s="367" t="str">
        <f t="shared" si="12"/>
        <v/>
      </c>
      <c r="AM82" s="368" t="str">
        <f>IFERROR(_xlfn.XLOOKUP(AL82,HELPER!$C$7:$C$47,HELPER!$D$7:$D$47,,1),"")</f>
        <v/>
      </c>
    </row>
    <row r="83" hidden="1" spans="2:39">
      <c r="B83" s="402">
        <v>16</v>
      </c>
      <c r="C83" s="391" t="str">
        <f>IFERROR(IF(OR($B$8="INCORRECT SHEET. Do not use this sheet to input data.",'INPUT DATA'!S26=""),"",'INPUT DATA'!S26),"")</f>
        <v/>
      </c>
      <c r="D83" s="358"/>
      <c r="E83" s="359"/>
      <c r="F83" s="359"/>
      <c r="G83" s="359"/>
      <c r="H83" s="359"/>
      <c r="I83" s="359"/>
      <c r="J83" s="359"/>
      <c r="K83" s="359"/>
      <c r="L83" s="359"/>
      <c r="M83" s="360"/>
      <c r="N83" s="361" t="str">
        <f t="shared" si="13"/>
        <v/>
      </c>
      <c r="O83" s="362" t="str">
        <f t="shared" si="14"/>
        <v/>
      </c>
      <c r="P83" s="363" t="str">
        <f t="shared" si="15"/>
        <v/>
      </c>
      <c r="Q83" s="358"/>
      <c r="R83" s="359"/>
      <c r="S83" s="359"/>
      <c r="T83" s="359"/>
      <c r="U83" s="359"/>
      <c r="V83" s="359"/>
      <c r="W83" s="359"/>
      <c r="X83" s="359"/>
      <c r="Y83" s="359"/>
      <c r="Z83" s="360"/>
      <c r="AA83" s="361" t="str">
        <f t="shared" si="16"/>
        <v/>
      </c>
      <c r="AB83" s="362" t="str">
        <f t="shared" si="17"/>
        <v/>
      </c>
      <c r="AC83" s="363" t="str">
        <f t="shared" si="18"/>
        <v/>
      </c>
      <c r="AD83" s="358"/>
      <c r="AE83" s="359"/>
      <c r="AF83" s="360"/>
      <c r="AG83" s="364" t="str">
        <f t="shared" si="19"/>
        <v/>
      </c>
      <c r="AH83" s="362" t="str">
        <f t="shared" si="20"/>
        <v/>
      </c>
      <c r="AI83" s="365" t="str">
        <f t="shared" si="21"/>
        <v/>
      </c>
      <c r="AJ83" s="364" t="str">
        <f t="shared" si="22"/>
        <v/>
      </c>
      <c r="AK83" s="366" t="str">
        <f t="shared" si="23"/>
        <v/>
      </c>
      <c r="AL83" s="367" t="str">
        <f t="shared" si="12"/>
        <v/>
      </c>
      <c r="AM83" s="368" t="str">
        <f>IFERROR(_xlfn.XLOOKUP(AL83,HELPER!$C$7:$C$47,HELPER!$D$7:$D$47,,1),"")</f>
        <v/>
      </c>
    </row>
    <row r="84" hidden="1" spans="2:39">
      <c r="B84" s="402">
        <v>17</v>
      </c>
      <c r="C84" s="391" t="str">
        <f>IFERROR(IF(OR($B$8="INCORRECT SHEET. Do not use this sheet to input data.",'INPUT DATA'!S27=""),"",'INPUT DATA'!S27),"")</f>
        <v/>
      </c>
      <c r="D84" s="358"/>
      <c r="E84" s="359"/>
      <c r="F84" s="359"/>
      <c r="G84" s="359"/>
      <c r="H84" s="359"/>
      <c r="I84" s="359"/>
      <c r="J84" s="359"/>
      <c r="K84" s="359"/>
      <c r="L84" s="359"/>
      <c r="M84" s="360"/>
      <c r="N84" s="361" t="str">
        <f t="shared" si="13"/>
        <v/>
      </c>
      <c r="O84" s="362" t="str">
        <f t="shared" si="14"/>
        <v/>
      </c>
      <c r="P84" s="363" t="str">
        <f t="shared" si="15"/>
        <v/>
      </c>
      <c r="Q84" s="358"/>
      <c r="R84" s="359"/>
      <c r="S84" s="359"/>
      <c r="T84" s="359"/>
      <c r="U84" s="359"/>
      <c r="V84" s="359"/>
      <c r="W84" s="359"/>
      <c r="X84" s="359"/>
      <c r="Y84" s="359"/>
      <c r="Z84" s="360"/>
      <c r="AA84" s="361" t="str">
        <f t="shared" si="16"/>
        <v/>
      </c>
      <c r="AB84" s="362" t="str">
        <f t="shared" si="17"/>
        <v/>
      </c>
      <c r="AC84" s="363" t="str">
        <f t="shared" si="18"/>
        <v/>
      </c>
      <c r="AD84" s="358"/>
      <c r="AE84" s="359"/>
      <c r="AF84" s="360"/>
      <c r="AG84" s="364" t="str">
        <f t="shared" si="19"/>
        <v/>
      </c>
      <c r="AH84" s="362" t="str">
        <f t="shared" si="20"/>
        <v/>
      </c>
      <c r="AI84" s="365" t="str">
        <f t="shared" si="21"/>
        <v/>
      </c>
      <c r="AJ84" s="364" t="str">
        <f t="shared" si="22"/>
        <v/>
      </c>
      <c r="AK84" s="366" t="str">
        <f t="shared" si="23"/>
        <v/>
      </c>
      <c r="AL84" s="367" t="str">
        <f t="shared" si="12"/>
        <v/>
      </c>
      <c r="AM84" s="368" t="str">
        <f>IFERROR(_xlfn.XLOOKUP(AL84,HELPER!$C$7:$C$47,HELPER!$D$7:$D$47,,1),"")</f>
        <v/>
      </c>
    </row>
    <row r="85" hidden="1" spans="2:39">
      <c r="B85" s="402">
        <v>18</v>
      </c>
      <c r="C85" s="391" t="str">
        <f>IFERROR(IF(OR($B$8="INCORRECT SHEET. Do not use this sheet to input data.",'INPUT DATA'!S28=""),"",'INPUT DATA'!S28),"")</f>
        <v/>
      </c>
      <c r="D85" s="358"/>
      <c r="E85" s="359"/>
      <c r="F85" s="359"/>
      <c r="G85" s="359"/>
      <c r="H85" s="359"/>
      <c r="I85" s="359"/>
      <c r="J85" s="359"/>
      <c r="K85" s="359"/>
      <c r="L85" s="359"/>
      <c r="M85" s="360"/>
      <c r="N85" s="361" t="str">
        <f t="shared" si="13"/>
        <v/>
      </c>
      <c r="O85" s="362" t="str">
        <f t="shared" si="14"/>
        <v/>
      </c>
      <c r="P85" s="363" t="str">
        <f t="shared" si="15"/>
        <v/>
      </c>
      <c r="Q85" s="358"/>
      <c r="R85" s="359"/>
      <c r="S85" s="359"/>
      <c r="T85" s="359"/>
      <c r="U85" s="359"/>
      <c r="V85" s="359"/>
      <c r="W85" s="359"/>
      <c r="X85" s="359"/>
      <c r="Y85" s="359"/>
      <c r="Z85" s="360"/>
      <c r="AA85" s="361" t="str">
        <f t="shared" si="16"/>
        <v/>
      </c>
      <c r="AB85" s="362" t="str">
        <f t="shared" si="17"/>
        <v/>
      </c>
      <c r="AC85" s="363" t="str">
        <f t="shared" si="18"/>
        <v/>
      </c>
      <c r="AD85" s="358"/>
      <c r="AE85" s="359"/>
      <c r="AF85" s="360"/>
      <c r="AG85" s="364" t="str">
        <f t="shared" si="19"/>
        <v/>
      </c>
      <c r="AH85" s="362" t="str">
        <f t="shared" si="20"/>
        <v/>
      </c>
      <c r="AI85" s="365" t="str">
        <f t="shared" si="21"/>
        <v/>
      </c>
      <c r="AJ85" s="364" t="str">
        <f t="shared" si="22"/>
        <v/>
      </c>
      <c r="AK85" s="366" t="str">
        <f t="shared" si="23"/>
        <v/>
      </c>
      <c r="AL85" s="367" t="str">
        <f t="shared" si="12"/>
        <v/>
      </c>
      <c r="AM85" s="368" t="str">
        <f>IFERROR(_xlfn.XLOOKUP(AL85,HELPER!$C$7:$C$47,HELPER!$D$7:$D$47,,1),"")</f>
        <v/>
      </c>
    </row>
    <row r="86" hidden="1" spans="2:39">
      <c r="B86" s="402">
        <v>19</v>
      </c>
      <c r="C86" s="391" t="str">
        <f>IFERROR(IF(OR($B$8="INCORRECT SHEET. Do not use this sheet to input data.",'INPUT DATA'!S29=""),"",'INPUT DATA'!S29),"")</f>
        <v/>
      </c>
      <c r="D86" s="358"/>
      <c r="E86" s="359"/>
      <c r="F86" s="359"/>
      <c r="G86" s="359"/>
      <c r="H86" s="359"/>
      <c r="I86" s="359"/>
      <c r="J86" s="359"/>
      <c r="K86" s="359"/>
      <c r="L86" s="359"/>
      <c r="M86" s="360"/>
      <c r="N86" s="361" t="str">
        <f t="shared" si="13"/>
        <v/>
      </c>
      <c r="O86" s="362" t="str">
        <f t="shared" si="14"/>
        <v/>
      </c>
      <c r="P86" s="363" t="str">
        <f t="shared" si="15"/>
        <v/>
      </c>
      <c r="Q86" s="358"/>
      <c r="R86" s="359"/>
      <c r="S86" s="359"/>
      <c r="T86" s="359"/>
      <c r="U86" s="359"/>
      <c r="V86" s="359"/>
      <c r="W86" s="359"/>
      <c r="X86" s="359"/>
      <c r="Y86" s="359"/>
      <c r="Z86" s="360"/>
      <c r="AA86" s="361" t="str">
        <f t="shared" si="16"/>
        <v/>
      </c>
      <c r="AB86" s="362" t="str">
        <f t="shared" si="17"/>
        <v/>
      </c>
      <c r="AC86" s="363" t="str">
        <f t="shared" si="18"/>
        <v/>
      </c>
      <c r="AD86" s="358"/>
      <c r="AE86" s="359"/>
      <c r="AF86" s="360"/>
      <c r="AG86" s="364" t="str">
        <f t="shared" si="19"/>
        <v/>
      </c>
      <c r="AH86" s="362" t="str">
        <f t="shared" si="20"/>
        <v/>
      </c>
      <c r="AI86" s="365" t="str">
        <f t="shared" si="21"/>
        <v/>
      </c>
      <c r="AJ86" s="364" t="str">
        <f t="shared" si="22"/>
        <v/>
      </c>
      <c r="AK86" s="366" t="str">
        <f t="shared" si="23"/>
        <v/>
      </c>
      <c r="AL86" s="367" t="str">
        <f t="shared" si="12"/>
        <v/>
      </c>
      <c r="AM86" s="368" t="str">
        <f>IFERROR(_xlfn.XLOOKUP(AL86,HELPER!$C$7:$C$47,HELPER!$D$7:$D$47,,1),"")</f>
        <v/>
      </c>
    </row>
    <row r="87" hidden="1" spans="2:39">
      <c r="B87" s="402">
        <v>20</v>
      </c>
      <c r="C87" s="391" t="str">
        <f>IFERROR(IF(OR($B$8="INCORRECT SHEET. Do not use this sheet to input data.",'INPUT DATA'!S30=""),"",'INPUT DATA'!S30),"")</f>
        <v/>
      </c>
      <c r="D87" s="358"/>
      <c r="E87" s="359"/>
      <c r="F87" s="359"/>
      <c r="G87" s="359"/>
      <c r="H87" s="359"/>
      <c r="I87" s="359"/>
      <c r="J87" s="359"/>
      <c r="K87" s="359"/>
      <c r="L87" s="359"/>
      <c r="M87" s="360"/>
      <c r="N87" s="361" t="str">
        <f t="shared" si="13"/>
        <v/>
      </c>
      <c r="O87" s="362" t="str">
        <f t="shared" si="14"/>
        <v/>
      </c>
      <c r="P87" s="363" t="str">
        <f t="shared" si="15"/>
        <v/>
      </c>
      <c r="Q87" s="358"/>
      <c r="R87" s="359"/>
      <c r="S87" s="359"/>
      <c r="T87" s="359"/>
      <c r="U87" s="359"/>
      <c r="V87" s="359"/>
      <c r="W87" s="359"/>
      <c r="X87" s="359"/>
      <c r="Y87" s="359"/>
      <c r="Z87" s="360"/>
      <c r="AA87" s="361" t="str">
        <f t="shared" si="16"/>
        <v/>
      </c>
      <c r="AB87" s="362" t="str">
        <f t="shared" si="17"/>
        <v/>
      </c>
      <c r="AC87" s="363" t="str">
        <f t="shared" si="18"/>
        <v/>
      </c>
      <c r="AD87" s="358"/>
      <c r="AE87" s="359"/>
      <c r="AF87" s="360"/>
      <c r="AG87" s="364" t="str">
        <f t="shared" si="19"/>
        <v/>
      </c>
      <c r="AH87" s="362" t="str">
        <f t="shared" si="20"/>
        <v/>
      </c>
      <c r="AI87" s="365" t="str">
        <f t="shared" si="21"/>
        <v/>
      </c>
      <c r="AJ87" s="364" t="str">
        <f t="shared" si="22"/>
        <v/>
      </c>
      <c r="AK87" s="366" t="str">
        <f t="shared" si="23"/>
        <v/>
      </c>
      <c r="AL87" s="367" t="str">
        <f t="shared" si="12"/>
        <v/>
      </c>
      <c r="AM87" s="368" t="str">
        <f>IFERROR(_xlfn.XLOOKUP(AL87,HELPER!$C$7:$C$47,HELPER!$D$7:$D$47,,1),"")</f>
        <v/>
      </c>
    </row>
    <row r="88" hidden="1" spans="2:39">
      <c r="B88" s="402">
        <v>21</v>
      </c>
      <c r="C88" s="391" t="str">
        <f>IFERROR(IF(OR($B$8="INCORRECT SHEET. Do not use this sheet to input data.",'INPUT DATA'!S31=""),"",'INPUT DATA'!S31),"")</f>
        <v/>
      </c>
      <c r="D88" s="358"/>
      <c r="E88" s="359"/>
      <c r="F88" s="359"/>
      <c r="G88" s="359"/>
      <c r="H88" s="359"/>
      <c r="I88" s="359"/>
      <c r="J88" s="359"/>
      <c r="K88" s="359"/>
      <c r="L88" s="359"/>
      <c r="M88" s="360"/>
      <c r="N88" s="361" t="str">
        <f t="shared" si="13"/>
        <v/>
      </c>
      <c r="O88" s="362" t="str">
        <f t="shared" si="14"/>
        <v/>
      </c>
      <c r="P88" s="363" t="str">
        <f t="shared" si="15"/>
        <v/>
      </c>
      <c r="Q88" s="358"/>
      <c r="R88" s="359"/>
      <c r="S88" s="359"/>
      <c r="T88" s="359"/>
      <c r="U88" s="359"/>
      <c r="V88" s="359"/>
      <c r="W88" s="359"/>
      <c r="X88" s="359"/>
      <c r="Y88" s="359"/>
      <c r="Z88" s="360"/>
      <c r="AA88" s="361" t="str">
        <f t="shared" si="16"/>
        <v/>
      </c>
      <c r="AB88" s="362" t="str">
        <f t="shared" si="17"/>
        <v/>
      </c>
      <c r="AC88" s="363" t="str">
        <f t="shared" si="18"/>
        <v/>
      </c>
      <c r="AD88" s="358"/>
      <c r="AE88" s="359"/>
      <c r="AF88" s="360"/>
      <c r="AG88" s="364" t="str">
        <f t="shared" si="19"/>
        <v/>
      </c>
      <c r="AH88" s="362" t="str">
        <f t="shared" si="20"/>
        <v/>
      </c>
      <c r="AI88" s="365" t="str">
        <f t="shared" si="21"/>
        <v/>
      </c>
      <c r="AJ88" s="364" t="str">
        <f t="shared" si="22"/>
        <v/>
      </c>
      <c r="AK88" s="366" t="str">
        <f t="shared" si="23"/>
        <v/>
      </c>
      <c r="AL88" s="367" t="str">
        <f t="shared" si="12"/>
        <v/>
      </c>
      <c r="AM88" s="368" t="str">
        <f>IFERROR(_xlfn.XLOOKUP(AL88,HELPER!$C$7:$C$47,HELPER!$D$7:$D$47,,1),"")</f>
        <v/>
      </c>
    </row>
    <row r="89" hidden="1" spans="2:39">
      <c r="B89" s="402">
        <v>22</v>
      </c>
      <c r="C89" s="391" t="str">
        <f>IFERROR(IF(OR($B$8="INCORRECT SHEET. Do not use this sheet to input data.",'INPUT DATA'!S32=""),"",'INPUT DATA'!S32),"")</f>
        <v/>
      </c>
      <c r="D89" s="358"/>
      <c r="E89" s="359"/>
      <c r="F89" s="359"/>
      <c r="G89" s="359"/>
      <c r="H89" s="359"/>
      <c r="I89" s="359"/>
      <c r="J89" s="359"/>
      <c r="K89" s="359"/>
      <c r="L89" s="359"/>
      <c r="M89" s="360"/>
      <c r="N89" s="361" t="str">
        <f t="shared" si="13"/>
        <v/>
      </c>
      <c r="O89" s="362" t="str">
        <f t="shared" si="14"/>
        <v/>
      </c>
      <c r="P89" s="363" t="str">
        <f t="shared" si="15"/>
        <v/>
      </c>
      <c r="Q89" s="358"/>
      <c r="R89" s="359"/>
      <c r="S89" s="359"/>
      <c r="T89" s="359"/>
      <c r="U89" s="359"/>
      <c r="V89" s="359"/>
      <c r="W89" s="359"/>
      <c r="X89" s="359"/>
      <c r="Y89" s="359"/>
      <c r="Z89" s="360"/>
      <c r="AA89" s="361" t="str">
        <f t="shared" si="16"/>
        <v/>
      </c>
      <c r="AB89" s="362" t="str">
        <f t="shared" si="17"/>
        <v/>
      </c>
      <c r="AC89" s="363" t="str">
        <f t="shared" si="18"/>
        <v/>
      </c>
      <c r="AD89" s="358"/>
      <c r="AE89" s="359"/>
      <c r="AF89" s="360"/>
      <c r="AG89" s="364" t="str">
        <f t="shared" si="19"/>
        <v/>
      </c>
      <c r="AH89" s="362" t="str">
        <f t="shared" si="20"/>
        <v/>
      </c>
      <c r="AI89" s="365" t="str">
        <f t="shared" si="21"/>
        <v/>
      </c>
      <c r="AJ89" s="364" t="str">
        <f t="shared" si="22"/>
        <v/>
      </c>
      <c r="AK89" s="366" t="str">
        <f t="shared" si="23"/>
        <v/>
      </c>
      <c r="AL89" s="367" t="str">
        <f t="shared" si="12"/>
        <v/>
      </c>
      <c r="AM89" s="368" t="str">
        <f>IFERROR(_xlfn.XLOOKUP(AL89,HELPER!$C$7:$C$47,HELPER!$D$7:$D$47,,1),"")</f>
        <v/>
      </c>
    </row>
    <row r="90" hidden="1" spans="2:39">
      <c r="B90" s="402">
        <v>23</v>
      </c>
      <c r="C90" s="391" t="str">
        <f>IFERROR(IF(OR($B$8="INCORRECT SHEET. Do not use this sheet to input data.",'INPUT DATA'!S33=""),"",'INPUT DATA'!S33),"")</f>
        <v/>
      </c>
      <c r="D90" s="358"/>
      <c r="E90" s="359"/>
      <c r="F90" s="359"/>
      <c r="G90" s="359"/>
      <c r="H90" s="359"/>
      <c r="I90" s="359"/>
      <c r="J90" s="359"/>
      <c r="K90" s="359"/>
      <c r="L90" s="359"/>
      <c r="M90" s="360"/>
      <c r="N90" s="361" t="str">
        <f t="shared" si="13"/>
        <v/>
      </c>
      <c r="O90" s="362" t="str">
        <f t="shared" si="14"/>
        <v/>
      </c>
      <c r="P90" s="363" t="str">
        <f t="shared" si="15"/>
        <v/>
      </c>
      <c r="Q90" s="358"/>
      <c r="R90" s="359"/>
      <c r="S90" s="359"/>
      <c r="T90" s="359"/>
      <c r="U90" s="359"/>
      <c r="V90" s="359"/>
      <c r="W90" s="359"/>
      <c r="X90" s="359"/>
      <c r="Y90" s="359"/>
      <c r="Z90" s="360"/>
      <c r="AA90" s="361" t="str">
        <f t="shared" si="16"/>
        <v/>
      </c>
      <c r="AB90" s="362" t="str">
        <f t="shared" si="17"/>
        <v/>
      </c>
      <c r="AC90" s="363" t="str">
        <f t="shared" si="18"/>
        <v/>
      </c>
      <c r="AD90" s="358"/>
      <c r="AE90" s="359"/>
      <c r="AF90" s="360"/>
      <c r="AG90" s="364" t="str">
        <f t="shared" si="19"/>
        <v/>
      </c>
      <c r="AH90" s="362" t="str">
        <f t="shared" si="20"/>
        <v/>
      </c>
      <c r="AI90" s="365" t="str">
        <f t="shared" si="21"/>
        <v/>
      </c>
      <c r="AJ90" s="364" t="str">
        <f t="shared" si="22"/>
        <v/>
      </c>
      <c r="AK90" s="366" t="str">
        <f t="shared" si="23"/>
        <v/>
      </c>
      <c r="AL90" s="367" t="str">
        <f t="shared" si="12"/>
        <v/>
      </c>
      <c r="AM90" s="368" t="str">
        <f>IFERROR(_xlfn.XLOOKUP(AL90,HELPER!$C$7:$C$47,HELPER!$D$7:$D$47,,1),"")</f>
        <v/>
      </c>
    </row>
    <row r="91" hidden="1" spans="2:39">
      <c r="B91" s="402">
        <v>24</v>
      </c>
      <c r="C91" s="391" t="str">
        <f>IFERROR(IF(OR($B$8="INCORRECT SHEET. Do not use this sheet to input data.",'INPUT DATA'!S34=""),"",'INPUT DATA'!S34),"")</f>
        <v/>
      </c>
      <c r="D91" s="358"/>
      <c r="E91" s="359"/>
      <c r="F91" s="359"/>
      <c r="G91" s="359"/>
      <c r="H91" s="359"/>
      <c r="I91" s="359"/>
      <c r="J91" s="359"/>
      <c r="K91" s="359"/>
      <c r="L91" s="359"/>
      <c r="M91" s="360"/>
      <c r="N91" s="361" t="str">
        <f t="shared" si="13"/>
        <v/>
      </c>
      <c r="O91" s="362" t="str">
        <f t="shared" si="14"/>
        <v/>
      </c>
      <c r="P91" s="363" t="str">
        <f t="shared" si="15"/>
        <v/>
      </c>
      <c r="Q91" s="358"/>
      <c r="R91" s="359"/>
      <c r="S91" s="359"/>
      <c r="T91" s="359"/>
      <c r="U91" s="359"/>
      <c r="V91" s="359"/>
      <c r="W91" s="359"/>
      <c r="X91" s="359"/>
      <c r="Y91" s="359"/>
      <c r="Z91" s="360"/>
      <c r="AA91" s="361" t="str">
        <f t="shared" si="16"/>
        <v/>
      </c>
      <c r="AB91" s="362" t="str">
        <f t="shared" si="17"/>
        <v/>
      </c>
      <c r="AC91" s="363" t="str">
        <f t="shared" si="18"/>
        <v/>
      </c>
      <c r="AD91" s="358"/>
      <c r="AE91" s="359"/>
      <c r="AF91" s="360"/>
      <c r="AG91" s="364" t="str">
        <f t="shared" si="19"/>
        <v/>
      </c>
      <c r="AH91" s="362" t="str">
        <f t="shared" si="20"/>
        <v/>
      </c>
      <c r="AI91" s="365" t="str">
        <f t="shared" si="21"/>
        <v/>
      </c>
      <c r="AJ91" s="364" t="str">
        <f t="shared" si="22"/>
        <v/>
      </c>
      <c r="AK91" s="366" t="str">
        <f t="shared" si="23"/>
        <v/>
      </c>
      <c r="AL91" s="367" t="str">
        <f t="shared" si="12"/>
        <v/>
      </c>
      <c r="AM91" s="368" t="str">
        <f>IFERROR(_xlfn.XLOOKUP(AL91,HELPER!$C$7:$C$47,HELPER!$D$7:$D$47,,1),"")</f>
        <v/>
      </c>
    </row>
    <row r="92" hidden="1" spans="2:39">
      <c r="B92" s="402">
        <v>25</v>
      </c>
      <c r="C92" s="391" t="str">
        <f>IFERROR(IF(OR($B$8="INCORRECT SHEET. Do not use this sheet to input data.",'INPUT DATA'!S35=""),"",'INPUT DATA'!S35),"")</f>
        <v/>
      </c>
      <c r="D92" s="358"/>
      <c r="E92" s="359"/>
      <c r="F92" s="359"/>
      <c r="G92" s="359"/>
      <c r="H92" s="359"/>
      <c r="I92" s="359"/>
      <c r="J92" s="359"/>
      <c r="K92" s="359"/>
      <c r="L92" s="359"/>
      <c r="M92" s="360"/>
      <c r="N92" s="361" t="str">
        <f t="shared" si="13"/>
        <v/>
      </c>
      <c r="O92" s="362" t="str">
        <f t="shared" si="14"/>
        <v/>
      </c>
      <c r="P92" s="363" t="str">
        <f t="shared" si="15"/>
        <v/>
      </c>
      <c r="Q92" s="358"/>
      <c r="R92" s="359"/>
      <c r="S92" s="359"/>
      <c r="T92" s="359"/>
      <c r="U92" s="359"/>
      <c r="V92" s="359"/>
      <c r="W92" s="359"/>
      <c r="X92" s="359"/>
      <c r="Y92" s="359"/>
      <c r="Z92" s="360"/>
      <c r="AA92" s="361" t="str">
        <f t="shared" si="16"/>
        <v/>
      </c>
      <c r="AB92" s="362" t="str">
        <f t="shared" si="17"/>
        <v/>
      </c>
      <c r="AC92" s="363" t="str">
        <f t="shared" si="18"/>
        <v/>
      </c>
      <c r="AD92" s="358"/>
      <c r="AE92" s="359"/>
      <c r="AF92" s="360"/>
      <c r="AG92" s="364" t="str">
        <f t="shared" si="19"/>
        <v/>
      </c>
      <c r="AH92" s="362" t="str">
        <f t="shared" si="20"/>
        <v/>
      </c>
      <c r="AI92" s="365" t="str">
        <f t="shared" si="21"/>
        <v/>
      </c>
      <c r="AJ92" s="364" t="str">
        <f t="shared" si="22"/>
        <v/>
      </c>
      <c r="AK92" s="366" t="str">
        <f t="shared" si="23"/>
        <v/>
      </c>
      <c r="AL92" s="367" t="str">
        <f t="shared" si="12"/>
        <v/>
      </c>
      <c r="AM92" s="368" t="str">
        <f>IFERROR(_xlfn.XLOOKUP(AL92,HELPER!$C$7:$C$47,HELPER!$D$7:$D$47,,1),"")</f>
        <v/>
      </c>
    </row>
    <row r="93" hidden="1" spans="2:39">
      <c r="B93" s="402">
        <v>26</v>
      </c>
      <c r="C93" s="391" t="str">
        <f>IFERROR(IF(OR($B$8="INCORRECT SHEET. Do not use this sheet to input data.",'INPUT DATA'!S36=""),"",'INPUT DATA'!S36),"")</f>
        <v/>
      </c>
      <c r="D93" s="358"/>
      <c r="E93" s="359"/>
      <c r="F93" s="359"/>
      <c r="G93" s="359"/>
      <c r="H93" s="359"/>
      <c r="I93" s="359"/>
      <c r="J93" s="359"/>
      <c r="K93" s="359"/>
      <c r="L93" s="359"/>
      <c r="M93" s="360"/>
      <c r="N93" s="361" t="str">
        <f t="shared" si="13"/>
        <v/>
      </c>
      <c r="O93" s="362" t="str">
        <f t="shared" si="14"/>
        <v/>
      </c>
      <c r="P93" s="363" t="str">
        <f t="shared" si="15"/>
        <v/>
      </c>
      <c r="Q93" s="358"/>
      <c r="R93" s="359"/>
      <c r="S93" s="359"/>
      <c r="T93" s="359"/>
      <c r="U93" s="359"/>
      <c r="V93" s="359"/>
      <c r="W93" s="359"/>
      <c r="X93" s="359"/>
      <c r="Y93" s="359"/>
      <c r="Z93" s="360"/>
      <c r="AA93" s="361" t="str">
        <f t="shared" si="16"/>
        <v/>
      </c>
      <c r="AB93" s="362" t="str">
        <f t="shared" si="17"/>
        <v/>
      </c>
      <c r="AC93" s="363" t="str">
        <f t="shared" si="18"/>
        <v/>
      </c>
      <c r="AD93" s="358"/>
      <c r="AE93" s="359"/>
      <c r="AF93" s="360"/>
      <c r="AG93" s="364" t="str">
        <f t="shared" si="19"/>
        <v/>
      </c>
      <c r="AH93" s="362" t="str">
        <f t="shared" si="20"/>
        <v/>
      </c>
      <c r="AI93" s="365" t="str">
        <f t="shared" si="21"/>
        <v/>
      </c>
      <c r="AJ93" s="364" t="str">
        <f t="shared" si="22"/>
        <v/>
      </c>
      <c r="AK93" s="366" t="str">
        <f t="shared" si="23"/>
        <v/>
      </c>
      <c r="AL93" s="367" t="str">
        <f t="shared" si="12"/>
        <v/>
      </c>
      <c r="AM93" s="368" t="str">
        <f>IFERROR(_xlfn.XLOOKUP(AL93,HELPER!$C$7:$C$47,HELPER!$D$7:$D$47,,1),"")</f>
        <v/>
      </c>
    </row>
    <row r="94" hidden="1" spans="2:39">
      <c r="B94" s="402">
        <v>27</v>
      </c>
      <c r="C94" s="391" t="str">
        <f>IFERROR(IF(OR($B$8="INCORRECT SHEET. Do not use this sheet to input data.",'INPUT DATA'!S37=""),"",'INPUT DATA'!S37),"")</f>
        <v/>
      </c>
      <c r="D94" s="358"/>
      <c r="E94" s="359"/>
      <c r="F94" s="359"/>
      <c r="G94" s="359"/>
      <c r="H94" s="359"/>
      <c r="I94" s="359"/>
      <c r="J94" s="359"/>
      <c r="K94" s="359"/>
      <c r="L94" s="359"/>
      <c r="M94" s="360"/>
      <c r="N94" s="361" t="str">
        <f t="shared" si="13"/>
        <v/>
      </c>
      <c r="O94" s="362" t="str">
        <f t="shared" si="14"/>
        <v/>
      </c>
      <c r="P94" s="363" t="str">
        <f t="shared" si="15"/>
        <v/>
      </c>
      <c r="Q94" s="358"/>
      <c r="R94" s="359"/>
      <c r="S94" s="359"/>
      <c r="T94" s="359"/>
      <c r="U94" s="359"/>
      <c r="V94" s="359"/>
      <c r="W94" s="359"/>
      <c r="X94" s="359"/>
      <c r="Y94" s="359"/>
      <c r="Z94" s="360"/>
      <c r="AA94" s="361" t="str">
        <f t="shared" si="16"/>
        <v/>
      </c>
      <c r="AB94" s="362" t="str">
        <f t="shared" si="17"/>
        <v/>
      </c>
      <c r="AC94" s="363" t="str">
        <f t="shared" si="18"/>
        <v/>
      </c>
      <c r="AD94" s="358"/>
      <c r="AE94" s="359"/>
      <c r="AF94" s="360"/>
      <c r="AG94" s="364" t="str">
        <f t="shared" si="19"/>
        <v/>
      </c>
      <c r="AH94" s="362" t="str">
        <f t="shared" si="20"/>
        <v/>
      </c>
      <c r="AI94" s="365" t="str">
        <f t="shared" si="21"/>
        <v/>
      </c>
      <c r="AJ94" s="364" t="str">
        <f t="shared" si="22"/>
        <v/>
      </c>
      <c r="AK94" s="366" t="str">
        <f t="shared" si="23"/>
        <v/>
      </c>
      <c r="AL94" s="367" t="str">
        <f t="shared" si="12"/>
        <v/>
      </c>
      <c r="AM94" s="368" t="str">
        <f>IFERROR(_xlfn.XLOOKUP(AL94,HELPER!$C$7:$C$47,HELPER!$D$7:$D$47,,1),"")</f>
        <v/>
      </c>
    </row>
    <row r="95" hidden="1" spans="2:39">
      <c r="B95" s="402">
        <v>28</v>
      </c>
      <c r="C95" s="391" t="str">
        <f>IFERROR(IF(OR($B$8="INCORRECT SHEET. Do not use this sheet to input data.",'INPUT DATA'!S38=""),"",'INPUT DATA'!S38),"")</f>
        <v/>
      </c>
      <c r="D95" s="358"/>
      <c r="E95" s="359"/>
      <c r="F95" s="359"/>
      <c r="G95" s="359"/>
      <c r="H95" s="359"/>
      <c r="I95" s="359"/>
      <c r="J95" s="359"/>
      <c r="K95" s="359"/>
      <c r="L95" s="359"/>
      <c r="M95" s="360"/>
      <c r="N95" s="361" t="str">
        <f t="shared" si="13"/>
        <v/>
      </c>
      <c r="O95" s="362" t="str">
        <f t="shared" si="14"/>
        <v/>
      </c>
      <c r="P95" s="363" t="str">
        <f t="shared" si="15"/>
        <v/>
      </c>
      <c r="Q95" s="358"/>
      <c r="R95" s="359"/>
      <c r="S95" s="359"/>
      <c r="T95" s="359"/>
      <c r="U95" s="359"/>
      <c r="V95" s="359"/>
      <c r="W95" s="359"/>
      <c r="X95" s="359"/>
      <c r="Y95" s="359"/>
      <c r="Z95" s="360"/>
      <c r="AA95" s="361" t="str">
        <f t="shared" si="16"/>
        <v/>
      </c>
      <c r="AB95" s="362" t="str">
        <f t="shared" si="17"/>
        <v/>
      </c>
      <c r="AC95" s="363" t="str">
        <f t="shared" si="18"/>
        <v/>
      </c>
      <c r="AD95" s="358"/>
      <c r="AE95" s="359"/>
      <c r="AF95" s="360"/>
      <c r="AG95" s="364" t="str">
        <f t="shared" si="19"/>
        <v/>
      </c>
      <c r="AH95" s="362" t="str">
        <f t="shared" si="20"/>
        <v/>
      </c>
      <c r="AI95" s="365" t="str">
        <f t="shared" si="21"/>
        <v/>
      </c>
      <c r="AJ95" s="364" t="str">
        <f t="shared" si="22"/>
        <v/>
      </c>
      <c r="AK95" s="366" t="str">
        <f t="shared" si="23"/>
        <v/>
      </c>
      <c r="AL95" s="367" t="str">
        <f t="shared" si="12"/>
        <v/>
      </c>
      <c r="AM95" s="368" t="str">
        <f>IFERROR(_xlfn.XLOOKUP(AL95,HELPER!$C$7:$C$47,HELPER!$D$7:$D$47,,1),"")</f>
        <v/>
      </c>
    </row>
    <row r="96" hidden="1" spans="2:39">
      <c r="B96" s="402">
        <v>29</v>
      </c>
      <c r="C96" s="391" t="str">
        <f>IFERROR(IF(OR($B$8="INCORRECT SHEET. Do not use this sheet to input data.",'INPUT DATA'!S39=""),"",'INPUT DATA'!S39),"")</f>
        <v/>
      </c>
      <c r="D96" s="358"/>
      <c r="E96" s="359"/>
      <c r="F96" s="359"/>
      <c r="G96" s="359"/>
      <c r="H96" s="359"/>
      <c r="I96" s="359"/>
      <c r="J96" s="359"/>
      <c r="K96" s="359"/>
      <c r="L96" s="359"/>
      <c r="M96" s="360"/>
      <c r="N96" s="361" t="str">
        <f t="shared" si="13"/>
        <v/>
      </c>
      <c r="O96" s="362" t="str">
        <f t="shared" si="14"/>
        <v/>
      </c>
      <c r="P96" s="363" t="str">
        <f t="shared" si="15"/>
        <v/>
      </c>
      <c r="Q96" s="358"/>
      <c r="R96" s="359"/>
      <c r="S96" s="359"/>
      <c r="T96" s="359"/>
      <c r="U96" s="359"/>
      <c r="V96" s="359"/>
      <c r="W96" s="359"/>
      <c r="X96" s="359"/>
      <c r="Y96" s="359"/>
      <c r="Z96" s="360"/>
      <c r="AA96" s="361" t="str">
        <f t="shared" si="16"/>
        <v/>
      </c>
      <c r="AB96" s="362" t="str">
        <f t="shared" si="17"/>
        <v/>
      </c>
      <c r="AC96" s="363" t="str">
        <f t="shared" si="18"/>
        <v/>
      </c>
      <c r="AD96" s="358"/>
      <c r="AE96" s="359"/>
      <c r="AF96" s="360"/>
      <c r="AG96" s="364" t="str">
        <f t="shared" si="19"/>
        <v/>
      </c>
      <c r="AH96" s="362" t="str">
        <f t="shared" si="20"/>
        <v/>
      </c>
      <c r="AI96" s="365" t="str">
        <f t="shared" si="21"/>
        <v/>
      </c>
      <c r="AJ96" s="364" t="str">
        <f t="shared" si="22"/>
        <v/>
      </c>
      <c r="AK96" s="366" t="str">
        <f t="shared" si="23"/>
        <v/>
      </c>
      <c r="AL96" s="367" t="str">
        <f t="shared" si="12"/>
        <v/>
      </c>
      <c r="AM96" s="368" t="str">
        <f>IFERROR(_xlfn.XLOOKUP(AL96,HELPER!$C$7:$C$47,HELPER!$D$7:$D$47,,1),"")</f>
        <v/>
      </c>
    </row>
    <row r="97" hidden="1" spans="2:39">
      <c r="B97" s="402">
        <v>30</v>
      </c>
      <c r="C97" s="391" t="str">
        <f>IFERROR(IF(OR($B$8="INCORRECT SHEET. Do not use this sheet to input data.",'INPUT DATA'!S40=""),"",'INPUT DATA'!S40),"")</f>
        <v/>
      </c>
      <c r="D97" s="358"/>
      <c r="E97" s="359"/>
      <c r="F97" s="359"/>
      <c r="G97" s="359"/>
      <c r="H97" s="359"/>
      <c r="I97" s="359"/>
      <c r="J97" s="359"/>
      <c r="K97" s="359"/>
      <c r="L97" s="359"/>
      <c r="M97" s="360"/>
      <c r="N97" s="361" t="str">
        <f t="shared" si="13"/>
        <v/>
      </c>
      <c r="O97" s="362" t="str">
        <f t="shared" si="14"/>
        <v/>
      </c>
      <c r="P97" s="363" t="str">
        <f t="shared" si="15"/>
        <v/>
      </c>
      <c r="Q97" s="358"/>
      <c r="R97" s="359"/>
      <c r="S97" s="359"/>
      <c r="T97" s="359"/>
      <c r="U97" s="359"/>
      <c r="V97" s="359"/>
      <c r="W97" s="359"/>
      <c r="X97" s="359"/>
      <c r="Y97" s="359"/>
      <c r="Z97" s="360"/>
      <c r="AA97" s="361" t="str">
        <f t="shared" si="16"/>
        <v/>
      </c>
      <c r="AB97" s="362" t="str">
        <f t="shared" si="17"/>
        <v/>
      </c>
      <c r="AC97" s="363" t="str">
        <f t="shared" si="18"/>
        <v/>
      </c>
      <c r="AD97" s="358"/>
      <c r="AE97" s="359"/>
      <c r="AF97" s="360"/>
      <c r="AG97" s="364" t="str">
        <f t="shared" si="19"/>
        <v/>
      </c>
      <c r="AH97" s="362" t="str">
        <f t="shared" si="20"/>
        <v/>
      </c>
      <c r="AI97" s="365" t="str">
        <f t="shared" si="21"/>
        <v/>
      </c>
      <c r="AJ97" s="364" t="str">
        <f t="shared" si="22"/>
        <v/>
      </c>
      <c r="AK97" s="366" t="str">
        <f t="shared" si="23"/>
        <v/>
      </c>
      <c r="AL97" s="367" t="str">
        <f t="shared" si="12"/>
        <v/>
      </c>
      <c r="AM97" s="368" t="str">
        <f>IFERROR(_xlfn.XLOOKUP(AL97,HELPER!$C$7:$C$47,HELPER!$D$7:$D$47,,1),"")</f>
        <v/>
      </c>
    </row>
    <row r="98" hidden="1" spans="2:39">
      <c r="B98" s="402">
        <v>31</v>
      </c>
      <c r="C98" s="391" t="str">
        <f>IFERROR(IF(OR($B$8="INCORRECT SHEET. Do not use this sheet to input data.",'INPUT DATA'!S41=""),"",'INPUT DATA'!S41),"")</f>
        <v/>
      </c>
      <c r="D98" s="358"/>
      <c r="E98" s="359"/>
      <c r="F98" s="359"/>
      <c r="G98" s="359"/>
      <c r="H98" s="359"/>
      <c r="I98" s="359"/>
      <c r="J98" s="359"/>
      <c r="K98" s="359"/>
      <c r="L98" s="359"/>
      <c r="M98" s="360"/>
      <c r="N98" s="361" t="str">
        <f t="shared" si="13"/>
        <v/>
      </c>
      <c r="O98" s="362" t="str">
        <f t="shared" si="14"/>
        <v/>
      </c>
      <c r="P98" s="363" t="str">
        <f t="shared" si="15"/>
        <v/>
      </c>
      <c r="Q98" s="358"/>
      <c r="R98" s="359"/>
      <c r="S98" s="359"/>
      <c r="T98" s="359"/>
      <c r="U98" s="359"/>
      <c r="V98" s="359"/>
      <c r="W98" s="359"/>
      <c r="X98" s="359"/>
      <c r="Y98" s="359"/>
      <c r="Z98" s="360"/>
      <c r="AA98" s="361" t="str">
        <f t="shared" si="16"/>
        <v/>
      </c>
      <c r="AB98" s="362" t="str">
        <f t="shared" si="17"/>
        <v/>
      </c>
      <c r="AC98" s="363" t="str">
        <f t="shared" si="18"/>
        <v/>
      </c>
      <c r="AD98" s="358"/>
      <c r="AE98" s="359"/>
      <c r="AF98" s="360"/>
      <c r="AG98" s="364" t="str">
        <f t="shared" si="19"/>
        <v/>
      </c>
      <c r="AH98" s="362" t="str">
        <f t="shared" si="20"/>
        <v/>
      </c>
      <c r="AI98" s="365" t="str">
        <f t="shared" si="21"/>
        <v/>
      </c>
      <c r="AJ98" s="364" t="str">
        <f t="shared" si="22"/>
        <v/>
      </c>
      <c r="AK98" s="366" t="str">
        <f t="shared" si="23"/>
        <v/>
      </c>
      <c r="AL98" s="367" t="str">
        <f t="shared" si="12"/>
        <v/>
      </c>
      <c r="AM98" s="368" t="str">
        <f>IFERROR(_xlfn.XLOOKUP(AL98,HELPER!$C$7:$C$47,HELPER!$D$7:$D$47,,1),"")</f>
        <v/>
      </c>
    </row>
    <row r="99" hidden="1" spans="2:39">
      <c r="B99" s="402">
        <v>32</v>
      </c>
      <c r="C99" s="391" t="str">
        <f>IFERROR(IF(OR($B$8="INCORRECT SHEET. Do not use this sheet to input data.",'INPUT DATA'!S42=""),"",'INPUT DATA'!S42),"")</f>
        <v/>
      </c>
      <c r="D99" s="358"/>
      <c r="E99" s="359"/>
      <c r="F99" s="359"/>
      <c r="G99" s="359"/>
      <c r="H99" s="359"/>
      <c r="I99" s="359"/>
      <c r="J99" s="359"/>
      <c r="K99" s="359"/>
      <c r="L99" s="359"/>
      <c r="M99" s="360"/>
      <c r="N99" s="361" t="str">
        <f t="shared" si="13"/>
        <v/>
      </c>
      <c r="O99" s="362" t="str">
        <f t="shared" si="14"/>
        <v/>
      </c>
      <c r="P99" s="363" t="str">
        <f t="shared" si="15"/>
        <v/>
      </c>
      <c r="Q99" s="358"/>
      <c r="R99" s="359"/>
      <c r="S99" s="359"/>
      <c r="T99" s="359"/>
      <c r="U99" s="359"/>
      <c r="V99" s="359"/>
      <c r="W99" s="359"/>
      <c r="X99" s="359"/>
      <c r="Y99" s="359"/>
      <c r="Z99" s="360"/>
      <c r="AA99" s="361" t="str">
        <f t="shared" si="16"/>
        <v/>
      </c>
      <c r="AB99" s="362" t="str">
        <f t="shared" si="17"/>
        <v/>
      </c>
      <c r="AC99" s="363" t="str">
        <f t="shared" si="18"/>
        <v/>
      </c>
      <c r="AD99" s="358"/>
      <c r="AE99" s="359"/>
      <c r="AF99" s="360"/>
      <c r="AG99" s="364" t="str">
        <f t="shared" si="19"/>
        <v/>
      </c>
      <c r="AH99" s="362" t="str">
        <f t="shared" si="20"/>
        <v/>
      </c>
      <c r="AI99" s="365" t="str">
        <f t="shared" si="21"/>
        <v/>
      </c>
      <c r="AJ99" s="364" t="str">
        <f t="shared" si="22"/>
        <v/>
      </c>
      <c r="AK99" s="366" t="str">
        <f t="shared" si="23"/>
        <v/>
      </c>
      <c r="AL99" s="367" t="str">
        <f t="shared" si="12"/>
        <v/>
      </c>
      <c r="AM99" s="368" t="str">
        <f>IFERROR(_xlfn.XLOOKUP(AL99,HELPER!$C$7:$C$47,HELPER!$D$7:$D$47,,1),"")</f>
        <v/>
      </c>
    </row>
    <row r="100" hidden="1" spans="2:39">
      <c r="B100" s="402">
        <v>33</v>
      </c>
      <c r="C100" s="391" t="str">
        <f>IFERROR(IF(OR($B$8="INCORRECT SHEET. Do not use this sheet to input data.",'INPUT DATA'!S43=""),"",'INPUT DATA'!S43),"")</f>
        <v/>
      </c>
      <c r="D100" s="358"/>
      <c r="E100" s="359"/>
      <c r="F100" s="359"/>
      <c r="G100" s="359"/>
      <c r="H100" s="359"/>
      <c r="I100" s="359"/>
      <c r="J100" s="359"/>
      <c r="K100" s="359"/>
      <c r="L100" s="359"/>
      <c r="M100" s="360"/>
      <c r="N100" s="361" t="str">
        <f t="shared" si="13"/>
        <v/>
      </c>
      <c r="O100" s="362" t="str">
        <f t="shared" si="14"/>
        <v/>
      </c>
      <c r="P100" s="363" t="str">
        <f t="shared" si="15"/>
        <v/>
      </c>
      <c r="Q100" s="358"/>
      <c r="R100" s="359"/>
      <c r="S100" s="359"/>
      <c r="T100" s="359"/>
      <c r="U100" s="359"/>
      <c r="V100" s="359"/>
      <c r="W100" s="359"/>
      <c r="X100" s="359"/>
      <c r="Y100" s="359"/>
      <c r="Z100" s="360"/>
      <c r="AA100" s="361" t="str">
        <f t="shared" si="16"/>
        <v/>
      </c>
      <c r="AB100" s="362" t="str">
        <f t="shared" si="17"/>
        <v/>
      </c>
      <c r="AC100" s="363" t="str">
        <f t="shared" si="18"/>
        <v/>
      </c>
      <c r="AD100" s="358"/>
      <c r="AE100" s="359"/>
      <c r="AF100" s="360"/>
      <c r="AG100" s="364" t="str">
        <f t="shared" si="19"/>
        <v/>
      </c>
      <c r="AH100" s="362" t="str">
        <f t="shared" si="20"/>
        <v/>
      </c>
      <c r="AI100" s="365" t="str">
        <f t="shared" si="21"/>
        <v/>
      </c>
      <c r="AJ100" s="364" t="str">
        <f t="shared" si="22"/>
        <v/>
      </c>
      <c r="AK100" s="366" t="str">
        <f t="shared" si="23"/>
        <v/>
      </c>
      <c r="AL100" s="367" t="str">
        <f t="shared" si="12"/>
        <v/>
      </c>
      <c r="AM100" s="368" t="str">
        <f>IFERROR(_xlfn.XLOOKUP(AL100,HELPER!$C$7:$C$47,HELPER!$D$7:$D$47,,1),"")</f>
        <v/>
      </c>
    </row>
    <row r="101" hidden="1" spans="2:39">
      <c r="B101" s="402">
        <v>34</v>
      </c>
      <c r="C101" s="391" t="str">
        <f>IFERROR(IF(OR($B$8="INCORRECT SHEET. Do not use this sheet to input data.",'INPUT DATA'!S44=""),"",'INPUT DATA'!S44),"")</f>
        <v/>
      </c>
      <c r="D101" s="358"/>
      <c r="E101" s="359"/>
      <c r="F101" s="359"/>
      <c r="G101" s="359"/>
      <c r="H101" s="359"/>
      <c r="I101" s="359"/>
      <c r="J101" s="359"/>
      <c r="K101" s="359"/>
      <c r="L101" s="359"/>
      <c r="M101" s="360"/>
      <c r="N101" s="361" t="str">
        <f t="shared" si="13"/>
        <v/>
      </c>
      <c r="O101" s="362" t="str">
        <f t="shared" si="14"/>
        <v/>
      </c>
      <c r="P101" s="363" t="str">
        <f t="shared" si="15"/>
        <v/>
      </c>
      <c r="Q101" s="358"/>
      <c r="R101" s="359"/>
      <c r="S101" s="359"/>
      <c r="T101" s="359"/>
      <c r="U101" s="359"/>
      <c r="V101" s="359"/>
      <c r="W101" s="359"/>
      <c r="X101" s="359"/>
      <c r="Y101" s="359"/>
      <c r="Z101" s="360"/>
      <c r="AA101" s="361" t="str">
        <f t="shared" si="16"/>
        <v/>
      </c>
      <c r="AB101" s="362" t="str">
        <f t="shared" si="17"/>
        <v/>
      </c>
      <c r="AC101" s="363" t="str">
        <f t="shared" si="18"/>
        <v/>
      </c>
      <c r="AD101" s="358"/>
      <c r="AE101" s="359"/>
      <c r="AF101" s="360"/>
      <c r="AG101" s="364" t="str">
        <f t="shared" si="19"/>
        <v/>
      </c>
      <c r="AH101" s="362" t="str">
        <f t="shared" si="20"/>
        <v/>
      </c>
      <c r="AI101" s="365" t="str">
        <f t="shared" si="21"/>
        <v/>
      </c>
      <c r="AJ101" s="364" t="str">
        <f t="shared" si="22"/>
        <v/>
      </c>
      <c r="AK101" s="366" t="str">
        <f t="shared" si="23"/>
        <v/>
      </c>
      <c r="AL101" s="367" t="str">
        <f t="shared" si="12"/>
        <v/>
      </c>
      <c r="AM101" s="368" t="str">
        <f>IFERROR(_xlfn.XLOOKUP(AL101,HELPER!$C$7:$C$47,HELPER!$D$7:$D$47,,1),"")</f>
        <v/>
      </c>
    </row>
    <row r="102" hidden="1" spans="2:39">
      <c r="B102" s="402">
        <v>35</v>
      </c>
      <c r="C102" s="391" t="str">
        <f>IFERROR(IF(OR($B$8="INCORRECT SHEET. Do not use this sheet to input data.",'INPUT DATA'!S45=""),"",'INPUT DATA'!S45),"")</f>
        <v/>
      </c>
      <c r="D102" s="358"/>
      <c r="E102" s="359"/>
      <c r="F102" s="359"/>
      <c r="G102" s="359"/>
      <c r="H102" s="359"/>
      <c r="I102" s="359"/>
      <c r="J102" s="359"/>
      <c r="K102" s="359"/>
      <c r="L102" s="359"/>
      <c r="M102" s="360"/>
      <c r="N102" s="361" t="str">
        <f t="shared" si="13"/>
        <v/>
      </c>
      <c r="O102" s="362" t="str">
        <f t="shared" si="14"/>
        <v/>
      </c>
      <c r="P102" s="363" t="str">
        <f t="shared" si="15"/>
        <v/>
      </c>
      <c r="Q102" s="358"/>
      <c r="R102" s="359"/>
      <c r="S102" s="359"/>
      <c r="T102" s="359"/>
      <c r="U102" s="359"/>
      <c r="V102" s="359"/>
      <c r="W102" s="359"/>
      <c r="X102" s="359"/>
      <c r="Y102" s="359"/>
      <c r="Z102" s="360"/>
      <c r="AA102" s="361" t="str">
        <f t="shared" si="16"/>
        <v/>
      </c>
      <c r="AB102" s="362" t="str">
        <f t="shared" si="17"/>
        <v/>
      </c>
      <c r="AC102" s="363" t="str">
        <f t="shared" si="18"/>
        <v/>
      </c>
      <c r="AD102" s="358"/>
      <c r="AE102" s="359"/>
      <c r="AF102" s="360"/>
      <c r="AG102" s="364" t="str">
        <f t="shared" si="19"/>
        <v/>
      </c>
      <c r="AH102" s="362" t="str">
        <f t="shared" si="20"/>
        <v/>
      </c>
      <c r="AI102" s="365" t="str">
        <f t="shared" si="21"/>
        <v/>
      </c>
      <c r="AJ102" s="364" t="str">
        <f t="shared" si="22"/>
        <v/>
      </c>
      <c r="AK102" s="366" t="str">
        <f t="shared" si="23"/>
        <v/>
      </c>
      <c r="AL102" s="367" t="str">
        <f t="shared" si="12"/>
        <v/>
      </c>
      <c r="AM102" s="368" t="str">
        <f>IFERROR(_xlfn.XLOOKUP(AL102,HELPER!$C$7:$C$47,HELPER!$D$7:$D$47,,1),"")</f>
        <v/>
      </c>
    </row>
    <row r="103" hidden="1" spans="2:39">
      <c r="B103" s="402">
        <v>36</v>
      </c>
      <c r="C103" s="391" t="str">
        <f>IFERROR(IF(OR($B$8="INCORRECT SHEET. Do not use this sheet to input data.",'INPUT DATA'!S46=""),"",'INPUT DATA'!S46),"")</f>
        <v/>
      </c>
      <c r="D103" s="358"/>
      <c r="E103" s="359"/>
      <c r="F103" s="359"/>
      <c r="G103" s="359"/>
      <c r="H103" s="359"/>
      <c r="I103" s="359"/>
      <c r="J103" s="359"/>
      <c r="K103" s="359"/>
      <c r="L103" s="359"/>
      <c r="M103" s="360"/>
      <c r="N103" s="361" t="str">
        <f t="shared" si="13"/>
        <v/>
      </c>
      <c r="O103" s="362" t="str">
        <f t="shared" si="14"/>
        <v/>
      </c>
      <c r="P103" s="363" t="str">
        <f t="shared" si="15"/>
        <v/>
      </c>
      <c r="Q103" s="358"/>
      <c r="R103" s="359"/>
      <c r="S103" s="359"/>
      <c r="T103" s="359"/>
      <c r="U103" s="359"/>
      <c r="V103" s="359"/>
      <c r="W103" s="359"/>
      <c r="X103" s="359"/>
      <c r="Y103" s="359"/>
      <c r="Z103" s="360"/>
      <c r="AA103" s="361" t="str">
        <f t="shared" si="16"/>
        <v/>
      </c>
      <c r="AB103" s="362" t="str">
        <f t="shared" si="17"/>
        <v/>
      </c>
      <c r="AC103" s="363" t="str">
        <f t="shared" si="18"/>
        <v/>
      </c>
      <c r="AD103" s="358"/>
      <c r="AE103" s="359"/>
      <c r="AF103" s="360"/>
      <c r="AG103" s="364" t="str">
        <f t="shared" si="19"/>
        <v/>
      </c>
      <c r="AH103" s="362" t="str">
        <f t="shared" si="20"/>
        <v/>
      </c>
      <c r="AI103" s="365" t="str">
        <f t="shared" si="21"/>
        <v/>
      </c>
      <c r="AJ103" s="364" t="str">
        <f t="shared" si="22"/>
        <v/>
      </c>
      <c r="AK103" s="366" t="str">
        <f t="shared" si="23"/>
        <v/>
      </c>
      <c r="AL103" s="367" t="str">
        <f t="shared" si="12"/>
        <v/>
      </c>
      <c r="AM103" s="368" t="str">
        <f>IFERROR(_xlfn.XLOOKUP(AL103,HELPER!$C$7:$C$47,HELPER!$D$7:$D$47,,1),"")</f>
        <v/>
      </c>
    </row>
    <row r="104" hidden="1" spans="2:39">
      <c r="B104" s="402">
        <v>37</v>
      </c>
      <c r="C104" s="391" t="str">
        <f>IFERROR(IF(OR($B$8="INCORRECT SHEET. Do not use this sheet to input data.",'INPUT DATA'!S47=""),"",'INPUT DATA'!S47),"")</f>
        <v/>
      </c>
      <c r="D104" s="358"/>
      <c r="E104" s="359"/>
      <c r="F104" s="359"/>
      <c r="G104" s="359"/>
      <c r="H104" s="359"/>
      <c r="I104" s="359"/>
      <c r="J104" s="359"/>
      <c r="K104" s="359"/>
      <c r="L104" s="359"/>
      <c r="M104" s="360"/>
      <c r="N104" s="361" t="str">
        <f t="shared" si="13"/>
        <v/>
      </c>
      <c r="O104" s="362" t="str">
        <f t="shared" si="14"/>
        <v/>
      </c>
      <c r="P104" s="363" t="str">
        <f t="shared" si="15"/>
        <v/>
      </c>
      <c r="Q104" s="358"/>
      <c r="R104" s="359"/>
      <c r="S104" s="359"/>
      <c r="T104" s="359"/>
      <c r="U104" s="359"/>
      <c r="V104" s="359"/>
      <c r="W104" s="359"/>
      <c r="X104" s="359"/>
      <c r="Y104" s="359"/>
      <c r="Z104" s="360"/>
      <c r="AA104" s="361" t="str">
        <f t="shared" si="16"/>
        <v/>
      </c>
      <c r="AB104" s="362" t="str">
        <f t="shared" si="17"/>
        <v/>
      </c>
      <c r="AC104" s="363" t="str">
        <f t="shared" si="18"/>
        <v/>
      </c>
      <c r="AD104" s="358"/>
      <c r="AE104" s="359"/>
      <c r="AF104" s="360"/>
      <c r="AG104" s="364" t="str">
        <f t="shared" si="19"/>
        <v/>
      </c>
      <c r="AH104" s="362" t="str">
        <f t="shared" si="20"/>
        <v/>
      </c>
      <c r="AI104" s="365" t="str">
        <f t="shared" si="21"/>
        <v/>
      </c>
      <c r="AJ104" s="364" t="str">
        <f t="shared" si="22"/>
        <v/>
      </c>
      <c r="AK104" s="366" t="str">
        <f t="shared" si="23"/>
        <v/>
      </c>
      <c r="AL104" s="367" t="str">
        <f t="shared" si="12"/>
        <v/>
      </c>
      <c r="AM104" s="368" t="str">
        <f>IFERROR(_xlfn.XLOOKUP(AL104,HELPER!$C$7:$C$47,HELPER!$D$7:$D$47,,1),"")</f>
        <v/>
      </c>
    </row>
    <row r="105" hidden="1" spans="2:39">
      <c r="B105" s="402">
        <v>38</v>
      </c>
      <c r="C105" s="391" t="str">
        <f>IFERROR(IF(OR($B$8="INCORRECT SHEET. Do not use this sheet to input data.",'INPUT DATA'!S48=""),"",'INPUT DATA'!S48),"")</f>
        <v/>
      </c>
      <c r="D105" s="358"/>
      <c r="E105" s="359"/>
      <c r="F105" s="359"/>
      <c r="G105" s="359"/>
      <c r="H105" s="359"/>
      <c r="I105" s="359"/>
      <c r="J105" s="359"/>
      <c r="K105" s="359"/>
      <c r="L105" s="359"/>
      <c r="M105" s="360"/>
      <c r="N105" s="361" t="str">
        <f t="shared" si="13"/>
        <v/>
      </c>
      <c r="O105" s="362" t="str">
        <f t="shared" si="14"/>
        <v/>
      </c>
      <c r="P105" s="363" t="str">
        <f t="shared" si="15"/>
        <v/>
      </c>
      <c r="Q105" s="358"/>
      <c r="R105" s="359"/>
      <c r="S105" s="359"/>
      <c r="T105" s="359"/>
      <c r="U105" s="359"/>
      <c r="V105" s="359"/>
      <c r="W105" s="359"/>
      <c r="X105" s="359"/>
      <c r="Y105" s="359"/>
      <c r="Z105" s="360"/>
      <c r="AA105" s="361" t="str">
        <f t="shared" si="16"/>
        <v/>
      </c>
      <c r="AB105" s="362" t="str">
        <f t="shared" si="17"/>
        <v/>
      </c>
      <c r="AC105" s="363" t="str">
        <f t="shared" si="18"/>
        <v/>
      </c>
      <c r="AD105" s="358"/>
      <c r="AE105" s="359"/>
      <c r="AF105" s="360"/>
      <c r="AG105" s="364" t="str">
        <f t="shared" si="19"/>
        <v/>
      </c>
      <c r="AH105" s="362" t="str">
        <f t="shared" si="20"/>
        <v/>
      </c>
      <c r="AI105" s="365" t="str">
        <f t="shared" si="21"/>
        <v/>
      </c>
      <c r="AJ105" s="364" t="str">
        <f t="shared" si="22"/>
        <v/>
      </c>
      <c r="AK105" s="366" t="str">
        <f t="shared" si="23"/>
        <v/>
      </c>
      <c r="AL105" s="367" t="str">
        <f t="shared" si="12"/>
        <v/>
      </c>
      <c r="AM105" s="368" t="str">
        <f>IFERROR(_xlfn.XLOOKUP(AL105,HELPER!$C$7:$C$47,HELPER!$D$7:$D$47,,1),"")</f>
        <v/>
      </c>
    </row>
    <row r="106" hidden="1" spans="2:39">
      <c r="B106" s="402">
        <v>39</v>
      </c>
      <c r="C106" s="391" t="str">
        <f>IFERROR(IF(OR($B$8="INCORRECT SHEET. Do not use this sheet to input data.",'INPUT DATA'!S49=""),"",'INPUT DATA'!S49),"")</f>
        <v/>
      </c>
      <c r="D106" s="358"/>
      <c r="E106" s="359"/>
      <c r="F106" s="359"/>
      <c r="G106" s="359"/>
      <c r="H106" s="359"/>
      <c r="I106" s="359"/>
      <c r="J106" s="359"/>
      <c r="K106" s="359"/>
      <c r="L106" s="359"/>
      <c r="M106" s="360"/>
      <c r="N106" s="361" t="str">
        <f t="shared" si="13"/>
        <v/>
      </c>
      <c r="O106" s="362" t="str">
        <f t="shared" si="14"/>
        <v/>
      </c>
      <c r="P106" s="363" t="str">
        <f t="shared" si="15"/>
        <v/>
      </c>
      <c r="Q106" s="358"/>
      <c r="R106" s="359"/>
      <c r="S106" s="359"/>
      <c r="T106" s="359"/>
      <c r="U106" s="359"/>
      <c r="V106" s="359"/>
      <c r="W106" s="359"/>
      <c r="X106" s="359"/>
      <c r="Y106" s="359"/>
      <c r="Z106" s="360"/>
      <c r="AA106" s="361" t="str">
        <f t="shared" si="16"/>
        <v/>
      </c>
      <c r="AB106" s="362" t="str">
        <f t="shared" si="17"/>
        <v/>
      </c>
      <c r="AC106" s="363" t="str">
        <f t="shared" si="18"/>
        <v/>
      </c>
      <c r="AD106" s="358"/>
      <c r="AE106" s="359"/>
      <c r="AF106" s="360"/>
      <c r="AG106" s="364" t="str">
        <f t="shared" si="19"/>
        <v/>
      </c>
      <c r="AH106" s="362" t="str">
        <f t="shared" si="20"/>
        <v/>
      </c>
      <c r="AI106" s="365" t="str">
        <f t="shared" si="21"/>
        <v/>
      </c>
      <c r="AJ106" s="364" t="str">
        <f t="shared" si="22"/>
        <v/>
      </c>
      <c r="AK106" s="366" t="str">
        <f t="shared" si="23"/>
        <v/>
      </c>
      <c r="AL106" s="367" t="str">
        <f t="shared" si="12"/>
        <v/>
      </c>
      <c r="AM106" s="368" t="str">
        <f>IFERROR(_xlfn.XLOOKUP(AL106,HELPER!$C$7:$C$47,HELPER!$D$7:$D$47,,1),"")</f>
        <v/>
      </c>
    </row>
    <row r="107" hidden="1" spans="2:39">
      <c r="B107" s="402">
        <v>40</v>
      </c>
      <c r="C107" s="391" t="str">
        <f>IFERROR(IF(OR($B$8="INCORRECT SHEET. Do not use this sheet to input data.",'INPUT DATA'!S50=""),"",'INPUT DATA'!S50),"")</f>
        <v/>
      </c>
      <c r="D107" s="358"/>
      <c r="E107" s="359"/>
      <c r="F107" s="359"/>
      <c r="G107" s="359"/>
      <c r="H107" s="359"/>
      <c r="I107" s="359"/>
      <c r="J107" s="359"/>
      <c r="K107" s="359"/>
      <c r="L107" s="359"/>
      <c r="M107" s="360"/>
      <c r="N107" s="361" t="str">
        <f t="shared" si="13"/>
        <v/>
      </c>
      <c r="O107" s="362" t="str">
        <f t="shared" si="14"/>
        <v/>
      </c>
      <c r="P107" s="363" t="str">
        <f t="shared" si="15"/>
        <v/>
      </c>
      <c r="Q107" s="358"/>
      <c r="R107" s="359"/>
      <c r="S107" s="359"/>
      <c r="T107" s="359"/>
      <c r="U107" s="359"/>
      <c r="V107" s="359"/>
      <c r="W107" s="359"/>
      <c r="X107" s="359"/>
      <c r="Y107" s="359"/>
      <c r="Z107" s="360"/>
      <c r="AA107" s="361" t="str">
        <f t="shared" si="16"/>
        <v/>
      </c>
      <c r="AB107" s="362" t="str">
        <f t="shared" si="17"/>
        <v/>
      </c>
      <c r="AC107" s="363" t="str">
        <f t="shared" si="18"/>
        <v/>
      </c>
      <c r="AD107" s="358"/>
      <c r="AE107" s="359"/>
      <c r="AF107" s="360"/>
      <c r="AG107" s="364" t="str">
        <f t="shared" si="19"/>
        <v/>
      </c>
      <c r="AH107" s="362" t="str">
        <f t="shared" si="20"/>
        <v/>
      </c>
      <c r="AI107" s="365" t="str">
        <f t="shared" si="21"/>
        <v/>
      </c>
      <c r="AJ107" s="364" t="str">
        <f t="shared" si="22"/>
        <v/>
      </c>
      <c r="AK107" s="366" t="str">
        <f t="shared" si="23"/>
        <v/>
      </c>
      <c r="AL107" s="367" t="str">
        <f t="shared" si="12"/>
        <v/>
      </c>
      <c r="AM107" s="368" t="str">
        <f>IFERROR(_xlfn.XLOOKUP(AL107,HELPER!$C$7:$C$47,HELPER!$D$7:$D$47,,1),"")</f>
        <v/>
      </c>
    </row>
    <row r="108" hidden="1" spans="2:39">
      <c r="B108" s="402">
        <v>41</v>
      </c>
      <c r="C108" s="391" t="str">
        <f>IFERROR(IF(OR($B$8="INCORRECT SHEET. Do not use this sheet to input data.",'INPUT DATA'!S51=""),"",'INPUT DATA'!S51),"")</f>
        <v/>
      </c>
      <c r="D108" s="358"/>
      <c r="E108" s="359"/>
      <c r="F108" s="359"/>
      <c r="G108" s="359"/>
      <c r="H108" s="359"/>
      <c r="I108" s="359"/>
      <c r="J108" s="359"/>
      <c r="K108" s="359"/>
      <c r="L108" s="359"/>
      <c r="M108" s="360"/>
      <c r="N108" s="361" t="str">
        <f t="shared" si="13"/>
        <v/>
      </c>
      <c r="O108" s="362" t="str">
        <f t="shared" si="14"/>
        <v/>
      </c>
      <c r="P108" s="363" t="str">
        <f t="shared" si="15"/>
        <v/>
      </c>
      <c r="Q108" s="358"/>
      <c r="R108" s="359"/>
      <c r="S108" s="359"/>
      <c r="T108" s="359"/>
      <c r="U108" s="359"/>
      <c r="V108" s="359"/>
      <c r="W108" s="359"/>
      <c r="X108" s="359"/>
      <c r="Y108" s="359"/>
      <c r="Z108" s="360"/>
      <c r="AA108" s="361" t="str">
        <f t="shared" si="16"/>
        <v/>
      </c>
      <c r="AB108" s="362" t="str">
        <f t="shared" si="17"/>
        <v/>
      </c>
      <c r="AC108" s="363" t="str">
        <f t="shared" si="18"/>
        <v/>
      </c>
      <c r="AD108" s="358"/>
      <c r="AE108" s="359"/>
      <c r="AF108" s="360"/>
      <c r="AG108" s="364" t="str">
        <f t="shared" si="19"/>
        <v/>
      </c>
      <c r="AH108" s="362" t="str">
        <f t="shared" si="20"/>
        <v/>
      </c>
      <c r="AI108" s="365" t="str">
        <f t="shared" si="21"/>
        <v/>
      </c>
      <c r="AJ108" s="364" t="str">
        <f t="shared" si="22"/>
        <v/>
      </c>
      <c r="AK108" s="366" t="str">
        <f t="shared" si="23"/>
        <v/>
      </c>
      <c r="AL108" s="367" t="str">
        <f t="shared" si="12"/>
        <v/>
      </c>
      <c r="AM108" s="368" t="str">
        <f>IFERROR(_xlfn.XLOOKUP(AL108,HELPER!$C$7:$C$47,HELPER!$D$7:$D$47,,1),"")</f>
        <v/>
      </c>
    </row>
    <row r="109" hidden="1" spans="2:39">
      <c r="B109" s="402">
        <v>42</v>
      </c>
      <c r="C109" s="391" t="str">
        <f>IFERROR(IF(OR($B$8="INCORRECT SHEET. Do not use this sheet to input data.",'INPUT DATA'!S52=""),"",'INPUT DATA'!S52),"")</f>
        <v/>
      </c>
      <c r="D109" s="358"/>
      <c r="E109" s="359"/>
      <c r="F109" s="359"/>
      <c r="G109" s="359"/>
      <c r="H109" s="359"/>
      <c r="I109" s="359"/>
      <c r="J109" s="359"/>
      <c r="K109" s="359"/>
      <c r="L109" s="359"/>
      <c r="M109" s="360"/>
      <c r="N109" s="361" t="str">
        <f t="shared" si="13"/>
        <v/>
      </c>
      <c r="O109" s="362" t="str">
        <f t="shared" si="14"/>
        <v/>
      </c>
      <c r="P109" s="363" t="str">
        <f t="shared" si="15"/>
        <v/>
      </c>
      <c r="Q109" s="358"/>
      <c r="R109" s="359"/>
      <c r="S109" s="359"/>
      <c r="T109" s="359"/>
      <c r="U109" s="359"/>
      <c r="V109" s="359"/>
      <c r="W109" s="359"/>
      <c r="X109" s="359"/>
      <c r="Y109" s="359"/>
      <c r="Z109" s="360"/>
      <c r="AA109" s="361" t="str">
        <f t="shared" si="16"/>
        <v/>
      </c>
      <c r="AB109" s="362" t="str">
        <f t="shared" si="17"/>
        <v/>
      </c>
      <c r="AC109" s="363" t="str">
        <f t="shared" si="18"/>
        <v/>
      </c>
      <c r="AD109" s="358"/>
      <c r="AE109" s="359"/>
      <c r="AF109" s="360"/>
      <c r="AG109" s="364" t="str">
        <f t="shared" si="19"/>
        <v/>
      </c>
      <c r="AH109" s="362" t="str">
        <f t="shared" si="20"/>
        <v/>
      </c>
      <c r="AI109" s="365" t="str">
        <f t="shared" si="21"/>
        <v/>
      </c>
      <c r="AJ109" s="364" t="str">
        <f t="shared" si="22"/>
        <v/>
      </c>
      <c r="AK109" s="366" t="str">
        <f t="shared" si="23"/>
        <v/>
      </c>
      <c r="AL109" s="367" t="str">
        <f t="shared" si="12"/>
        <v/>
      </c>
      <c r="AM109" s="368" t="str">
        <f>IFERROR(_xlfn.XLOOKUP(AL109,HELPER!$C$7:$C$47,HELPER!$D$7:$D$47,,1),"")</f>
        <v/>
      </c>
    </row>
    <row r="110" hidden="1" spans="2:39">
      <c r="B110" s="402">
        <v>43</v>
      </c>
      <c r="C110" s="391" t="str">
        <f>IFERROR(IF(OR($B$8="INCORRECT SHEET. Do not use this sheet to input data.",'INPUT DATA'!S53=""),"",'INPUT DATA'!S53),"")</f>
        <v/>
      </c>
      <c r="D110" s="358"/>
      <c r="E110" s="359"/>
      <c r="F110" s="359"/>
      <c r="G110" s="359"/>
      <c r="H110" s="359"/>
      <c r="I110" s="359"/>
      <c r="J110" s="359"/>
      <c r="K110" s="359"/>
      <c r="L110" s="359"/>
      <c r="M110" s="360"/>
      <c r="N110" s="361" t="str">
        <f t="shared" si="13"/>
        <v/>
      </c>
      <c r="O110" s="362" t="str">
        <f t="shared" si="14"/>
        <v/>
      </c>
      <c r="P110" s="363" t="str">
        <f t="shared" si="15"/>
        <v/>
      </c>
      <c r="Q110" s="358"/>
      <c r="R110" s="359"/>
      <c r="S110" s="359"/>
      <c r="T110" s="359"/>
      <c r="U110" s="359"/>
      <c r="V110" s="359"/>
      <c r="W110" s="359"/>
      <c r="X110" s="359"/>
      <c r="Y110" s="359"/>
      <c r="Z110" s="360"/>
      <c r="AA110" s="361" t="str">
        <f t="shared" si="16"/>
        <v/>
      </c>
      <c r="AB110" s="362" t="str">
        <f t="shared" si="17"/>
        <v/>
      </c>
      <c r="AC110" s="363" t="str">
        <f t="shared" si="18"/>
        <v/>
      </c>
      <c r="AD110" s="358"/>
      <c r="AE110" s="359"/>
      <c r="AF110" s="360"/>
      <c r="AG110" s="364" t="str">
        <f t="shared" si="19"/>
        <v/>
      </c>
      <c r="AH110" s="362" t="str">
        <f t="shared" si="20"/>
        <v/>
      </c>
      <c r="AI110" s="365" t="str">
        <f t="shared" si="21"/>
        <v/>
      </c>
      <c r="AJ110" s="364" t="str">
        <f t="shared" si="22"/>
        <v/>
      </c>
      <c r="AK110" s="366" t="str">
        <f t="shared" si="23"/>
        <v/>
      </c>
      <c r="AL110" s="367" t="str">
        <f t="shared" si="12"/>
        <v/>
      </c>
      <c r="AM110" s="368" t="str">
        <f>IFERROR(_xlfn.XLOOKUP(AL110,HELPER!$C$7:$C$47,HELPER!$D$7:$D$47,,1),"")</f>
        <v/>
      </c>
    </row>
    <row r="111" hidden="1" spans="2:39">
      <c r="B111" s="402">
        <v>44</v>
      </c>
      <c r="C111" s="391" t="str">
        <f>IFERROR(IF(OR($B$8="INCORRECT SHEET. Do not use this sheet to input data.",'INPUT DATA'!S54=""),"",'INPUT DATA'!S54),"")</f>
        <v/>
      </c>
      <c r="D111" s="358"/>
      <c r="E111" s="359"/>
      <c r="F111" s="359"/>
      <c r="G111" s="359"/>
      <c r="H111" s="359"/>
      <c r="I111" s="359"/>
      <c r="J111" s="359"/>
      <c r="K111" s="359"/>
      <c r="L111" s="359"/>
      <c r="M111" s="360"/>
      <c r="N111" s="361" t="str">
        <f t="shared" si="13"/>
        <v/>
      </c>
      <c r="O111" s="362" t="str">
        <f t="shared" si="14"/>
        <v/>
      </c>
      <c r="P111" s="363" t="str">
        <f t="shared" si="15"/>
        <v/>
      </c>
      <c r="Q111" s="358"/>
      <c r="R111" s="359"/>
      <c r="S111" s="359"/>
      <c r="T111" s="359"/>
      <c r="U111" s="359"/>
      <c r="V111" s="359"/>
      <c r="W111" s="359"/>
      <c r="X111" s="359"/>
      <c r="Y111" s="359"/>
      <c r="Z111" s="360"/>
      <c r="AA111" s="361" t="str">
        <f t="shared" si="16"/>
        <v/>
      </c>
      <c r="AB111" s="362" t="str">
        <f t="shared" si="17"/>
        <v/>
      </c>
      <c r="AC111" s="363" t="str">
        <f t="shared" si="18"/>
        <v/>
      </c>
      <c r="AD111" s="358"/>
      <c r="AE111" s="359"/>
      <c r="AF111" s="360"/>
      <c r="AG111" s="364" t="str">
        <f t="shared" si="19"/>
        <v/>
      </c>
      <c r="AH111" s="362" t="str">
        <f t="shared" si="20"/>
        <v/>
      </c>
      <c r="AI111" s="365" t="str">
        <f t="shared" si="21"/>
        <v/>
      </c>
      <c r="AJ111" s="364" t="str">
        <f t="shared" si="22"/>
        <v/>
      </c>
      <c r="AK111" s="366" t="str">
        <f t="shared" si="23"/>
        <v/>
      </c>
      <c r="AL111" s="367" t="str">
        <f t="shared" si="12"/>
        <v/>
      </c>
      <c r="AM111" s="368" t="str">
        <f>IFERROR(_xlfn.XLOOKUP(AL111,HELPER!$C$7:$C$47,HELPER!$D$7:$D$47,,1),"")</f>
        <v/>
      </c>
    </row>
    <row r="112" hidden="1" spans="2:39">
      <c r="B112" s="402">
        <v>45</v>
      </c>
      <c r="C112" s="391" t="str">
        <f>IFERROR(IF(OR($B$8="INCORRECT SHEET. Do not use this sheet to input data.",'INPUT DATA'!S55=""),"",'INPUT DATA'!S55),"")</f>
        <v/>
      </c>
      <c r="D112" s="358"/>
      <c r="E112" s="359"/>
      <c r="F112" s="359"/>
      <c r="G112" s="359"/>
      <c r="H112" s="359"/>
      <c r="I112" s="359"/>
      <c r="J112" s="359"/>
      <c r="K112" s="359"/>
      <c r="L112" s="359"/>
      <c r="M112" s="360"/>
      <c r="N112" s="361" t="str">
        <f t="shared" si="13"/>
        <v/>
      </c>
      <c r="O112" s="362" t="str">
        <f t="shared" si="14"/>
        <v/>
      </c>
      <c r="P112" s="363" t="str">
        <f t="shared" si="15"/>
        <v/>
      </c>
      <c r="Q112" s="358"/>
      <c r="R112" s="359"/>
      <c r="S112" s="359"/>
      <c r="T112" s="359"/>
      <c r="U112" s="359"/>
      <c r="V112" s="359"/>
      <c r="W112" s="359"/>
      <c r="X112" s="359"/>
      <c r="Y112" s="359"/>
      <c r="Z112" s="360"/>
      <c r="AA112" s="361" t="str">
        <f t="shared" si="16"/>
        <v/>
      </c>
      <c r="AB112" s="362" t="str">
        <f t="shared" si="17"/>
        <v/>
      </c>
      <c r="AC112" s="363" t="str">
        <f t="shared" si="18"/>
        <v/>
      </c>
      <c r="AD112" s="358"/>
      <c r="AE112" s="359"/>
      <c r="AF112" s="360"/>
      <c r="AG112" s="364" t="str">
        <f t="shared" si="19"/>
        <v/>
      </c>
      <c r="AH112" s="362" t="str">
        <f t="shared" si="20"/>
        <v/>
      </c>
      <c r="AI112" s="365" t="str">
        <f t="shared" si="21"/>
        <v/>
      </c>
      <c r="AJ112" s="364" t="str">
        <f t="shared" si="22"/>
        <v/>
      </c>
      <c r="AK112" s="366" t="str">
        <f t="shared" si="23"/>
        <v/>
      </c>
      <c r="AL112" s="367" t="str">
        <f t="shared" si="12"/>
        <v/>
      </c>
      <c r="AM112" s="368" t="str">
        <f>IFERROR(_xlfn.XLOOKUP(AL112,HELPER!$C$7:$C$47,HELPER!$D$7:$D$47,,1),"")</f>
        <v/>
      </c>
    </row>
    <row r="113" hidden="1" spans="2:39">
      <c r="B113" s="402">
        <v>46</v>
      </c>
      <c r="C113" s="391" t="str">
        <f>IFERROR(IF(OR($B$8="INCORRECT SHEET. Do not use this sheet to input data.",'INPUT DATA'!S56=""),"",'INPUT DATA'!S56),"")</f>
        <v/>
      </c>
      <c r="D113" s="358"/>
      <c r="E113" s="359"/>
      <c r="F113" s="359"/>
      <c r="G113" s="359"/>
      <c r="H113" s="359"/>
      <c r="I113" s="359"/>
      <c r="J113" s="359"/>
      <c r="K113" s="359"/>
      <c r="L113" s="359"/>
      <c r="M113" s="360"/>
      <c r="N113" s="361" t="str">
        <f t="shared" si="13"/>
        <v/>
      </c>
      <c r="O113" s="362" t="str">
        <f t="shared" si="14"/>
        <v/>
      </c>
      <c r="P113" s="363" t="str">
        <f t="shared" si="15"/>
        <v/>
      </c>
      <c r="Q113" s="358"/>
      <c r="R113" s="359"/>
      <c r="S113" s="359"/>
      <c r="T113" s="359"/>
      <c r="U113" s="359"/>
      <c r="V113" s="359"/>
      <c r="W113" s="359"/>
      <c r="X113" s="359"/>
      <c r="Y113" s="359"/>
      <c r="Z113" s="360"/>
      <c r="AA113" s="361" t="str">
        <f t="shared" si="16"/>
        <v/>
      </c>
      <c r="AB113" s="362" t="str">
        <f t="shared" si="17"/>
        <v/>
      </c>
      <c r="AC113" s="363" t="str">
        <f t="shared" si="18"/>
        <v/>
      </c>
      <c r="AD113" s="358"/>
      <c r="AE113" s="359"/>
      <c r="AF113" s="360"/>
      <c r="AG113" s="364" t="str">
        <f t="shared" si="19"/>
        <v/>
      </c>
      <c r="AH113" s="362" t="str">
        <f t="shared" si="20"/>
        <v/>
      </c>
      <c r="AI113" s="365" t="str">
        <f t="shared" si="21"/>
        <v/>
      </c>
      <c r="AJ113" s="364" t="str">
        <f t="shared" si="22"/>
        <v/>
      </c>
      <c r="AK113" s="366" t="str">
        <f t="shared" si="23"/>
        <v/>
      </c>
      <c r="AL113" s="367" t="str">
        <f t="shared" si="12"/>
        <v/>
      </c>
      <c r="AM113" s="368" t="str">
        <f>IFERROR(_xlfn.XLOOKUP(AL113,HELPER!$C$7:$C$47,HELPER!$D$7:$D$47,,1),"")</f>
        <v/>
      </c>
    </row>
    <row r="114" hidden="1" spans="2:39">
      <c r="B114" s="402">
        <v>47</v>
      </c>
      <c r="C114" s="391" t="str">
        <f>IFERROR(IF(OR($B$8="INCORRECT SHEET. Do not use this sheet to input data.",'INPUT DATA'!S57=""),"",'INPUT DATA'!S57),"")</f>
        <v/>
      </c>
      <c r="D114" s="358"/>
      <c r="E114" s="359"/>
      <c r="F114" s="359"/>
      <c r="G114" s="359"/>
      <c r="H114" s="359"/>
      <c r="I114" s="359"/>
      <c r="J114" s="359"/>
      <c r="K114" s="359"/>
      <c r="L114" s="359"/>
      <c r="M114" s="360"/>
      <c r="N114" s="361" t="str">
        <f t="shared" si="13"/>
        <v/>
      </c>
      <c r="O114" s="362" t="str">
        <f t="shared" si="14"/>
        <v/>
      </c>
      <c r="P114" s="363" t="str">
        <f t="shared" si="15"/>
        <v/>
      </c>
      <c r="Q114" s="358"/>
      <c r="R114" s="359"/>
      <c r="S114" s="359"/>
      <c r="T114" s="359"/>
      <c r="U114" s="359"/>
      <c r="V114" s="359"/>
      <c r="W114" s="359"/>
      <c r="X114" s="359"/>
      <c r="Y114" s="359"/>
      <c r="Z114" s="360"/>
      <c r="AA114" s="361" t="str">
        <f t="shared" si="16"/>
        <v/>
      </c>
      <c r="AB114" s="362" t="str">
        <f t="shared" si="17"/>
        <v/>
      </c>
      <c r="AC114" s="363" t="str">
        <f t="shared" si="18"/>
        <v/>
      </c>
      <c r="AD114" s="358"/>
      <c r="AE114" s="359"/>
      <c r="AF114" s="360"/>
      <c r="AG114" s="364" t="str">
        <f t="shared" si="19"/>
        <v/>
      </c>
      <c r="AH114" s="362" t="str">
        <f t="shared" si="20"/>
        <v/>
      </c>
      <c r="AI114" s="365" t="str">
        <f t="shared" si="21"/>
        <v/>
      </c>
      <c r="AJ114" s="364" t="str">
        <f t="shared" si="22"/>
        <v/>
      </c>
      <c r="AK114" s="366" t="str">
        <f t="shared" si="23"/>
        <v/>
      </c>
      <c r="AL114" s="367" t="str">
        <f t="shared" si="12"/>
        <v/>
      </c>
      <c r="AM114" s="368" t="str">
        <f>IFERROR(_xlfn.XLOOKUP(AL114,HELPER!$C$7:$C$47,HELPER!$D$7:$D$47,,1),"")</f>
        <v/>
      </c>
    </row>
    <row r="115" hidden="1" spans="2:39">
      <c r="B115" s="402">
        <v>48</v>
      </c>
      <c r="C115" s="391" t="str">
        <f>IFERROR(IF(OR($B$8="INCORRECT SHEET. Do not use this sheet to input data.",'INPUT DATA'!S58=""),"",'INPUT DATA'!S58),"")</f>
        <v/>
      </c>
      <c r="D115" s="358"/>
      <c r="E115" s="359"/>
      <c r="F115" s="359"/>
      <c r="G115" s="359"/>
      <c r="H115" s="359"/>
      <c r="I115" s="359"/>
      <c r="J115" s="359"/>
      <c r="K115" s="359"/>
      <c r="L115" s="359"/>
      <c r="M115" s="360"/>
      <c r="N115" s="361" t="str">
        <f t="shared" si="13"/>
        <v/>
      </c>
      <c r="O115" s="362" t="str">
        <f t="shared" si="14"/>
        <v/>
      </c>
      <c r="P115" s="363" t="str">
        <f t="shared" si="15"/>
        <v/>
      </c>
      <c r="Q115" s="358"/>
      <c r="R115" s="359"/>
      <c r="S115" s="359"/>
      <c r="T115" s="359"/>
      <c r="U115" s="359"/>
      <c r="V115" s="359"/>
      <c r="W115" s="359"/>
      <c r="X115" s="359"/>
      <c r="Y115" s="359"/>
      <c r="Z115" s="360"/>
      <c r="AA115" s="361" t="str">
        <f t="shared" si="16"/>
        <v/>
      </c>
      <c r="AB115" s="362" t="str">
        <f t="shared" si="17"/>
        <v/>
      </c>
      <c r="AC115" s="363" t="str">
        <f t="shared" si="18"/>
        <v/>
      </c>
      <c r="AD115" s="358"/>
      <c r="AE115" s="359"/>
      <c r="AF115" s="360"/>
      <c r="AG115" s="364" t="str">
        <f t="shared" si="19"/>
        <v/>
      </c>
      <c r="AH115" s="362" t="str">
        <f t="shared" si="20"/>
        <v/>
      </c>
      <c r="AI115" s="365" t="str">
        <f t="shared" si="21"/>
        <v/>
      </c>
      <c r="AJ115" s="364" t="str">
        <f t="shared" si="22"/>
        <v/>
      </c>
      <c r="AK115" s="366" t="str">
        <f t="shared" si="23"/>
        <v/>
      </c>
      <c r="AL115" s="367" t="str">
        <f t="shared" si="12"/>
        <v/>
      </c>
      <c r="AM115" s="368" t="str">
        <f>IFERROR(_xlfn.XLOOKUP(AL115,HELPER!$C$7:$C$47,HELPER!$D$7:$D$47,,1),"")</f>
        <v/>
      </c>
    </row>
    <row r="116" hidden="1" spans="2:39">
      <c r="B116" s="402">
        <v>49</v>
      </c>
      <c r="C116" s="391" t="str">
        <f>IFERROR(IF(OR($B$8="INCORRECT SHEET. Do not use this sheet to input data.",'INPUT DATA'!S59=""),"",'INPUT DATA'!S59),"")</f>
        <v/>
      </c>
      <c r="D116" s="358"/>
      <c r="E116" s="359"/>
      <c r="F116" s="359"/>
      <c r="G116" s="359"/>
      <c r="H116" s="359"/>
      <c r="I116" s="359"/>
      <c r="J116" s="359"/>
      <c r="K116" s="359"/>
      <c r="L116" s="359"/>
      <c r="M116" s="360"/>
      <c r="N116" s="361" t="str">
        <f t="shared" si="13"/>
        <v/>
      </c>
      <c r="O116" s="362" t="str">
        <f t="shared" si="14"/>
        <v/>
      </c>
      <c r="P116" s="363" t="str">
        <f t="shared" si="15"/>
        <v/>
      </c>
      <c r="Q116" s="358"/>
      <c r="R116" s="359"/>
      <c r="S116" s="359"/>
      <c r="T116" s="359"/>
      <c r="U116" s="359"/>
      <c r="V116" s="359"/>
      <c r="W116" s="359"/>
      <c r="X116" s="359"/>
      <c r="Y116" s="359"/>
      <c r="Z116" s="360"/>
      <c r="AA116" s="361" t="str">
        <f t="shared" si="16"/>
        <v/>
      </c>
      <c r="AB116" s="362" t="str">
        <f t="shared" si="17"/>
        <v/>
      </c>
      <c r="AC116" s="363" t="str">
        <f t="shared" si="18"/>
        <v/>
      </c>
      <c r="AD116" s="358"/>
      <c r="AE116" s="359"/>
      <c r="AF116" s="360"/>
      <c r="AG116" s="364" t="str">
        <f t="shared" si="19"/>
        <v/>
      </c>
      <c r="AH116" s="362" t="str">
        <f t="shared" si="20"/>
        <v/>
      </c>
      <c r="AI116" s="365" t="str">
        <f t="shared" si="21"/>
        <v/>
      </c>
      <c r="AJ116" s="364" t="str">
        <f t="shared" si="22"/>
        <v/>
      </c>
      <c r="AK116" s="366" t="str">
        <f t="shared" si="23"/>
        <v/>
      </c>
      <c r="AL116" s="367" t="str">
        <f t="shared" si="12"/>
        <v/>
      </c>
      <c r="AM116" s="368" t="str">
        <f>IFERROR(_xlfn.XLOOKUP(AL116,HELPER!$C$7:$C$47,HELPER!$D$7:$D$47,,1),"")</f>
        <v/>
      </c>
    </row>
    <row r="117" ht="14.55" hidden="1" spans="2:39">
      <c r="B117" s="403">
        <v>50</v>
      </c>
      <c r="C117" s="391" t="str">
        <f>IFERROR(IF(OR($B$8="INCORRECT SHEET. Do not use this sheet to input data.",'INPUT DATA'!S60=""),"",'INPUT DATA'!S60),"")</f>
        <v/>
      </c>
      <c r="D117" s="404"/>
      <c r="E117" s="405"/>
      <c r="F117" s="405"/>
      <c r="G117" s="405"/>
      <c r="H117" s="405"/>
      <c r="I117" s="405"/>
      <c r="J117" s="405"/>
      <c r="K117" s="405"/>
      <c r="L117" s="405"/>
      <c r="M117" s="406"/>
      <c r="N117" s="407" t="str">
        <f t="shared" si="13"/>
        <v/>
      </c>
      <c r="O117" s="408" t="str">
        <f t="shared" si="14"/>
        <v/>
      </c>
      <c r="P117" s="409" t="str">
        <f t="shared" si="15"/>
        <v/>
      </c>
      <c r="Q117" s="404"/>
      <c r="R117" s="405"/>
      <c r="S117" s="405"/>
      <c r="T117" s="405"/>
      <c r="U117" s="405"/>
      <c r="V117" s="405"/>
      <c r="W117" s="405"/>
      <c r="X117" s="405"/>
      <c r="Y117" s="405"/>
      <c r="Z117" s="406"/>
      <c r="AA117" s="407" t="str">
        <f t="shared" si="16"/>
        <v/>
      </c>
      <c r="AB117" s="408" t="str">
        <f t="shared" si="17"/>
        <v/>
      </c>
      <c r="AC117" s="409" t="str">
        <f t="shared" si="18"/>
        <v/>
      </c>
      <c r="AD117" s="404"/>
      <c r="AE117" s="405"/>
      <c r="AF117" s="406"/>
      <c r="AG117" s="410" t="str">
        <f t="shared" si="19"/>
        <v/>
      </c>
      <c r="AH117" s="408" t="str">
        <f t="shared" si="20"/>
        <v/>
      </c>
      <c r="AI117" s="411" t="str">
        <f t="shared" si="21"/>
        <v/>
      </c>
      <c r="AJ117" s="410" t="str">
        <f t="shared" si="22"/>
        <v/>
      </c>
      <c r="AK117" s="412" t="str">
        <f t="shared" si="23"/>
        <v/>
      </c>
      <c r="AL117" s="413" t="str">
        <f t="shared" si="12"/>
        <v/>
      </c>
      <c r="AM117" s="214" t="str">
        <f>IFERROR(_xlfn.XLOOKUP(AL117,HELPER!$C$7:$C$47,HELPER!$D$7:$D$47,,1),"")</f>
        <v/>
      </c>
    </row>
    <row r="118" spans="2:39">
      <c r="B118" s="10" t="s">
        <v>188</v>
      </c>
      <c r="C118" s="10"/>
      <c r="D118" s="10" t="s">
        <v>188</v>
      </c>
      <c r="E118" s="10" t="s">
        <v>188</v>
      </c>
      <c r="F118" s="10" t="s">
        <v>188</v>
      </c>
      <c r="G118" s="10" t="s">
        <v>188</v>
      </c>
      <c r="H118" s="10" t="s">
        <v>188</v>
      </c>
      <c r="I118" s="10" t="s">
        <v>188</v>
      </c>
      <c r="J118" s="10" t="s">
        <v>188</v>
      </c>
      <c r="K118" s="10" t="s">
        <v>188</v>
      </c>
      <c r="L118" s="10" t="s">
        <v>188</v>
      </c>
      <c r="M118" s="10" t="s">
        <v>188</v>
      </c>
      <c r="N118" s="10" t="s">
        <v>188</v>
      </c>
      <c r="O118" s="10" t="s">
        <v>188</v>
      </c>
      <c r="P118" s="10" t="s">
        <v>188</v>
      </c>
      <c r="Q118" s="10" t="s">
        <v>188</v>
      </c>
      <c r="R118" s="10" t="s">
        <v>188</v>
      </c>
      <c r="S118" s="10" t="s">
        <v>188</v>
      </c>
      <c r="T118" s="10" t="s">
        <v>188</v>
      </c>
      <c r="U118" s="10" t="s">
        <v>188</v>
      </c>
      <c r="V118" s="10" t="s">
        <v>188</v>
      </c>
      <c r="W118" s="10" t="s">
        <v>188</v>
      </c>
      <c r="X118" s="10" t="s">
        <v>188</v>
      </c>
      <c r="Y118" s="10" t="s">
        <v>188</v>
      </c>
      <c r="Z118" s="10" t="s">
        <v>188</v>
      </c>
      <c r="AA118" s="10" t="s">
        <v>188</v>
      </c>
      <c r="AB118" s="10" t="s">
        <v>188</v>
      </c>
      <c r="AC118" s="10" t="s">
        <v>188</v>
      </c>
      <c r="AD118" s="10" t="s">
        <v>188</v>
      </c>
      <c r="AE118" s="10" t="s">
        <v>188</v>
      </c>
      <c r="AF118" s="10" t="s">
        <v>188</v>
      </c>
      <c r="AG118" s="10" t="s">
        <v>188</v>
      </c>
      <c r="AH118" s="10" t="s">
        <v>188</v>
      </c>
      <c r="AI118" s="10" t="s">
        <v>188</v>
      </c>
      <c r="AJ118" s="10" t="s">
        <v>188</v>
      </c>
      <c r="AK118" s="10" t="s">
        <v>188</v>
      </c>
      <c r="AL118" s="10" t="s">
        <v>188</v>
      </c>
      <c r="AM118" s="10" t="s">
        <v>188</v>
      </c>
    </row>
    <row r="119" ht="60.5" customHeight="1"/>
    <row r="120" hidden="1" spans="2:39">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0JBQbCHazDT6gClVzi4y5B+u+AZToSUKA0oVzLtb5pAlS8bV5g5Ht3AUuJObWBUDFkhBqM2/mX1nk8sZp7Xk0Q==" saltValue="jNUgeicYx7Gx0CRhrK/XTg==" spinCount="100000" sheet="1" formatCells="0" formatColumns="0" formatRows="0" autoFilter="0"/>
  <autoFilter xmlns:etc="http://www.wps.cn/officeDocument/2017/etCustomData" ref="C15:C118" etc:filterBottomFollowUsedRange="0">
    <extLst/>
  </autoFilter>
  <mergeCells count="26">
    <mergeCell ref="H6:M6"/>
    <mergeCell ref="P6:T6"/>
    <mergeCell ref="AA6:AC6"/>
    <mergeCell ref="H7:T7"/>
    <mergeCell ref="AA7:AC7"/>
    <mergeCell ref="D9:G9"/>
    <mergeCell ref="H9:I9"/>
    <mergeCell ref="J9:M9"/>
    <mergeCell ref="N9:P9"/>
    <mergeCell ref="Q9:T9"/>
    <mergeCell ref="U9:AM9"/>
    <mergeCell ref="D10:G10"/>
    <mergeCell ref="H10:P10"/>
    <mergeCell ref="Q10:T10"/>
    <mergeCell ref="U10:AG10"/>
    <mergeCell ref="AH10:AI10"/>
    <mergeCell ref="D11:P11"/>
    <mergeCell ref="Q11:AC11"/>
    <mergeCell ref="AD11:AK11"/>
    <mergeCell ref="D12:P12"/>
    <mergeCell ref="Q12:AC12"/>
    <mergeCell ref="AD12:AK12"/>
    <mergeCell ref="B14:C14"/>
    <mergeCell ref="AL11:AL14"/>
    <mergeCell ref="AM11:AM14"/>
    <mergeCell ref="B9:C13"/>
  </mergeCells>
  <conditionalFormatting sqref="B8:AM8">
    <cfRule type="expression" dxfId="9" priority="70">
      <formula>$B$8="INCORRECT SHEET. Do not use this sheet to input data."</formula>
    </cfRule>
  </conditionalFormatting>
  <conditionalFormatting sqref="AD13:AF13">
    <cfRule type="expression" dxfId="10" priority="21">
      <formula>$AG$14&lt;&gt;""</formula>
    </cfRule>
  </conditionalFormatting>
  <conditionalFormatting sqref="AF13">
    <cfRule type="expression" dxfId="10" priority="20">
      <formula>$AG$14=""</formula>
    </cfRule>
  </conditionalFormatting>
  <conditionalFormatting sqref="C68:C117">
    <cfRule type="expression" dxfId="11" priority="7">
      <formula>$AM68&lt;75</formula>
    </cfRule>
  </conditionalFormatting>
  <conditionalFormatting sqref="AJ17:AJ66">
    <cfRule type="expression" dxfId="12" priority="4">
      <formula>$AJ17&lt;70</formula>
    </cfRule>
  </conditionalFormatting>
  <conditionalFormatting sqref="AJ68:AJ117">
    <cfRule type="expression" dxfId="12" priority="2">
      <formula>$AJ68&lt;70</formula>
    </cfRule>
  </conditionalFormatting>
  <conditionalFormatting sqref="AM68:AM117">
    <cfRule type="expression" dxfId="11" priority="1">
      <formula>$AM68&lt;75</formula>
    </cfRule>
  </conditionalFormatting>
  <conditionalFormatting sqref="B9:AM14">
    <cfRule type="expression" dxfId="13" priority="8">
      <formula>$B$8="INCORRECT SHEET. Do not use this sheet to input data."</formula>
    </cfRule>
  </conditionalFormatting>
  <conditionalFormatting sqref="AD11:AK14">
    <cfRule type="expression" dxfId="14" priority="6">
      <formula>$AD$12=0</formula>
    </cfRule>
  </conditionalFormatting>
  <conditionalFormatting sqref="AD13:AE14">
    <cfRule type="expression" dxfId="15" priority="19">
      <formula>$AG$14=""</formula>
    </cfRule>
  </conditionalFormatting>
  <conditionalFormatting sqref="AD13:AF14">
    <cfRule type="expression" dxfId="15" priority="12">
      <formula>$AD$14=0</formula>
    </cfRule>
  </conditionalFormatting>
  <conditionalFormatting sqref="C17:C66 AM17:AM66">
    <cfRule type="expression" dxfId="11" priority="14">
      <formula>$AM17&lt;75</formula>
    </cfRule>
  </conditionalFormatting>
  <conditionalFormatting sqref="D17:M66 D68:M117">
    <cfRule type="expression" dxfId="16" priority="18">
      <formula>D$14=""</formula>
    </cfRule>
  </conditionalFormatting>
  <conditionalFormatting sqref="N17:P66 N68:P117">
    <cfRule type="expression" dxfId="17" priority="16">
      <formula>$O17&lt;70</formula>
    </cfRule>
  </conditionalFormatting>
  <conditionalFormatting sqref="O17:O66 O68:O117">
    <cfRule type="expression" dxfId="12" priority="11">
      <formula>$O17&lt;70</formula>
    </cfRule>
  </conditionalFormatting>
  <conditionalFormatting sqref="Q17:Z66 Q68:Z117">
    <cfRule type="expression" dxfId="18" priority="17">
      <formula>Q$14=""</formula>
    </cfRule>
  </conditionalFormatting>
  <conditionalFormatting sqref="AA17:AC66 AA68:AC117">
    <cfRule type="expression" dxfId="17" priority="10">
      <formula>$AB17&lt;70</formula>
    </cfRule>
  </conditionalFormatting>
  <conditionalFormatting sqref="AB17:AB66 AB68:AB117">
    <cfRule type="expression" dxfId="12" priority="9">
      <formula>$AB17&lt;70</formula>
    </cfRule>
  </conditionalFormatting>
  <conditionalFormatting sqref="AD17:AF66 AD68:AF117">
    <cfRule type="expression" dxfId="18" priority="13">
      <formula>AD$14=""</formula>
    </cfRule>
  </conditionalFormatting>
  <conditionalFormatting sqref="AJ17:AK66">
    <cfRule type="expression" dxfId="17" priority="5">
      <formula>$AJ17&lt;70</formula>
    </cfRule>
  </conditionalFormatting>
  <conditionalFormatting sqref="AJ68:AK117">
    <cfRule type="expression" dxfId="17" priority="3">
      <formula>$AJ68&lt;70</formula>
    </cfRule>
  </conditionalFormatting>
  <dataValidations count="1">
    <dataValidation type="list" allowBlank="1" showInputMessage="1" showErrorMessage="1" sqref="D17:M117 Q17:Z117 AD17:AF117">
      <formula1>_xlfn.ANCHORARRAY(D$120)</formula1>
    </dataValidation>
  </dataValidation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70C0"/>
  </sheetPr>
  <dimension ref="B1:AM120"/>
  <sheetViews>
    <sheetView showGridLines="0" zoomScale="85" zoomScaleNormal="85" workbookViewId="0">
      <pane ySplit="15" topLeftCell="A16" activePane="bottomLeft" state="frozen"/>
      <selection/>
      <selection pane="bottomLeft" activeCell="C17" sqref="C17"/>
    </sheetView>
  </sheetViews>
  <sheetFormatPr defaultColWidth="0" defaultRowHeight="13.8" customHeight="1" zeroHeight="1"/>
  <cols>
    <col min="1" max="2" width="3.62962962962963" style="2" customWidth="1"/>
    <col min="3" max="3" width="36.6296296296296" style="2" customWidth="1"/>
    <col min="4" max="13" width="4.36111111111111" style="2" customWidth="1"/>
    <col min="14" max="16" width="6.62962962962963" style="2" customWidth="1"/>
    <col min="17" max="26" width="4.36111111111111" style="2" customWidth="1"/>
    <col min="27" max="28" width="6.62962962962963" style="2" customWidth="1"/>
    <col min="29" max="29" width="6.62962962962963" style="16" customWidth="1"/>
    <col min="30" max="32" width="4.36111111111111" style="2" customWidth="1"/>
    <col min="33" max="37" width="6.62962962962963" style="2" customWidth="1"/>
    <col min="38" max="39" width="8.62962962962963" style="2" customWidth="1"/>
    <col min="40" max="40" width="3.62962962962963" style="2" customWidth="1"/>
    <col min="41" max="45" width="3.62962962962963" style="2" hidden="1" customWidth="1"/>
    <col min="46" max="16384" width="9.17592592592593" style="2" hidden="1"/>
  </cols>
  <sheetData>
    <row r="1"/>
    <row r="2" ht="28.2" spans="2:39">
      <c r="B2" s="269" t="s">
        <v>170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270"/>
      <c r="AD2" s="173"/>
      <c r="AE2" s="173"/>
      <c r="AF2" s="173"/>
      <c r="AG2" s="173"/>
      <c r="AH2" s="173"/>
      <c r="AI2" s="173"/>
      <c r="AJ2" s="173"/>
      <c r="AK2" s="173"/>
      <c r="AL2" s="173"/>
      <c r="AM2" s="173"/>
    </row>
    <row r="3" spans="2:39">
      <c r="B3" s="271" t="s">
        <v>171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270"/>
      <c r="AD3" s="173"/>
      <c r="AE3" s="173"/>
      <c r="AF3" s="173"/>
      <c r="AG3" s="173"/>
      <c r="AH3" s="173"/>
      <c r="AI3" s="173"/>
      <c r="AJ3" s="173"/>
      <c r="AK3" s="173"/>
      <c r="AL3" s="173"/>
      <c r="AM3" s="173"/>
    </row>
    <row r="4"/>
    <row r="5"/>
    <row r="6" spans="2:39">
      <c r="G6" s="174" t="s">
        <v>7</v>
      </c>
      <c r="H6" s="176" t="str">
        <f>UPPER('INPUT DATA'!F10)</f>
        <v>REGION IV-A </v>
      </c>
      <c r="I6" s="176"/>
      <c r="J6" s="176"/>
      <c r="K6" s="176"/>
      <c r="L6" s="176"/>
      <c r="M6" s="176"/>
      <c r="O6" s="174" t="s">
        <v>10</v>
      </c>
      <c r="P6" s="176" t="str">
        <f>UPPER('INPUT DATA'!F11)</f>
        <v>CALAMBA CITY</v>
      </c>
      <c r="Q6" s="176"/>
      <c r="R6" s="176"/>
      <c r="S6" s="176"/>
      <c r="T6" s="176"/>
      <c r="Z6" s="174" t="s">
        <v>12</v>
      </c>
      <c r="AA6" s="176">
        <f>IF('INPUT DATA'!F13="","",'INPUT DATA'!F13)</f>
        <v>301518</v>
      </c>
      <c r="AB6" s="176"/>
      <c r="AC6" s="176"/>
    </row>
    <row r="7" spans="2:39">
      <c r="G7" s="174" t="s">
        <v>14</v>
      </c>
      <c r="H7" s="177" t="str">
        <f>UPPER('INPUT DATA'!F14)</f>
        <v>EDUARDO BARRETTO SR. INTEGRATED SCHOOL</v>
      </c>
      <c r="I7" s="178"/>
      <c r="J7" s="178"/>
      <c r="K7" s="178"/>
      <c r="L7" s="178"/>
      <c r="M7" s="178"/>
      <c r="N7" s="178"/>
      <c r="O7" s="178"/>
      <c r="P7" s="178"/>
      <c r="Q7" s="178"/>
      <c r="R7" s="178"/>
      <c r="S7" s="178"/>
      <c r="T7" s="179"/>
      <c r="Z7" s="174" t="s">
        <v>16</v>
      </c>
      <c r="AA7" s="176" t="str">
        <f>'INPUT DATA'!F16&amp;"    "&amp;'INPUT DATA'!G16</f>
        <v>2026    –    2027</v>
      </c>
      <c r="AB7" s="176"/>
      <c r="AC7" s="176"/>
    </row>
    <row r="8" ht="14.55" spans="2:39">
      <c r="B8" s="272" t="str">
        <f>IF(OR(HELPER!G23="3RD",HELPER!G23="2ND &amp; 3RD",HELPER!G23="1ST, 2ND, 3RD"),"","INCORRECT SHEET. Do not use this sheet to input data.")</f>
        <v/>
      </c>
      <c r="C8" s="10"/>
    </row>
    <row r="9" ht="20.5" customHeight="1" spans="2:39">
      <c r="B9" s="273" t="s">
        <v>190</v>
      </c>
      <c r="C9" s="274"/>
      <c r="D9" s="275" t="s">
        <v>23</v>
      </c>
      <c r="E9" s="276"/>
      <c r="F9" s="276"/>
      <c r="G9" s="276"/>
      <c r="H9" s="277">
        <f>IFERROR(IF(B8&lt;&gt;"INCORRECT SHEET. Do not use this sheet to input data.",'INPUT DATA'!F24,""),"")</f>
        <v>11</v>
      </c>
      <c r="I9" s="277"/>
      <c r="J9" s="278" t="s">
        <v>172</v>
      </c>
      <c r="K9" s="279"/>
      <c r="L9" s="279"/>
      <c r="M9" s="280"/>
      <c r="N9" s="184" t="str">
        <f>IFERROR(IF(B8&lt;&gt;"INCORRECT SHEET. Do not use this sheet to input data.",UPPER('INPUT DATA'!F25),""),"")</f>
        <v>MILKY WAY</v>
      </c>
      <c r="O9" s="185"/>
      <c r="P9" s="281"/>
      <c r="Q9" s="282" t="s">
        <v>32</v>
      </c>
      <c r="R9" s="282"/>
      <c r="S9" s="282"/>
      <c r="T9" s="282"/>
      <c r="U9" s="283" t="str">
        <f>IFERROR(IF(B8&lt;&gt;"INCORRECT SHEET. Do not use this sheet to input data.",UPPER(HELPER!G10),""),"")</f>
        <v>GENERAL MATHEMATICS</v>
      </c>
      <c r="V9" s="284"/>
      <c r="W9" s="284"/>
      <c r="X9" s="284"/>
      <c r="Y9" s="284"/>
      <c r="Z9" s="284"/>
      <c r="AA9" s="284"/>
      <c r="AB9" s="284"/>
      <c r="AC9" s="284"/>
      <c r="AD9" s="284"/>
      <c r="AE9" s="284"/>
      <c r="AF9" s="284"/>
      <c r="AG9" s="284"/>
      <c r="AH9" s="284"/>
      <c r="AI9" s="284"/>
      <c r="AJ9" s="284"/>
      <c r="AK9" s="284"/>
      <c r="AL9" s="284"/>
      <c r="AM9" s="285"/>
    </row>
    <row r="10" ht="16.5" customHeight="1" spans="2:39">
      <c r="B10" s="286"/>
      <c r="C10" s="287"/>
      <c r="D10" s="288" t="s">
        <v>21</v>
      </c>
      <c r="E10" s="289"/>
      <c r="F10" s="289"/>
      <c r="G10" s="289"/>
      <c r="H10" s="290" t="str">
        <f>IFERROR(IF(B8&lt;&gt;"INCORRECT SHEET. Do not use this sheet to input data.",UPPER('INPUT DATA'!F22),""),"")</f>
        <v>KAREN P. GONZAGA</v>
      </c>
      <c r="I10" s="291"/>
      <c r="J10" s="291"/>
      <c r="K10" s="291"/>
      <c r="L10" s="291"/>
      <c r="M10" s="291"/>
      <c r="N10" s="291"/>
      <c r="O10" s="291"/>
      <c r="P10" s="292"/>
      <c r="Q10" s="289" t="s">
        <v>30</v>
      </c>
      <c r="R10" s="289"/>
      <c r="S10" s="289"/>
      <c r="T10" s="289"/>
      <c r="U10" s="290" t="str">
        <f>IFERROR(IF(B8&lt;&gt;"INCORRECT SHEET. Do not use this sheet to input data.",UPPER(HELPER!G9),""),"")</f>
        <v>CORE</v>
      </c>
      <c r="V10" s="291"/>
      <c r="W10" s="291"/>
      <c r="X10" s="291"/>
      <c r="Y10" s="291"/>
      <c r="Z10" s="291"/>
      <c r="AA10" s="291"/>
      <c r="AB10" s="291"/>
      <c r="AC10" s="291"/>
      <c r="AD10" s="291"/>
      <c r="AE10" s="291"/>
      <c r="AF10" s="291"/>
      <c r="AG10" s="292"/>
      <c r="AH10" s="293" t="s">
        <v>173</v>
      </c>
      <c r="AI10" s="293"/>
      <c r="AJ10" s="222">
        <f>IFERROR(IF(B8&lt;&gt;"INCORRECT SHEET. Do not use this sheet to input data.",HELPER!G27,""),"")</f>
        <v>2</v>
      </c>
      <c r="AK10" s="931" t="s">
        <v>174</v>
      </c>
      <c r="AL10" s="295">
        <f>IFERROR(IF(B8&lt;&gt;"INCORRECT SHEET. Do not use this sheet to input data.",HELPER!G28,""),"")</f>
        <v>6</v>
      </c>
      <c r="AM10" s="932" t="s">
        <v>175</v>
      </c>
    </row>
    <row r="11" ht="20.5" customHeight="1" spans="2:39">
      <c r="B11" s="286"/>
      <c r="C11" s="287"/>
      <c r="D11" s="297" t="s">
        <v>176</v>
      </c>
      <c r="E11" s="298"/>
      <c r="F11" s="298"/>
      <c r="G11" s="298"/>
      <c r="H11" s="298"/>
      <c r="I11" s="298"/>
      <c r="J11" s="298"/>
      <c r="K11" s="298"/>
      <c r="L11" s="298"/>
      <c r="M11" s="298"/>
      <c r="N11" s="298"/>
      <c r="O11" s="298"/>
      <c r="P11" s="299"/>
      <c r="Q11" s="297" t="s">
        <v>177</v>
      </c>
      <c r="R11" s="298"/>
      <c r="S11" s="298"/>
      <c r="T11" s="298"/>
      <c r="U11" s="298"/>
      <c r="V11" s="298"/>
      <c r="W11" s="298"/>
      <c r="X11" s="298"/>
      <c r="Y11" s="298"/>
      <c r="Z11" s="298"/>
      <c r="AA11" s="298"/>
      <c r="AB11" s="298"/>
      <c r="AC11" s="299"/>
      <c r="AD11" s="297" t="s">
        <v>178</v>
      </c>
      <c r="AE11" s="298"/>
      <c r="AF11" s="298"/>
      <c r="AG11" s="298"/>
      <c r="AH11" s="298"/>
      <c r="AI11" s="298"/>
      <c r="AJ11" s="298"/>
      <c r="AK11" s="300"/>
      <c r="AL11" s="301" t="s">
        <v>179</v>
      </c>
      <c r="AM11" s="302" t="s">
        <v>180</v>
      </c>
    </row>
    <row r="12" ht="21" customHeight="1" spans="2:39">
      <c r="B12" s="286"/>
      <c r="C12" s="287"/>
      <c r="D12" s="303">
        <f>IF($U$9&lt;&gt;"",IFERROR(_xlfn.IFNA(HELPER!G13/100,""),""),"")</f>
        <v>0.2</v>
      </c>
      <c r="E12" s="304"/>
      <c r="F12" s="304"/>
      <c r="G12" s="304"/>
      <c r="H12" s="304"/>
      <c r="I12" s="304"/>
      <c r="J12" s="304"/>
      <c r="K12" s="304"/>
      <c r="L12" s="304"/>
      <c r="M12" s="304"/>
      <c r="N12" s="304"/>
      <c r="O12" s="304"/>
      <c r="P12" s="305"/>
      <c r="Q12" s="306">
        <f>IF($U$9&lt;&gt;"",IFERROR(_xlfn.IFNA(HELPER!G14/100,""),""),"")</f>
        <v>0.5</v>
      </c>
      <c r="R12" s="307"/>
      <c r="S12" s="307"/>
      <c r="T12" s="307"/>
      <c r="U12" s="307"/>
      <c r="V12" s="307"/>
      <c r="W12" s="307"/>
      <c r="X12" s="307"/>
      <c r="Y12" s="307"/>
      <c r="Z12" s="307"/>
      <c r="AA12" s="307"/>
      <c r="AB12" s="307"/>
      <c r="AC12" s="308"/>
      <c r="AD12" s="306">
        <f>IF($U$9&lt;&gt;"",IFERROR(_xlfn.IFNA(HELPER!G15/100,""),""),"")</f>
        <v>0.3</v>
      </c>
      <c r="AE12" s="307"/>
      <c r="AF12" s="307"/>
      <c r="AG12" s="307"/>
      <c r="AH12" s="307"/>
      <c r="AI12" s="307"/>
      <c r="AJ12" s="307"/>
      <c r="AK12" s="309"/>
      <c r="AL12" s="310"/>
      <c r="AM12" s="311"/>
    </row>
    <row r="13" ht="14.5" customHeight="1" spans="2:39">
      <c r="B13" s="286"/>
      <c r="C13" s="287"/>
      <c r="D13" s="312">
        <v>1</v>
      </c>
      <c r="E13" s="313">
        <v>2</v>
      </c>
      <c r="F13" s="313">
        <v>3</v>
      </c>
      <c r="G13" s="313">
        <v>4</v>
      </c>
      <c r="H13" s="313">
        <v>5</v>
      </c>
      <c r="I13" s="314">
        <v>6</v>
      </c>
      <c r="J13" s="314">
        <v>7</v>
      </c>
      <c r="K13" s="314">
        <v>8</v>
      </c>
      <c r="L13" s="314">
        <v>9</v>
      </c>
      <c r="M13" s="315">
        <v>10</v>
      </c>
      <c r="N13" s="316" t="s">
        <v>181</v>
      </c>
      <c r="O13" s="317" t="s">
        <v>96</v>
      </c>
      <c r="P13" s="318" t="s">
        <v>93</v>
      </c>
      <c r="Q13" s="312">
        <v>1</v>
      </c>
      <c r="R13" s="313">
        <v>2</v>
      </c>
      <c r="S13" s="313">
        <v>3</v>
      </c>
      <c r="T13" s="314">
        <v>4</v>
      </c>
      <c r="U13" s="314">
        <v>5</v>
      </c>
      <c r="V13" s="314">
        <v>6</v>
      </c>
      <c r="W13" s="314">
        <v>7</v>
      </c>
      <c r="X13" s="314">
        <v>8</v>
      </c>
      <c r="Y13" s="314">
        <v>9</v>
      </c>
      <c r="Z13" s="315">
        <v>10</v>
      </c>
      <c r="AA13" s="316" t="s">
        <v>181</v>
      </c>
      <c r="AB13" s="317" t="s">
        <v>96</v>
      </c>
      <c r="AC13" s="318" t="s">
        <v>93</v>
      </c>
      <c r="AD13" s="319" t="s">
        <v>182</v>
      </c>
      <c r="AE13" s="314" t="s">
        <v>183</v>
      </c>
      <c r="AF13" s="315" t="s">
        <v>184</v>
      </c>
      <c r="AG13" s="316" t="s">
        <v>185</v>
      </c>
      <c r="AH13" s="317" t="s">
        <v>186</v>
      </c>
      <c r="AI13" s="318" t="s">
        <v>187</v>
      </c>
      <c r="AJ13" s="316" t="s">
        <v>96</v>
      </c>
      <c r="AK13" s="320" t="s">
        <v>93</v>
      </c>
      <c r="AL13" s="310"/>
      <c r="AM13" s="311"/>
    </row>
    <row r="14" spans="2:39">
      <c r="B14" s="321" t="s">
        <v>70</v>
      </c>
      <c r="C14" s="322"/>
      <c r="D14" s="323"/>
      <c r="E14" s="324"/>
      <c r="F14" s="324"/>
      <c r="G14" s="324"/>
      <c r="H14" s="324"/>
      <c r="I14" s="324"/>
      <c r="J14" s="324"/>
      <c r="K14" s="324"/>
      <c r="L14" s="324"/>
      <c r="M14" s="325"/>
      <c r="N14" s="326">
        <f>SUM(D14:M14)</f>
        <v>0</v>
      </c>
      <c r="O14" s="327">
        <v>100</v>
      </c>
      <c r="P14" s="328">
        <f>D12</f>
        <v>0.2</v>
      </c>
      <c r="Q14" s="323"/>
      <c r="R14" s="324"/>
      <c r="S14" s="324"/>
      <c r="T14" s="324"/>
      <c r="U14" s="324"/>
      <c r="V14" s="324"/>
      <c r="W14" s="324"/>
      <c r="X14" s="324"/>
      <c r="Y14" s="324"/>
      <c r="Z14" s="325"/>
      <c r="AA14" s="326">
        <f>SUM(Q14:Z14)</f>
        <v>0</v>
      </c>
      <c r="AB14" s="327">
        <v>100</v>
      </c>
      <c r="AC14" s="328">
        <f>Q12</f>
        <v>0.5</v>
      </c>
      <c r="AD14" s="323"/>
      <c r="AE14" s="324"/>
      <c r="AF14" s="325"/>
      <c r="AG14" s="329">
        <f>_xlfn.IFNA(HELPER!G17,"")</f>
        <v>30</v>
      </c>
      <c r="AH14" s="329">
        <f>_xlfn.IFNA(HELPER!G18,"")</f>
        <v>30</v>
      </c>
      <c r="AI14" s="329">
        <f>_xlfn.IFNA(HELPER!G19,"")</f>
        <v>40</v>
      </c>
      <c r="AJ14" s="326">
        <f>IF(AD12=0,"",100)</f>
        <v>100</v>
      </c>
      <c r="AK14" s="330">
        <f>AD12</f>
        <v>0.3</v>
      </c>
      <c r="AL14" s="310"/>
      <c r="AM14" s="311"/>
    </row>
    <row r="15" ht="18" spans="2:39">
      <c r="B15" s="331" t="s">
        <v>43</v>
      </c>
      <c r="C15" s="332"/>
      <c r="D15" s="333"/>
      <c r="E15" s="334"/>
      <c r="F15" s="334"/>
      <c r="G15" s="334"/>
      <c r="H15" s="334"/>
      <c r="I15" s="334"/>
      <c r="J15" s="334"/>
      <c r="K15" s="334"/>
      <c r="L15" s="334"/>
      <c r="M15" s="335"/>
      <c r="N15" s="333"/>
      <c r="O15" s="334"/>
      <c r="P15" s="336"/>
      <c r="Q15" s="333"/>
      <c r="R15" s="334"/>
      <c r="S15" s="334"/>
      <c r="T15" s="334"/>
      <c r="U15" s="334"/>
      <c r="V15" s="334"/>
      <c r="W15" s="334"/>
      <c r="X15" s="334"/>
      <c r="Y15" s="334"/>
      <c r="Z15" s="335"/>
      <c r="AA15" s="333"/>
      <c r="AB15" s="334"/>
      <c r="AC15" s="336"/>
      <c r="AD15" s="333"/>
      <c r="AE15" s="334"/>
      <c r="AF15" s="335"/>
      <c r="AG15" s="333"/>
      <c r="AH15" s="334"/>
      <c r="AI15" s="336"/>
      <c r="AJ15" s="333"/>
      <c r="AK15" s="337"/>
      <c r="AL15" s="333"/>
      <c r="AM15" s="336"/>
    </row>
    <row r="16" ht="14.55" spans="2:39">
      <c r="B16" s="338" t="s">
        <v>44</v>
      </c>
      <c r="C16" s="339"/>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1"/>
      <c r="AM16" s="342"/>
    </row>
    <row r="17" spans="2:39">
      <c r="B17" s="343">
        <v>1</v>
      </c>
      <c r="C17" s="344" t="str">
        <f>IFERROR(IF(OR($B$8="INCORRECT SHEET. Do not use this sheet to input data.",'INPUT DATA'!O11=""),"",'INPUT DATA'!O11),"")</f>
        <v>CALICA, LJAY</v>
      </c>
      <c r="D17" s="345"/>
      <c r="E17" s="346"/>
      <c r="F17" s="346"/>
      <c r="G17" s="346"/>
      <c r="H17" s="346"/>
      <c r="I17" s="346"/>
      <c r="J17" s="346"/>
      <c r="K17" s="346"/>
      <c r="L17" s="346"/>
      <c r="M17" s="347"/>
      <c r="N17" s="348" t="str">
        <f>IF(COUNT(D17:M17)=0,"",SUM(D17:M17))</f>
        <v/>
      </c>
      <c r="O17" s="349" t="str">
        <f>IFERROR(IF(N17="","",ROUND(N17/N$14*O$14,2)),"")</f>
        <v/>
      </c>
      <c r="P17" s="350" t="str">
        <f>IFERROR(IF(O17="","",ROUND(O17*P$14,2)),"")</f>
        <v/>
      </c>
      <c r="Q17" s="345"/>
      <c r="R17" s="346"/>
      <c r="S17" s="346"/>
      <c r="T17" s="346"/>
      <c r="U17" s="346"/>
      <c r="V17" s="346"/>
      <c r="W17" s="346"/>
      <c r="X17" s="346"/>
      <c r="Y17" s="346"/>
      <c r="Z17" s="347"/>
      <c r="AA17" s="348" t="str">
        <f>IF(COUNT(Q17:Z17)=0,"",SUM(Q17:Z17))</f>
        <v/>
      </c>
      <c r="AB17" s="349" t="str">
        <f>IFERROR(IF(AA17="","",ROUND(AA17/AA$14*AB$14,2)),"")</f>
        <v/>
      </c>
      <c r="AC17" s="350" t="str">
        <f>IFERROR(IF(AB17="","",ROUND(AB17*AC$14,2)),"")</f>
        <v/>
      </c>
      <c r="AD17" s="345"/>
      <c r="AE17" s="346"/>
      <c r="AF17" s="347"/>
      <c r="AG17" s="351" t="str">
        <f>IFERROR(IF(AD17="","",ROUND(AD17/$AD$14*$AG$14,2)),"")</f>
        <v/>
      </c>
      <c r="AH17" s="349" t="str">
        <f>IFERROR(IF(AE17="","",ROUND(AE17/$AE$14*$AH$14,2)),"")</f>
        <v/>
      </c>
      <c r="AI17" s="352" t="str">
        <f>IFERROR(IF(AF17="","",ROUND(AF17/$AF$14*$AI$14,2)),"")</f>
        <v/>
      </c>
      <c r="AJ17" s="351" t="str">
        <f>IF($AD$12=0,"",IF(OR(AG17&lt;&gt;"",AH17&lt;&gt;"",AI17&lt;&gt;""),(SUM(AG17:AI17)/SUM($AG$14:$AI$14))*$AJ$14,""))</f>
        <v/>
      </c>
      <c r="AK17" s="353" t="str">
        <f>IFERROR(IF(AJ17="","",ROUND(AJ17*$AK$14,2)),"")</f>
        <v/>
      </c>
      <c r="AL17" s="354" t="str">
        <f>IF(AND(C17&lt;&gt;"",P17&lt;&gt;"",AC17&lt;&gt;"",$AD$12=0),SUM(P17,AC17),IF(AND(C17&lt;&gt;"",P17&lt;&gt;"",AC17&lt;&gt;"",AK17&lt;&gt;"",$D$12&gt;0,$Q$12&gt;0,$AD$12&gt;0),SUM(P17,AC17,AK17),""))</f>
        <v/>
      </c>
      <c r="AM17" s="355" t="str">
        <f>IFERROR(_xlfn.XLOOKUP(AL17,HELPER!$C$7:$C$47,HELPER!$D$7:$D$47,,1),"")</f>
        <v/>
      </c>
    </row>
    <row r="18" spans="2:39">
      <c r="B18" s="356">
        <v>2</v>
      </c>
      <c r="C18" s="357" t="str">
        <f>IFERROR(IF(OR($B$8="INCORRECT SHEET. Do not use this sheet to input data.",'INPUT DATA'!O12=""),"",'INPUT DATA'!O12),"")</f>
        <v/>
      </c>
      <c r="D18" s="358"/>
      <c r="E18" s="359"/>
      <c r="F18" s="359"/>
      <c r="G18" s="359"/>
      <c r="H18" s="359"/>
      <c r="I18" s="359"/>
      <c r="J18" s="359"/>
      <c r="K18" s="359"/>
      <c r="L18" s="359"/>
      <c r="M18" s="360"/>
      <c r="N18" s="361" t="str">
        <f t="shared" ref="N18:N66" si="0">IF(COUNT(D18:M18)=0,"",SUM(D18:M18))</f>
        <v/>
      </c>
      <c r="O18" s="362" t="str">
        <f t="shared" ref="O18:O66" si="1">IFERROR(IF(N18="","",ROUND(N18/N$14*O$14,2)),"")</f>
        <v/>
      </c>
      <c r="P18" s="363" t="str">
        <f t="shared" ref="P18:P66" si="2">IFERROR(IF(O18="","",ROUND(O18*P$14,2)),"")</f>
        <v/>
      </c>
      <c r="Q18" s="358"/>
      <c r="R18" s="359"/>
      <c r="S18" s="359"/>
      <c r="T18" s="359"/>
      <c r="U18" s="359"/>
      <c r="V18" s="359"/>
      <c r="W18" s="359"/>
      <c r="X18" s="359"/>
      <c r="Y18" s="359"/>
      <c r="Z18" s="360"/>
      <c r="AA18" s="361" t="str">
        <f t="shared" ref="AA18:AA66" si="3">IF(COUNT(Q18:Z18)=0,"",SUM(Q18:Z18))</f>
        <v/>
      </c>
      <c r="AB18" s="362" t="str">
        <f t="shared" ref="AB18:AB66" si="4">IFERROR(IF(AA18="","",ROUND(AA18/AA$14*AB$14,2)),"")</f>
        <v/>
      </c>
      <c r="AC18" s="363" t="str">
        <f t="shared" ref="AC18:AC66" si="5">IFERROR(IF(AB18="","",ROUND(AB18*AC$14,2)),"")</f>
        <v/>
      </c>
      <c r="AD18" s="358"/>
      <c r="AE18" s="359"/>
      <c r="AF18" s="360"/>
      <c r="AG18" s="364" t="str">
        <f t="shared" ref="AG18:AG66" si="6">IFERROR(IF(AD18="","",ROUND(AD18/$AD$14*$AG$14,2)),"")</f>
        <v/>
      </c>
      <c r="AH18" s="362" t="str">
        <f t="shared" ref="AH18:AH66" si="7">IFERROR(IF(AE18="","",ROUND(AE18/$AE$14*$AH$14,2)),"")</f>
        <v/>
      </c>
      <c r="AI18" s="365" t="str">
        <f t="shared" ref="AI18:AI66" si="8">IFERROR(IF(AF18="","",ROUND(AF18/$AF$14*$AI$14,2)),"")</f>
        <v/>
      </c>
      <c r="AJ18" s="364" t="str">
        <f t="shared" ref="AJ18:AJ66" si="9">IF($AD$12=0,"",IF(OR(AG18&lt;&gt;"",AH18&lt;&gt;"",AI18&lt;&gt;""),(SUM(AG18:AI18)/SUM($AG$14:$AI$14))*$AJ$14,""))</f>
        <v/>
      </c>
      <c r="AK18" s="366" t="str">
        <f t="shared" ref="AK18:AK66" si="10">IFERROR(IF(AJ18="","",ROUND(AJ18*$AK$14,2)),"")</f>
        <v/>
      </c>
      <c r="AL18" s="367" t="str">
        <f t="shared" ref="AL18:AL66" si="11">IF(AND(C18&lt;&gt;"",P18&lt;&gt;"",AC18&lt;&gt;"",$AD$12=0),SUM(P18,AC18),IF(AND(C18&lt;&gt;"",P18&lt;&gt;"",AC18&lt;&gt;"",AK18&lt;&gt;"",$D$12&gt;0,$Q$12&gt;0,$AD$12&gt;0),SUM(P18,AC18,AK18),""))</f>
        <v/>
      </c>
      <c r="AM18" s="368" t="str">
        <f>IFERROR(_xlfn.XLOOKUP(AL18,HELPER!$C$7:$C$47,HELPER!$D$7:$D$47,,1),"")</f>
        <v/>
      </c>
    </row>
    <row r="19" spans="2:39">
      <c r="B19" s="356">
        <v>3</v>
      </c>
      <c r="C19" s="357" t="str">
        <f>IFERROR(IF(OR($B$8="INCORRECT SHEET. Do not use this sheet to input data.",'INPUT DATA'!O13=""),"",'INPUT DATA'!O13),"")</f>
        <v/>
      </c>
      <c r="D19" s="358"/>
      <c r="E19" s="359"/>
      <c r="F19" s="359"/>
      <c r="G19" s="359"/>
      <c r="H19" s="359"/>
      <c r="I19" s="359"/>
      <c r="J19" s="359"/>
      <c r="K19" s="359"/>
      <c r="L19" s="359"/>
      <c r="M19" s="360"/>
      <c r="N19" s="361" t="str">
        <f t="shared" si="0"/>
        <v/>
      </c>
      <c r="O19" s="362" t="str">
        <f t="shared" si="1"/>
        <v/>
      </c>
      <c r="P19" s="363" t="str">
        <f t="shared" si="2"/>
        <v/>
      </c>
      <c r="Q19" s="358"/>
      <c r="R19" s="359"/>
      <c r="S19" s="359"/>
      <c r="T19" s="359"/>
      <c r="U19" s="359"/>
      <c r="V19" s="359"/>
      <c r="W19" s="359"/>
      <c r="X19" s="359"/>
      <c r="Y19" s="359"/>
      <c r="Z19" s="360"/>
      <c r="AA19" s="361" t="str">
        <f t="shared" si="3"/>
        <v/>
      </c>
      <c r="AB19" s="362" t="str">
        <f t="shared" si="4"/>
        <v/>
      </c>
      <c r="AC19" s="363" t="str">
        <f t="shared" si="5"/>
        <v/>
      </c>
      <c r="AD19" s="358"/>
      <c r="AE19" s="359"/>
      <c r="AF19" s="360"/>
      <c r="AG19" s="364" t="str">
        <f t="shared" si="6"/>
        <v/>
      </c>
      <c r="AH19" s="362" t="str">
        <f t="shared" si="7"/>
        <v/>
      </c>
      <c r="AI19" s="365" t="str">
        <f t="shared" si="8"/>
        <v/>
      </c>
      <c r="AJ19" s="364" t="str">
        <f t="shared" si="9"/>
        <v/>
      </c>
      <c r="AK19" s="366" t="str">
        <f t="shared" si="10"/>
        <v/>
      </c>
      <c r="AL19" s="367" t="str">
        <f t="shared" si="11"/>
        <v/>
      </c>
      <c r="AM19" s="368" t="str">
        <f>IFERROR(_xlfn.XLOOKUP(AL19,HELPER!$C$7:$C$47,HELPER!$D$7:$D$47,,1),"")</f>
        <v/>
      </c>
    </row>
    <row r="20" spans="2:39">
      <c r="B20" s="356">
        <v>4</v>
      </c>
      <c r="C20" s="357" t="str">
        <f>IFERROR(IF(OR($B$8="INCORRECT SHEET. Do not use this sheet to input data.",'INPUT DATA'!O14=""),"",'INPUT DATA'!O14),"")</f>
        <v/>
      </c>
      <c r="D20" s="358"/>
      <c r="E20" s="359"/>
      <c r="F20" s="359"/>
      <c r="G20" s="359"/>
      <c r="H20" s="359"/>
      <c r="I20" s="359"/>
      <c r="J20" s="359"/>
      <c r="K20" s="359"/>
      <c r="L20" s="359"/>
      <c r="M20" s="360"/>
      <c r="N20" s="361" t="str">
        <f t="shared" si="0"/>
        <v/>
      </c>
      <c r="O20" s="362" t="str">
        <f t="shared" si="1"/>
        <v/>
      </c>
      <c r="P20" s="363" t="str">
        <f t="shared" si="2"/>
        <v/>
      </c>
      <c r="Q20" s="358"/>
      <c r="R20" s="359"/>
      <c r="S20" s="359"/>
      <c r="T20" s="359"/>
      <c r="U20" s="359"/>
      <c r="V20" s="359"/>
      <c r="W20" s="359"/>
      <c r="X20" s="359"/>
      <c r="Y20" s="359"/>
      <c r="Z20" s="360"/>
      <c r="AA20" s="361" t="str">
        <f t="shared" si="3"/>
        <v/>
      </c>
      <c r="AB20" s="362" t="str">
        <f t="shared" si="4"/>
        <v/>
      </c>
      <c r="AC20" s="363" t="str">
        <f t="shared" si="5"/>
        <v/>
      </c>
      <c r="AD20" s="358"/>
      <c r="AE20" s="359"/>
      <c r="AF20" s="360"/>
      <c r="AG20" s="364" t="str">
        <f t="shared" si="6"/>
        <v/>
      </c>
      <c r="AH20" s="362" t="str">
        <f t="shared" si="7"/>
        <v/>
      </c>
      <c r="AI20" s="365" t="str">
        <f t="shared" si="8"/>
        <v/>
      </c>
      <c r="AJ20" s="364" t="str">
        <f t="shared" si="9"/>
        <v/>
      </c>
      <c r="AK20" s="366" t="str">
        <f t="shared" si="10"/>
        <v/>
      </c>
      <c r="AL20" s="367" t="str">
        <f t="shared" si="11"/>
        <v/>
      </c>
      <c r="AM20" s="368" t="str">
        <f>IFERROR(_xlfn.XLOOKUP(AL20,HELPER!$C$7:$C$47,HELPER!$D$7:$D$47,,1),"")</f>
        <v/>
      </c>
    </row>
    <row r="21" spans="2:39">
      <c r="B21" s="356">
        <v>5</v>
      </c>
      <c r="C21" s="357" t="str">
        <f>IFERROR(IF(OR($B$8="INCORRECT SHEET. Do not use this sheet to input data.",'INPUT DATA'!O15=""),"",'INPUT DATA'!O15),"")</f>
        <v/>
      </c>
      <c r="D21" s="358"/>
      <c r="E21" s="359"/>
      <c r="F21" s="359"/>
      <c r="G21" s="359"/>
      <c r="H21" s="359"/>
      <c r="I21" s="359"/>
      <c r="J21" s="359"/>
      <c r="K21" s="359"/>
      <c r="L21" s="359"/>
      <c r="M21" s="360"/>
      <c r="N21" s="361" t="str">
        <f t="shared" si="0"/>
        <v/>
      </c>
      <c r="O21" s="362" t="str">
        <f t="shared" si="1"/>
        <v/>
      </c>
      <c r="P21" s="363" t="str">
        <f t="shared" si="2"/>
        <v/>
      </c>
      <c r="Q21" s="358"/>
      <c r="R21" s="359"/>
      <c r="S21" s="359"/>
      <c r="T21" s="359"/>
      <c r="U21" s="359"/>
      <c r="V21" s="359"/>
      <c r="W21" s="359"/>
      <c r="X21" s="359"/>
      <c r="Y21" s="359"/>
      <c r="Z21" s="360"/>
      <c r="AA21" s="361" t="str">
        <f t="shared" si="3"/>
        <v/>
      </c>
      <c r="AB21" s="362" t="str">
        <f t="shared" si="4"/>
        <v/>
      </c>
      <c r="AC21" s="363" t="str">
        <f t="shared" si="5"/>
        <v/>
      </c>
      <c r="AD21" s="358"/>
      <c r="AE21" s="359"/>
      <c r="AF21" s="360"/>
      <c r="AG21" s="364" t="str">
        <f t="shared" si="6"/>
        <v/>
      </c>
      <c r="AH21" s="362" t="str">
        <f t="shared" si="7"/>
        <v/>
      </c>
      <c r="AI21" s="365" t="str">
        <f t="shared" si="8"/>
        <v/>
      </c>
      <c r="AJ21" s="364" t="str">
        <f t="shared" si="9"/>
        <v/>
      </c>
      <c r="AK21" s="366" t="str">
        <f t="shared" si="10"/>
        <v/>
      </c>
      <c r="AL21" s="367" t="str">
        <f t="shared" si="11"/>
        <v/>
      </c>
      <c r="AM21" s="368" t="str">
        <f>IFERROR(_xlfn.XLOOKUP(AL21,HELPER!$C$7:$C$47,HELPER!$D$7:$D$47,,1),"")</f>
        <v/>
      </c>
    </row>
    <row r="22" spans="2:39">
      <c r="B22" s="356">
        <v>6</v>
      </c>
      <c r="C22" s="357" t="str">
        <f>IFERROR(IF(OR($B$8="INCORRECT SHEET. Do not use this sheet to input data.",'INPUT DATA'!O16=""),"",'INPUT DATA'!O16),"")</f>
        <v/>
      </c>
      <c r="D22" s="358"/>
      <c r="E22" s="359"/>
      <c r="F22" s="359"/>
      <c r="G22" s="359"/>
      <c r="H22" s="359"/>
      <c r="I22" s="359"/>
      <c r="J22" s="359"/>
      <c r="K22" s="359"/>
      <c r="L22" s="359"/>
      <c r="M22" s="360"/>
      <c r="N22" s="361" t="str">
        <f t="shared" si="0"/>
        <v/>
      </c>
      <c r="O22" s="362" t="str">
        <f t="shared" si="1"/>
        <v/>
      </c>
      <c r="P22" s="363" t="str">
        <f t="shared" si="2"/>
        <v/>
      </c>
      <c r="Q22" s="358"/>
      <c r="R22" s="359"/>
      <c r="S22" s="359"/>
      <c r="T22" s="359"/>
      <c r="U22" s="359"/>
      <c r="V22" s="359"/>
      <c r="W22" s="359"/>
      <c r="X22" s="359"/>
      <c r="Y22" s="359"/>
      <c r="Z22" s="360"/>
      <c r="AA22" s="361" t="str">
        <f t="shared" si="3"/>
        <v/>
      </c>
      <c r="AB22" s="362" t="str">
        <f t="shared" si="4"/>
        <v/>
      </c>
      <c r="AC22" s="363" t="str">
        <f t="shared" si="5"/>
        <v/>
      </c>
      <c r="AD22" s="358"/>
      <c r="AE22" s="359"/>
      <c r="AF22" s="360"/>
      <c r="AG22" s="364" t="str">
        <f t="shared" si="6"/>
        <v/>
      </c>
      <c r="AH22" s="362" t="str">
        <f t="shared" si="7"/>
        <v/>
      </c>
      <c r="AI22" s="365" t="str">
        <f t="shared" si="8"/>
        <v/>
      </c>
      <c r="AJ22" s="364" t="str">
        <f t="shared" si="9"/>
        <v/>
      </c>
      <c r="AK22" s="366" t="str">
        <f t="shared" si="10"/>
        <v/>
      </c>
      <c r="AL22" s="367" t="str">
        <f t="shared" si="11"/>
        <v/>
      </c>
      <c r="AM22" s="368" t="str">
        <f>IFERROR(_xlfn.XLOOKUP(AL22,HELPER!$C$7:$C$47,HELPER!$D$7:$D$47,,1),"")</f>
        <v/>
      </c>
    </row>
    <row r="23" spans="2:39">
      <c r="B23" s="356">
        <v>7</v>
      </c>
      <c r="C23" s="357" t="str">
        <f>IFERROR(IF(OR($B$8="INCORRECT SHEET. Do not use this sheet to input data.",'INPUT DATA'!O17=""),"",'INPUT DATA'!O17),"")</f>
        <v/>
      </c>
      <c r="D23" s="358"/>
      <c r="E23" s="359"/>
      <c r="F23" s="359"/>
      <c r="G23" s="359"/>
      <c r="H23" s="359"/>
      <c r="I23" s="359"/>
      <c r="J23" s="359"/>
      <c r="K23" s="359"/>
      <c r="L23" s="359"/>
      <c r="M23" s="360"/>
      <c r="N23" s="361" t="str">
        <f t="shared" si="0"/>
        <v/>
      </c>
      <c r="O23" s="362" t="str">
        <f t="shared" si="1"/>
        <v/>
      </c>
      <c r="P23" s="363" t="str">
        <f t="shared" si="2"/>
        <v/>
      </c>
      <c r="Q23" s="358"/>
      <c r="R23" s="359"/>
      <c r="S23" s="359"/>
      <c r="T23" s="359"/>
      <c r="U23" s="359"/>
      <c r="V23" s="359"/>
      <c r="W23" s="359"/>
      <c r="X23" s="359"/>
      <c r="Y23" s="359"/>
      <c r="Z23" s="360"/>
      <c r="AA23" s="361" t="str">
        <f t="shared" si="3"/>
        <v/>
      </c>
      <c r="AB23" s="362" t="str">
        <f t="shared" si="4"/>
        <v/>
      </c>
      <c r="AC23" s="363" t="str">
        <f t="shared" si="5"/>
        <v/>
      </c>
      <c r="AD23" s="358"/>
      <c r="AE23" s="359"/>
      <c r="AF23" s="360"/>
      <c r="AG23" s="364" t="str">
        <f t="shared" si="6"/>
        <v/>
      </c>
      <c r="AH23" s="362" t="str">
        <f t="shared" si="7"/>
        <v/>
      </c>
      <c r="AI23" s="365" t="str">
        <f t="shared" si="8"/>
        <v/>
      </c>
      <c r="AJ23" s="364" t="str">
        <f t="shared" si="9"/>
        <v/>
      </c>
      <c r="AK23" s="366" t="str">
        <f t="shared" si="10"/>
        <v/>
      </c>
      <c r="AL23" s="367" t="str">
        <f t="shared" si="11"/>
        <v/>
      </c>
      <c r="AM23" s="368" t="str">
        <f>IFERROR(_xlfn.XLOOKUP(AL23,HELPER!$C$7:$C$47,HELPER!$D$7:$D$47,,1),"")</f>
        <v/>
      </c>
    </row>
    <row r="24" spans="2:39">
      <c r="B24" s="356">
        <v>8</v>
      </c>
      <c r="C24" s="357" t="str">
        <f>IFERROR(IF(OR($B$8="INCORRECT SHEET. Do not use this sheet to input data.",'INPUT DATA'!O18=""),"",'INPUT DATA'!O18),"")</f>
        <v/>
      </c>
      <c r="D24" s="358"/>
      <c r="E24" s="359"/>
      <c r="F24" s="359"/>
      <c r="G24" s="359"/>
      <c r="H24" s="359"/>
      <c r="I24" s="359"/>
      <c r="J24" s="359"/>
      <c r="K24" s="359"/>
      <c r="L24" s="359"/>
      <c r="M24" s="360"/>
      <c r="N24" s="361" t="str">
        <f t="shared" si="0"/>
        <v/>
      </c>
      <c r="O24" s="362" t="str">
        <f t="shared" si="1"/>
        <v/>
      </c>
      <c r="P24" s="363" t="str">
        <f t="shared" si="2"/>
        <v/>
      </c>
      <c r="Q24" s="358"/>
      <c r="R24" s="359"/>
      <c r="S24" s="359"/>
      <c r="T24" s="359"/>
      <c r="U24" s="359"/>
      <c r="V24" s="359"/>
      <c r="W24" s="359"/>
      <c r="X24" s="359"/>
      <c r="Y24" s="359"/>
      <c r="Z24" s="360"/>
      <c r="AA24" s="361" t="str">
        <f t="shared" si="3"/>
        <v/>
      </c>
      <c r="AB24" s="362" t="str">
        <f t="shared" si="4"/>
        <v/>
      </c>
      <c r="AC24" s="363" t="str">
        <f t="shared" si="5"/>
        <v/>
      </c>
      <c r="AD24" s="358"/>
      <c r="AE24" s="359"/>
      <c r="AF24" s="360"/>
      <c r="AG24" s="364" t="str">
        <f t="shared" si="6"/>
        <v/>
      </c>
      <c r="AH24" s="362" t="str">
        <f t="shared" si="7"/>
        <v/>
      </c>
      <c r="AI24" s="365" t="str">
        <f t="shared" si="8"/>
        <v/>
      </c>
      <c r="AJ24" s="364" t="str">
        <f t="shared" si="9"/>
        <v/>
      </c>
      <c r="AK24" s="366" t="str">
        <f t="shared" si="10"/>
        <v/>
      </c>
      <c r="AL24" s="367" t="str">
        <f t="shared" si="11"/>
        <v/>
      </c>
      <c r="AM24" s="368" t="str">
        <f>IFERROR(_xlfn.XLOOKUP(AL24,HELPER!$C$7:$C$47,HELPER!$D$7:$D$47,,1),"")</f>
        <v/>
      </c>
    </row>
    <row r="25" spans="2:39">
      <c r="B25" s="356">
        <v>9</v>
      </c>
      <c r="C25" s="357" t="str">
        <f>IFERROR(IF(OR($B$8="INCORRECT SHEET. Do not use this sheet to input data.",'INPUT DATA'!O19=""),"",'INPUT DATA'!O19),"")</f>
        <v/>
      </c>
      <c r="D25" s="358"/>
      <c r="E25" s="359"/>
      <c r="F25" s="359"/>
      <c r="G25" s="359"/>
      <c r="H25" s="359"/>
      <c r="I25" s="359"/>
      <c r="J25" s="359"/>
      <c r="K25" s="359"/>
      <c r="L25" s="359"/>
      <c r="M25" s="360"/>
      <c r="N25" s="361" t="str">
        <f t="shared" si="0"/>
        <v/>
      </c>
      <c r="O25" s="362" t="str">
        <f t="shared" si="1"/>
        <v/>
      </c>
      <c r="P25" s="363" t="str">
        <f t="shared" si="2"/>
        <v/>
      </c>
      <c r="Q25" s="358"/>
      <c r="R25" s="359"/>
      <c r="S25" s="359"/>
      <c r="T25" s="359"/>
      <c r="U25" s="359"/>
      <c r="V25" s="359"/>
      <c r="W25" s="359"/>
      <c r="X25" s="359"/>
      <c r="Y25" s="359"/>
      <c r="Z25" s="360"/>
      <c r="AA25" s="361" t="str">
        <f t="shared" si="3"/>
        <v/>
      </c>
      <c r="AB25" s="362" t="str">
        <f t="shared" si="4"/>
        <v/>
      </c>
      <c r="AC25" s="363" t="str">
        <f t="shared" si="5"/>
        <v/>
      </c>
      <c r="AD25" s="358"/>
      <c r="AE25" s="359"/>
      <c r="AF25" s="360"/>
      <c r="AG25" s="364" t="str">
        <f t="shared" si="6"/>
        <v/>
      </c>
      <c r="AH25" s="362" t="str">
        <f t="shared" si="7"/>
        <v/>
      </c>
      <c r="AI25" s="365" t="str">
        <f t="shared" si="8"/>
        <v/>
      </c>
      <c r="AJ25" s="364" t="str">
        <f t="shared" si="9"/>
        <v/>
      </c>
      <c r="AK25" s="366" t="str">
        <f t="shared" si="10"/>
        <v/>
      </c>
      <c r="AL25" s="367" t="str">
        <f t="shared" si="11"/>
        <v/>
      </c>
      <c r="AM25" s="368" t="str">
        <f>IFERROR(_xlfn.XLOOKUP(AL25,HELPER!$C$7:$C$47,HELPER!$D$7:$D$47,,1),"")</f>
        <v/>
      </c>
    </row>
    <row r="26" ht="14.55" spans="2:39">
      <c r="B26" s="356">
        <v>10</v>
      </c>
      <c r="C26" s="357" t="str">
        <f>IFERROR(IF(OR($B$8="INCORRECT SHEET. Do not use this sheet to input data.",'INPUT DATA'!O20=""),"",'INPUT DATA'!O20),"")</f>
        <v/>
      </c>
      <c r="D26" s="358"/>
      <c r="E26" s="359"/>
      <c r="F26" s="359"/>
      <c r="G26" s="359"/>
      <c r="H26" s="359"/>
      <c r="I26" s="359"/>
      <c r="J26" s="359"/>
      <c r="K26" s="359"/>
      <c r="L26" s="359"/>
      <c r="M26" s="360"/>
      <c r="N26" s="361" t="str">
        <f t="shared" si="0"/>
        <v/>
      </c>
      <c r="O26" s="362" t="str">
        <f t="shared" si="1"/>
        <v/>
      </c>
      <c r="P26" s="363" t="str">
        <f t="shared" si="2"/>
        <v/>
      </c>
      <c r="Q26" s="358"/>
      <c r="R26" s="359"/>
      <c r="S26" s="359"/>
      <c r="T26" s="359"/>
      <c r="U26" s="359"/>
      <c r="V26" s="359"/>
      <c r="W26" s="359"/>
      <c r="X26" s="359"/>
      <c r="Y26" s="359"/>
      <c r="Z26" s="360"/>
      <c r="AA26" s="361" t="str">
        <f t="shared" si="3"/>
        <v/>
      </c>
      <c r="AB26" s="362" t="str">
        <f t="shared" si="4"/>
        <v/>
      </c>
      <c r="AC26" s="363" t="str">
        <f t="shared" si="5"/>
        <v/>
      </c>
      <c r="AD26" s="358"/>
      <c r="AE26" s="359"/>
      <c r="AF26" s="360"/>
      <c r="AG26" s="364" t="str">
        <f t="shared" si="6"/>
        <v/>
      </c>
      <c r="AH26" s="362" t="str">
        <f t="shared" si="7"/>
        <v/>
      </c>
      <c r="AI26" s="365" t="str">
        <f t="shared" si="8"/>
        <v/>
      </c>
      <c r="AJ26" s="364" t="str">
        <f t="shared" si="9"/>
        <v/>
      </c>
      <c r="AK26" s="366" t="str">
        <f t="shared" si="10"/>
        <v/>
      </c>
      <c r="AL26" s="367" t="str">
        <f t="shared" si="11"/>
        <v/>
      </c>
      <c r="AM26" s="368" t="str">
        <f>IFERROR(_xlfn.XLOOKUP(AL26,HELPER!$C$7:$C$47,HELPER!$D$7:$D$47,,1),"")</f>
        <v/>
      </c>
    </row>
    <row r="27" hidden="1" spans="2:39">
      <c r="B27" s="356">
        <v>11</v>
      </c>
      <c r="C27" s="357" t="str">
        <f>IFERROR(IF(OR($B$8="INCORRECT SHEET. Do not use this sheet to input data.",'INPUT DATA'!O21=""),"",'INPUT DATA'!O21),"")</f>
        <v/>
      </c>
      <c r="D27" s="358"/>
      <c r="E27" s="359"/>
      <c r="F27" s="359"/>
      <c r="G27" s="359"/>
      <c r="H27" s="359"/>
      <c r="I27" s="359"/>
      <c r="J27" s="359"/>
      <c r="K27" s="359"/>
      <c r="L27" s="359"/>
      <c r="M27" s="360"/>
      <c r="N27" s="361" t="str">
        <f t="shared" si="0"/>
        <v/>
      </c>
      <c r="O27" s="362" t="str">
        <f t="shared" si="1"/>
        <v/>
      </c>
      <c r="P27" s="363" t="str">
        <f t="shared" si="2"/>
        <v/>
      </c>
      <c r="Q27" s="358"/>
      <c r="R27" s="359"/>
      <c r="S27" s="359"/>
      <c r="T27" s="359"/>
      <c r="U27" s="359"/>
      <c r="V27" s="359"/>
      <c r="W27" s="359"/>
      <c r="X27" s="359"/>
      <c r="Y27" s="359"/>
      <c r="Z27" s="360"/>
      <c r="AA27" s="361" t="str">
        <f t="shared" si="3"/>
        <v/>
      </c>
      <c r="AB27" s="362" t="str">
        <f t="shared" si="4"/>
        <v/>
      </c>
      <c r="AC27" s="363" t="str">
        <f t="shared" si="5"/>
        <v/>
      </c>
      <c r="AD27" s="358"/>
      <c r="AE27" s="359"/>
      <c r="AF27" s="360"/>
      <c r="AG27" s="364" t="str">
        <f t="shared" si="6"/>
        <v/>
      </c>
      <c r="AH27" s="362" t="str">
        <f t="shared" si="7"/>
        <v/>
      </c>
      <c r="AI27" s="365" t="str">
        <f t="shared" si="8"/>
        <v/>
      </c>
      <c r="AJ27" s="364" t="str">
        <f t="shared" si="9"/>
        <v/>
      </c>
      <c r="AK27" s="366" t="str">
        <f t="shared" si="10"/>
        <v/>
      </c>
      <c r="AL27" s="367" t="str">
        <f t="shared" si="11"/>
        <v/>
      </c>
      <c r="AM27" s="368" t="str">
        <f>IFERROR(_xlfn.XLOOKUP(AL27,HELPER!$C$7:$C$47,HELPER!$D$7:$D$47,,1),"")</f>
        <v/>
      </c>
    </row>
    <row r="28" hidden="1" spans="2:39">
      <c r="B28" s="356">
        <v>12</v>
      </c>
      <c r="C28" s="357" t="str">
        <f>IFERROR(IF(OR($B$8="INCORRECT SHEET. Do not use this sheet to input data.",'INPUT DATA'!O22=""),"",'INPUT DATA'!O22),"")</f>
        <v/>
      </c>
      <c r="D28" s="358"/>
      <c r="E28" s="359"/>
      <c r="F28" s="359"/>
      <c r="G28" s="359"/>
      <c r="H28" s="359"/>
      <c r="I28" s="359"/>
      <c r="J28" s="359"/>
      <c r="K28" s="359"/>
      <c r="L28" s="359"/>
      <c r="M28" s="360"/>
      <c r="N28" s="361" t="str">
        <f t="shared" si="0"/>
        <v/>
      </c>
      <c r="O28" s="362" t="str">
        <f t="shared" si="1"/>
        <v/>
      </c>
      <c r="P28" s="363" t="str">
        <f t="shared" si="2"/>
        <v/>
      </c>
      <c r="Q28" s="358"/>
      <c r="R28" s="359"/>
      <c r="S28" s="359"/>
      <c r="T28" s="359"/>
      <c r="U28" s="359"/>
      <c r="V28" s="359"/>
      <c r="W28" s="359"/>
      <c r="X28" s="359"/>
      <c r="Y28" s="359"/>
      <c r="Z28" s="360"/>
      <c r="AA28" s="361" t="str">
        <f t="shared" si="3"/>
        <v/>
      </c>
      <c r="AB28" s="362" t="str">
        <f t="shared" si="4"/>
        <v/>
      </c>
      <c r="AC28" s="363" t="str">
        <f t="shared" si="5"/>
        <v/>
      </c>
      <c r="AD28" s="358"/>
      <c r="AE28" s="359"/>
      <c r="AF28" s="360"/>
      <c r="AG28" s="364" t="str">
        <f t="shared" si="6"/>
        <v/>
      </c>
      <c r="AH28" s="362" t="str">
        <f t="shared" si="7"/>
        <v/>
      </c>
      <c r="AI28" s="365" t="str">
        <f t="shared" si="8"/>
        <v/>
      </c>
      <c r="AJ28" s="364" t="str">
        <f t="shared" si="9"/>
        <v/>
      </c>
      <c r="AK28" s="366" t="str">
        <f t="shared" si="10"/>
        <v/>
      </c>
      <c r="AL28" s="367" t="str">
        <f t="shared" si="11"/>
        <v/>
      </c>
      <c r="AM28" s="368" t="str">
        <f>IFERROR(_xlfn.XLOOKUP(AL28,HELPER!$C$7:$C$47,HELPER!$D$7:$D$47,,1),"")</f>
        <v/>
      </c>
    </row>
    <row r="29" hidden="1" spans="2:39">
      <c r="B29" s="356">
        <v>13</v>
      </c>
      <c r="C29" s="357" t="str">
        <f>IFERROR(IF(OR($B$8="INCORRECT SHEET. Do not use this sheet to input data.",'INPUT DATA'!O23=""),"",'INPUT DATA'!O23),"")</f>
        <v/>
      </c>
      <c r="D29" s="358"/>
      <c r="E29" s="359"/>
      <c r="F29" s="359"/>
      <c r="G29" s="359"/>
      <c r="H29" s="359"/>
      <c r="I29" s="359"/>
      <c r="J29" s="359"/>
      <c r="K29" s="359"/>
      <c r="L29" s="359"/>
      <c r="M29" s="360"/>
      <c r="N29" s="361" t="str">
        <f t="shared" si="0"/>
        <v/>
      </c>
      <c r="O29" s="362" t="str">
        <f t="shared" si="1"/>
        <v/>
      </c>
      <c r="P29" s="363" t="str">
        <f t="shared" si="2"/>
        <v/>
      </c>
      <c r="Q29" s="358"/>
      <c r="R29" s="359"/>
      <c r="S29" s="359"/>
      <c r="T29" s="359"/>
      <c r="U29" s="359"/>
      <c r="V29" s="359"/>
      <c r="W29" s="359"/>
      <c r="X29" s="359"/>
      <c r="Y29" s="359"/>
      <c r="Z29" s="360"/>
      <c r="AA29" s="361" t="str">
        <f t="shared" si="3"/>
        <v/>
      </c>
      <c r="AB29" s="362" t="str">
        <f t="shared" si="4"/>
        <v/>
      </c>
      <c r="AC29" s="363" t="str">
        <f t="shared" si="5"/>
        <v/>
      </c>
      <c r="AD29" s="358"/>
      <c r="AE29" s="359"/>
      <c r="AF29" s="360"/>
      <c r="AG29" s="364" t="str">
        <f t="shared" si="6"/>
        <v/>
      </c>
      <c r="AH29" s="362" t="str">
        <f t="shared" si="7"/>
        <v/>
      </c>
      <c r="AI29" s="365" t="str">
        <f t="shared" si="8"/>
        <v/>
      </c>
      <c r="AJ29" s="364" t="str">
        <f t="shared" si="9"/>
        <v/>
      </c>
      <c r="AK29" s="366" t="str">
        <f t="shared" si="10"/>
        <v/>
      </c>
      <c r="AL29" s="367" t="str">
        <f t="shared" si="11"/>
        <v/>
      </c>
      <c r="AM29" s="368" t="str">
        <f>IFERROR(_xlfn.XLOOKUP(AL29,HELPER!$C$7:$C$47,HELPER!$D$7:$D$47,,1),"")</f>
        <v/>
      </c>
    </row>
    <row r="30" hidden="1" spans="2:39">
      <c r="B30" s="356">
        <v>14</v>
      </c>
      <c r="C30" s="357" t="str">
        <f>IFERROR(IF(OR($B$8="INCORRECT SHEET. Do not use this sheet to input data.",'INPUT DATA'!O24=""),"",'INPUT DATA'!O24),"")</f>
        <v/>
      </c>
      <c r="D30" s="358"/>
      <c r="E30" s="359"/>
      <c r="F30" s="359"/>
      <c r="G30" s="359"/>
      <c r="H30" s="359"/>
      <c r="I30" s="359"/>
      <c r="J30" s="359"/>
      <c r="K30" s="359"/>
      <c r="L30" s="359"/>
      <c r="M30" s="360"/>
      <c r="N30" s="361" t="str">
        <f t="shared" si="0"/>
        <v/>
      </c>
      <c r="O30" s="362" t="str">
        <f t="shared" si="1"/>
        <v/>
      </c>
      <c r="P30" s="363" t="str">
        <f t="shared" si="2"/>
        <v/>
      </c>
      <c r="Q30" s="358"/>
      <c r="R30" s="359"/>
      <c r="S30" s="359"/>
      <c r="T30" s="359"/>
      <c r="U30" s="359"/>
      <c r="V30" s="359"/>
      <c r="W30" s="359"/>
      <c r="X30" s="359"/>
      <c r="Y30" s="359"/>
      <c r="Z30" s="360"/>
      <c r="AA30" s="361" t="str">
        <f t="shared" si="3"/>
        <v/>
      </c>
      <c r="AB30" s="362" t="str">
        <f t="shared" si="4"/>
        <v/>
      </c>
      <c r="AC30" s="363" t="str">
        <f t="shared" si="5"/>
        <v/>
      </c>
      <c r="AD30" s="358"/>
      <c r="AE30" s="359"/>
      <c r="AF30" s="360"/>
      <c r="AG30" s="364" t="str">
        <f t="shared" si="6"/>
        <v/>
      </c>
      <c r="AH30" s="362" t="str">
        <f t="shared" si="7"/>
        <v/>
      </c>
      <c r="AI30" s="365" t="str">
        <f t="shared" si="8"/>
        <v/>
      </c>
      <c r="AJ30" s="364" t="str">
        <f t="shared" si="9"/>
        <v/>
      </c>
      <c r="AK30" s="366" t="str">
        <f t="shared" si="10"/>
        <v/>
      </c>
      <c r="AL30" s="367" t="str">
        <f t="shared" si="11"/>
        <v/>
      </c>
      <c r="AM30" s="368" t="str">
        <f>IFERROR(_xlfn.XLOOKUP(AL30,HELPER!$C$7:$C$47,HELPER!$D$7:$D$47,,1),"")</f>
        <v/>
      </c>
    </row>
    <row r="31" hidden="1" spans="2:39">
      <c r="B31" s="356">
        <v>15</v>
      </c>
      <c r="C31" s="357" t="str">
        <f>IFERROR(IF(OR($B$8="INCORRECT SHEET. Do not use this sheet to input data.",'INPUT DATA'!O25=""),"",'INPUT DATA'!O25),"")</f>
        <v/>
      </c>
      <c r="D31" s="358"/>
      <c r="E31" s="359"/>
      <c r="F31" s="359"/>
      <c r="G31" s="359"/>
      <c r="H31" s="359"/>
      <c r="I31" s="359"/>
      <c r="J31" s="359"/>
      <c r="K31" s="359"/>
      <c r="L31" s="359"/>
      <c r="M31" s="360"/>
      <c r="N31" s="361" t="str">
        <f t="shared" si="0"/>
        <v/>
      </c>
      <c r="O31" s="362" t="str">
        <f t="shared" si="1"/>
        <v/>
      </c>
      <c r="P31" s="363" t="str">
        <f t="shared" si="2"/>
        <v/>
      </c>
      <c r="Q31" s="358"/>
      <c r="R31" s="359"/>
      <c r="S31" s="359"/>
      <c r="T31" s="359"/>
      <c r="U31" s="359"/>
      <c r="V31" s="359"/>
      <c r="W31" s="359"/>
      <c r="X31" s="359"/>
      <c r="Y31" s="359"/>
      <c r="Z31" s="360"/>
      <c r="AA31" s="361" t="str">
        <f t="shared" si="3"/>
        <v/>
      </c>
      <c r="AB31" s="362" t="str">
        <f t="shared" si="4"/>
        <v/>
      </c>
      <c r="AC31" s="363" t="str">
        <f t="shared" si="5"/>
        <v/>
      </c>
      <c r="AD31" s="358"/>
      <c r="AE31" s="359"/>
      <c r="AF31" s="360"/>
      <c r="AG31" s="364" t="str">
        <f t="shared" si="6"/>
        <v/>
      </c>
      <c r="AH31" s="362" t="str">
        <f t="shared" si="7"/>
        <v/>
      </c>
      <c r="AI31" s="365" t="str">
        <f t="shared" si="8"/>
        <v/>
      </c>
      <c r="AJ31" s="364" t="str">
        <f t="shared" si="9"/>
        <v/>
      </c>
      <c r="AK31" s="366" t="str">
        <f t="shared" si="10"/>
        <v/>
      </c>
      <c r="AL31" s="367" t="str">
        <f t="shared" si="11"/>
        <v/>
      </c>
      <c r="AM31" s="368" t="str">
        <f>IFERROR(_xlfn.XLOOKUP(AL31,HELPER!$C$7:$C$47,HELPER!$D$7:$D$47,,1),"")</f>
        <v/>
      </c>
    </row>
    <row r="32" hidden="1" spans="2:39">
      <c r="B32" s="356">
        <v>16</v>
      </c>
      <c r="C32" s="357" t="str">
        <f>IFERROR(IF(OR($B$8="INCORRECT SHEET. Do not use this sheet to input data.",'INPUT DATA'!O26=""),"",'INPUT DATA'!O26),"")</f>
        <v/>
      </c>
      <c r="D32" s="358"/>
      <c r="E32" s="359"/>
      <c r="F32" s="359"/>
      <c r="G32" s="359"/>
      <c r="H32" s="359"/>
      <c r="I32" s="359"/>
      <c r="J32" s="359"/>
      <c r="K32" s="359"/>
      <c r="L32" s="359"/>
      <c r="M32" s="360"/>
      <c r="N32" s="361" t="str">
        <f t="shared" si="0"/>
        <v/>
      </c>
      <c r="O32" s="362" t="str">
        <f t="shared" si="1"/>
        <v/>
      </c>
      <c r="P32" s="363" t="str">
        <f t="shared" si="2"/>
        <v/>
      </c>
      <c r="Q32" s="358"/>
      <c r="R32" s="359"/>
      <c r="S32" s="359"/>
      <c r="T32" s="359"/>
      <c r="U32" s="359"/>
      <c r="V32" s="359"/>
      <c r="W32" s="359"/>
      <c r="X32" s="359"/>
      <c r="Y32" s="359"/>
      <c r="Z32" s="360"/>
      <c r="AA32" s="361" t="str">
        <f t="shared" si="3"/>
        <v/>
      </c>
      <c r="AB32" s="362" t="str">
        <f t="shared" si="4"/>
        <v/>
      </c>
      <c r="AC32" s="363" t="str">
        <f t="shared" si="5"/>
        <v/>
      </c>
      <c r="AD32" s="358"/>
      <c r="AE32" s="359"/>
      <c r="AF32" s="360"/>
      <c r="AG32" s="364" t="str">
        <f t="shared" si="6"/>
        <v/>
      </c>
      <c r="AH32" s="362" t="str">
        <f t="shared" si="7"/>
        <v/>
      </c>
      <c r="AI32" s="365" t="str">
        <f t="shared" si="8"/>
        <v/>
      </c>
      <c r="AJ32" s="364" t="str">
        <f t="shared" si="9"/>
        <v/>
      </c>
      <c r="AK32" s="366" t="str">
        <f t="shared" si="10"/>
        <v/>
      </c>
      <c r="AL32" s="367" t="str">
        <f t="shared" si="11"/>
        <v/>
      </c>
      <c r="AM32" s="368" t="str">
        <f>IFERROR(_xlfn.XLOOKUP(AL32,HELPER!$C$7:$C$47,HELPER!$D$7:$D$47,,1),"")</f>
        <v/>
      </c>
    </row>
    <row r="33" hidden="1" spans="2:39">
      <c r="B33" s="356">
        <v>17</v>
      </c>
      <c r="C33" s="357" t="str">
        <f>IFERROR(IF(OR($B$8="INCORRECT SHEET. Do not use this sheet to input data.",'INPUT DATA'!O27=""),"",'INPUT DATA'!O27),"")</f>
        <v/>
      </c>
      <c r="D33" s="358"/>
      <c r="E33" s="359"/>
      <c r="F33" s="359"/>
      <c r="G33" s="359"/>
      <c r="H33" s="359"/>
      <c r="I33" s="359"/>
      <c r="J33" s="359"/>
      <c r="K33" s="359"/>
      <c r="L33" s="359"/>
      <c r="M33" s="360"/>
      <c r="N33" s="361" t="str">
        <f t="shared" si="0"/>
        <v/>
      </c>
      <c r="O33" s="362" t="str">
        <f t="shared" si="1"/>
        <v/>
      </c>
      <c r="P33" s="363" t="str">
        <f t="shared" si="2"/>
        <v/>
      </c>
      <c r="Q33" s="358"/>
      <c r="R33" s="359"/>
      <c r="S33" s="359"/>
      <c r="T33" s="359"/>
      <c r="U33" s="359"/>
      <c r="V33" s="359"/>
      <c r="W33" s="359"/>
      <c r="X33" s="359"/>
      <c r="Y33" s="359"/>
      <c r="Z33" s="360"/>
      <c r="AA33" s="361" t="str">
        <f t="shared" si="3"/>
        <v/>
      </c>
      <c r="AB33" s="362" t="str">
        <f t="shared" si="4"/>
        <v/>
      </c>
      <c r="AC33" s="363" t="str">
        <f t="shared" si="5"/>
        <v/>
      </c>
      <c r="AD33" s="358"/>
      <c r="AE33" s="359"/>
      <c r="AF33" s="360"/>
      <c r="AG33" s="364" t="str">
        <f t="shared" si="6"/>
        <v/>
      </c>
      <c r="AH33" s="362" t="str">
        <f t="shared" si="7"/>
        <v/>
      </c>
      <c r="AI33" s="365" t="str">
        <f t="shared" si="8"/>
        <v/>
      </c>
      <c r="AJ33" s="364" t="str">
        <f t="shared" si="9"/>
        <v/>
      </c>
      <c r="AK33" s="366" t="str">
        <f t="shared" si="10"/>
        <v/>
      </c>
      <c r="AL33" s="367" t="str">
        <f t="shared" si="11"/>
        <v/>
      </c>
      <c r="AM33" s="368" t="str">
        <f>IFERROR(_xlfn.XLOOKUP(AL33,HELPER!$C$7:$C$47,HELPER!$D$7:$D$47,,1),"")</f>
        <v/>
      </c>
    </row>
    <row r="34" hidden="1" spans="2:39">
      <c r="B34" s="356">
        <v>18</v>
      </c>
      <c r="C34" s="357" t="str">
        <f>IFERROR(IF(OR($B$8="INCORRECT SHEET. Do not use this sheet to input data.",'INPUT DATA'!O28=""),"",'INPUT DATA'!O28),"")</f>
        <v/>
      </c>
      <c r="D34" s="358"/>
      <c r="E34" s="359"/>
      <c r="F34" s="359"/>
      <c r="G34" s="359"/>
      <c r="H34" s="359"/>
      <c r="I34" s="359"/>
      <c r="J34" s="359"/>
      <c r="K34" s="359"/>
      <c r="L34" s="359"/>
      <c r="M34" s="360"/>
      <c r="N34" s="361" t="str">
        <f t="shared" si="0"/>
        <v/>
      </c>
      <c r="O34" s="362" t="str">
        <f t="shared" si="1"/>
        <v/>
      </c>
      <c r="P34" s="363" t="str">
        <f t="shared" si="2"/>
        <v/>
      </c>
      <c r="Q34" s="358"/>
      <c r="R34" s="359"/>
      <c r="S34" s="359"/>
      <c r="T34" s="359"/>
      <c r="U34" s="359"/>
      <c r="V34" s="359"/>
      <c r="W34" s="359"/>
      <c r="X34" s="359"/>
      <c r="Y34" s="359"/>
      <c r="Z34" s="360"/>
      <c r="AA34" s="361" t="str">
        <f t="shared" si="3"/>
        <v/>
      </c>
      <c r="AB34" s="362" t="str">
        <f t="shared" si="4"/>
        <v/>
      </c>
      <c r="AC34" s="363" t="str">
        <f t="shared" si="5"/>
        <v/>
      </c>
      <c r="AD34" s="358"/>
      <c r="AE34" s="359"/>
      <c r="AF34" s="360"/>
      <c r="AG34" s="364" t="str">
        <f t="shared" si="6"/>
        <v/>
      </c>
      <c r="AH34" s="362" t="str">
        <f t="shared" si="7"/>
        <v/>
      </c>
      <c r="AI34" s="365" t="str">
        <f t="shared" si="8"/>
        <v/>
      </c>
      <c r="AJ34" s="364" t="str">
        <f t="shared" si="9"/>
        <v/>
      </c>
      <c r="AK34" s="366" t="str">
        <f t="shared" si="10"/>
        <v/>
      </c>
      <c r="AL34" s="367" t="str">
        <f t="shared" si="11"/>
        <v/>
      </c>
      <c r="AM34" s="368" t="str">
        <f>IFERROR(_xlfn.XLOOKUP(AL34,HELPER!$C$7:$C$47,HELPER!$D$7:$D$47,,1),"")</f>
        <v/>
      </c>
    </row>
    <row r="35" hidden="1" spans="2:39">
      <c r="B35" s="356">
        <v>19</v>
      </c>
      <c r="C35" s="357" t="str">
        <f>IFERROR(IF(OR($B$8="INCORRECT SHEET. Do not use this sheet to input data.",'INPUT DATA'!O29=""),"",'INPUT DATA'!O29),"")</f>
        <v/>
      </c>
      <c r="D35" s="358"/>
      <c r="E35" s="359"/>
      <c r="F35" s="359"/>
      <c r="G35" s="359"/>
      <c r="H35" s="359"/>
      <c r="I35" s="359"/>
      <c r="J35" s="359"/>
      <c r="K35" s="359"/>
      <c r="L35" s="359"/>
      <c r="M35" s="360"/>
      <c r="N35" s="361" t="str">
        <f t="shared" si="0"/>
        <v/>
      </c>
      <c r="O35" s="362" t="str">
        <f t="shared" si="1"/>
        <v/>
      </c>
      <c r="P35" s="363" t="str">
        <f t="shared" si="2"/>
        <v/>
      </c>
      <c r="Q35" s="358"/>
      <c r="R35" s="359"/>
      <c r="S35" s="359"/>
      <c r="T35" s="359"/>
      <c r="U35" s="359"/>
      <c r="V35" s="359"/>
      <c r="W35" s="359"/>
      <c r="X35" s="359"/>
      <c r="Y35" s="359"/>
      <c r="Z35" s="360"/>
      <c r="AA35" s="361" t="str">
        <f t="shared" si="3"/>
        <v/>
      </c>
      <c r="AB35" s="362" t="str">
        <f t="shared" si="4"/>
        <v/>
      </c>
      <c r="AC35" s="363" t="str">
        <f t="shared" si="5"/>
        <v/>
      </c>
      <c r="AD35" s="358"/>
      <c r="AE35" s="359"/>
      <c r="AF35" s="360"/>
      <c r="AG35" s="364" t="str">
        <f t="shared" si="6"/>
        <v/>
      </c>
      <c r="AH35" s="362" t="str">
        <f t="shared" si="7"/>
        <v/>
      </c>
      <c r="AI35" s="365" t="str">
        <f t="shared" si="8"/>
        <v/>
      </c>
      <c r="AJ35" s="364" t="str">
        <f t="shared" si="9"/>
        <v/>
      </c>
      <c r="AK35" s="366" t="str">
        <f t="shared" si="10"/>
        <v/>
      </c>
      <c r="AL35" s="367" t="str">
        <f t="shared" si="11"/>
        <v/>
      </c>
      <c r="AM35" s="368" t="str">
        <f>IFERROR(_xlfn.XLOOKUP(AL35,HELPER!$C$7:$C$47,HELPER!$D$7:$D$47,,1),"")</f>
        <v/>
      </c>
    </row>
    <row r="36" hidden="1" spans="2:39">
      <c r="B36" s="356">
        <v>20</v>
      </c>
      <c r="C36" s="357" t="str">
        <f>IFERROR(IF(OR($B$8="INCORRECT SHEET. Do not use this sheet to input data.",'INPUT DATA'!O30=""),"",'INPUT DATA'!O30),"")</f>
        <v/>
      </c>
      <c r="D36" s="358"/>
      <c r="E36" s="359"/>
      <c r="F36" s="359"/>
      <c r="G36" s="359"/>
      <c r="H36" s="359"/>
      <c r="I36" s="359"/>
      <c r="J36" s="359"/>
      <c r="K36" s="359"/>
      <c r="L36" s="359"/>
      <c r="M36" s="360"/>
      <c r="N36" s="361" t="str">
        <f t="shared" si="0"/>
        <v/>
      </c>
      <c r="O36" s="362" t="str">
        <f t="shared" si="1"/>
        <v/>
      </c>
      <c r="P36" s="363" t="str">
        <f t="shared" si="2"/>
        <v/>
      </c>
      <c r="Q36" s="358"/>
      <c r="R36" s="359"/>
      <c r="S36" s="359"/>
      <c r="T36" s="359"/>
      <c r="U36" s="359"/>
      <c r="V36" s="359"/>
      <c r="W36" s="359"/>
      <c r="X36" s="359"/>
      <c r="Y36" s="359"/>
      <c r="Z36" s="360"/>
      <c r="AA36" s="361" t="str">
        <f t="shared" si="3"/>
        <v/>
      </c>
      <c r="AB36" s="362" t="str">
        <f t="shared" si="4"/>
        <v/>
      </c>
      <c r="AC36" s="363" t="str">
        <f t="shared" si="5"/>
        <v/>
      </c>
      <c r="AD36" s="358"/>
      <c r="AE36" s="359"/>
      <c r="AF36" s="360"/>
      <c r="AG36" s="364" t="str">
        <f t="shared" si="6"/>
        <v/>
      </c>
      <c r="AH36" s="362" t="str">
        <f t="shared" si="7"/>
        <v/>
      </c>
      <c r="AI36" s="365" t="str">
        <f t="shared" si="8"/>
        <v/>
      </c>
      <c r="AJ36" s="364" t="str">
        <f t="shared" si="9"/>
        <v/>
      </c>
      <c r="AK36" s="366" t="str">
        <f t="shared" si="10"/>
        <v/>
      </c>
      <c r="AL36" s="367" t="str">
        <f t="shared" si="11"/>
        <v/>
      </c>
      <c r="AM36" s="368" t="str">
        <f>IFERROR(_xlfn.XLOOKUP(AL36,HELPER!$C$7:$C$47,HELPER!$D$7:$D$47,,1),"")</f>
        <v/>
      </c>
    </row>
    <row r="37" hidden="1" spans="2:39">
      <c r="B37" s="356">
        <v>21</v>
      </c>
      <c r="C37" s="357" t="str">
        <f>IFERROR(IF(OR($B$8="INCORRECT SHEET. Do not use this sheet to input data.",'INPUT DATA'!O31=""),"",'INPUT DATA'!O31),"")</f>
        <v/>
      </c>
      <c r="D37" s="358"/>
      <c r="E37" s="359"/>
      <c r="F37" s="359"/>
      <c r="G37" s="359"/>
      <c r="H37" s="359"/>
      <c r="I37" s="359"/>
      <c r="J37" s="359"/>
      <c r="K37" s="359"/>
      <c r="L37" s="359"/>
      <c r="M37" s="360"/>
      <c r="N37" s="361" t="str">
        <f t="shared" si="0"/>
        <v/>
      </c>
      <c r="O37" s="362" t="str">
        <f t="shared" si="1"/>
        <v/>
      </c>
      <c r="P37" s="363" t="str">
        <f t="shared" si="2"/>
        <v/>
      </c>
      <c r="Q37" s="358"/>
      <c r="R37" s="359"/>
      <c r="S37" s="359"/>
      <c r="T37" s="359"/>
      <c r="U37" s="359"/>
      <c r="V37" s="359"/>
      <c r="W37" s="359"/>
      <c r="X37" s="359"/>
      <c r="Y37" s="359"/>
      <c r="Z37" s="360"/>
      <c r="AA37" s="361" t="str">
        <f t="shared" si="3"/>
        <v/>
      </c>
      <c r="AB37" s="362" t="str">
        <f t="shared" si="4"/>
        <v/>
      </c>
      <c r="AC37" s="363" t="str">
        <f t="shared" si="5"/>
        <v/>
      </c>
      <c r="AD37" s="358"/>
      <c r="AE37" s="359"/>
      <c r="AF37" s="360"/>
      <c r="AG37" s="364" t="str">
        <f t="shared" si="6"/>
        <v/>
      </c>
      <c r="AH37" s="362" t="str">
        <f t="shared" si="7"/>
        <v/>
      </c>
      <c r="AI37" s="365" t="str">
        <f t="shared" si="8"/>
        <v/>
      </c>
      <c r="AJ37" s="364" t="str">
        <f t="shared" si="9"/>
        <v/>
      </c>
      <c r="AK37" s="366" t="str">
        <f t="shared" si="10"/>
        <v/>
      </c>
      <c r="AL37" s="367" t="str">
        <f t="shared" si="11"/>
        <v/>
      </c>
      <c r="AM37" s="368" t="str">
        <f>IFERROR(_xlfn.XLOOKUP(AL37,HELPER!$C$7:$C$47,HELPER!$D$7:$D$47,,1),"")</f>
        <v/>
      </c>
    </row>
    <row r="38" hidden="1" spans="2:39">
      <c r="B38" s="356">
        <v>22</v>
      </c>
      <c r="C38" s="357" t="str">
        <f>IFERROR(IF(OR($B$8="INCORRECT SHEET. Do not use this sheet to input data.",'INPUT DATA'!O32=""),"",'INPUT DATA'!O32),"")</f>
        <v/>
      </c>
      <c r="D38" s="358"/>
      <c r="E38" s="359"/>
      <c r="F38" s="359"/>
      <c r="G38" s="359"/>
      <c r="H38" s="359"/>
      <c r="I38" s="359"/>
      <c r="J38" s="359"/>
      <c r="K38" s="359"/>
      <c r="L38" s="359"/>
      <c r="M38" s="360"/>
      <c r="N38" s="361" t="str">
        <f t="shared" si="0"/>
        <v/>
      </c>
      <c r="O38" s="362" t="str">
        <f t="shared" si="1"/>
        <v/>
      </c>
      <c r="P38" s="363" t="str">
        <f t="shared" si="2"/>
        <v/>
      </c>
      <c r="Q38" s="358"/>
      <c r="R38" s="359"/>
      <c r="S38" s="359"/>
      <c r="T38" s="359"/>
      <c r="U38" s="359"/>
      <c r="V38" s="359"/>
      <c r="W38" s="359"/>
      <c r="X38" s="359"/>
      <c r="Y38" s="359"/>
      <c r="Z38" s="360"/>
      <c r="AA38" s="361" t="str">
        <f t="shared" si="3"/>
        <v/>
      </c>
      <c r="AB38" s="362" t="str">
        <f t="shared" si="4"/>
        <v/>
      </c>
      <c r="AC38" s="363" t="str">
        <f t="shared" si="5"/>
        <v/>
      </c>
      <c r="AD38" s="358"/>
      <c r="AE38" s="359"/>
      <c r="AF38" s="360"/>
      <c r="AG38" s="364" t="str">
        <f t="shared" si="6"/>
        <v/>
      </c>
      <c r="AH38" s="362" t="str">
        <f t="shared" si="7"/>
        <v/>
      </c>
      <c r="AI38" s="365" t="str">
        <f t="shared" si="8"/>
        <v/>
      </c>
      <c r="AJ38" s="364" t="str">
        <f t="shared" si="9"/>
        <v/>
      </c>
      <c r="AK38" s="366" t="str">
        <f t="shared" si="10"/>
        <v/>
      </c>
      <c r="AL38" s="367" t="str">
        <f t="shared" si="11"/>
        <v/>
      </c>
      <c r="AM38" s="368" t="str">
        <f>IFERROR(_xlfn.XLOOKUP(AL38,HELPER!$C$7:$C$47,HELPER!$D$7:$D$47,,1),"")</f>
        <v/>
      </c>
    </row>
    <row r="39" hidden="1" spans="2:39">
      <c r="B39" s="356">
        <v>23</v>
      </c>
      <c r="C39" s="357" t="str">
        <f>IFERROR(IF(OR($B$8="INCORRECT SHEET. Do not use this sheet to input data.",'INPUT DATA'!O33=""),"",'INPUT DATA'!O33),"")</f>
        <v/>
      </c>
      <c r="D39" s="358"/>
      <c r="E39" s="359"/>
      <c r="F39" s="359"/>
      <c r="G39" s="359"/>
      <c r="H39" s="359"/>
      <c r="I39" s="359"/>
      <c r="J39" s="359"/>
      <c r="K39" s="359"/>
      <c r="L39" s="359"/>
      <c r="M39" s="360"/>
      <c r="N39" s="361" t="str">
        <f t="shared" si="0"/>
        <v/>
      </c>
      <c r="O39" s="362" t="str">
        <f t="shared" si="1"/>
        <v/>
      </c>
      <c r="P39" s="363" t="str">
        <f t="shared" si="2"/>
        <v/>
      </c>
      <c r="Q39" s="358"/>
      <c r="R39" s="359"/>
      <c r="S39" s="359"/>
      <c r="T39" s="359"/>
      <c r="U39" s="359"/>
      <c r="V39" s="359"/>
      <c r="W39" s="359"/>
      <c r="X39" s="359"/>
      <c r="Y39" s="359"/>
      <c r="Z39" s="360"/>
      <c r="AA39" s="361" t="str">
        <f t="shared" si="3"/>
        <v/>
      </c>
      <c r="AB39" s="362" t="str">
        <f t="shared" si="4"/>
        <v/>
      </c>
      <c r="AC39" s="363" t="str">
        <f t="shared" si="5"/>
        <v/>
      </c>
      <c r="AD39" s="358"/>
      <c r="AE39" s="359"/>
      <c r="AF39" s="360"/>
      <c r="AG39" s="364" t="str">
        <f t="shared" si="6"/>
        <v/>
      </c>
      <c r="AH39" s="362" t="str">
        <f t="shared" si="7"/>
        <v/>
      </c>
      <c r="AI39" s="365" t="str">
        <f t="shared" si="8"/>
        <v/>
      </c>
      <c r="AJ39" s="364" t="str">
        <f t="shared" si="9"/>
        <v/>
      </c>
      <c r="AK39" s="366" t="str">
        <f t="shared" si="10"/>
        <v/>
      </c>
      <c r="AL39" s="367" t="str">
        <f t="shared" si="11"/>
        <v/>
      </c>
      <c r="AM39" s="368" t="str">
        <f>IFERROR(_xlfn.XLOOKUP(AL39,HELPER!$C$7:$C$47,HELPER!$D$7:$D$47,,1),"")</f>
        <v/>
      </c>
    </row>
    <row r="40" hidden="1" spans="2:39">
      <c r="B40" s="356">
        <v>24</v>
      </c>
      <c r="C40" s="357" t="str">
        <f>IFERROR(IF(OR($B$8="INCORRECT SHEET. Do not use this sheet to input data.",'INPUT DATA'!O34=""),"",'INPUT DATA'!O34),"")</f>
        <v/>
      </c>
      <c r="D40" s="358"/>
      <c r="E40" s="359"/>
      <c r="F40" s="359"/>
      <c r="G40" s="359"/>
      <c r="H40" s="359"/>
      <c r="I40" s="359"/>
      <c r="J40" s="359"/>
      <c r="K40" s="359"/>
      <c r="L40" s="359"/>
      <c r="M40" s="360"/>
      <c r="N40" s="361" t="str">
        <f t="shared" si="0"/>
        <v/>
      </c>
      <c r="O40" s="362" t="str">
        <f t="shared" si="1"/>
        <v/>
      </c>
      <c r="P40" s="363" t="str">
        <f t="shared" si="2"/>
        <v/>
      </c>
      <c r="Q40" s="358"/>
      <c r="R40" s="359"/>
      <c r="S40" s="359"/>
      <c r="T40" s="359"/>
      <c r="U40" s="359"/>
      <c r="V40" s="359"/>
      <c r="W40" s="359"/>
      <c r="X40" s="359"/>
      <c r="Y40" s="359"/>
      <c r="Z40" s="360"/>
      <c r="AA40" s="361" t="str">
        <f t="shared" si="3"/>
        <v/>
      </c>
      <c r="AB40" s="362" t="str">
        <f t="shared" si="4"/>
        <v/>
      </c>
      <c r="AC40" s="363" t="str">
        <f t="shared" si="5"/>
        <v/>
      </c>
      <c r="AD40" s="358"/>
      <c r="AE40" s="359"/>
      <c r="AF40" s="360"/>
      <c r="AG40" s="364" t="str">
        <f t="shared" si="6"/>
        <v/>
      </c>
      <c r="AH40" s="362" t="str">
        <f t="shared" si="7"/>
        <v/>
      </c>
      <c r="AI40" s="365" t="str">
        <f t="shared" si="8"/>
        <v/>
      </c>
      <c r="AJ40" s="364" t="str">
        <f t="shared" si="9"/>
        <v/>
      </c>
      <c r="AK40" s="366" t="str">
        <f t="shared" si="10"/>
        <v/>
      </c>
      <c r="AL40" s="367" t="str">
        <f t="shared" si="11"/>
        <v/>
      </c>
      <c r="AM40" s="368" t="str">
        <f>IFERROR(_xlfn.XLOOKUP(AL40,HELPER!$C$7:$C$47,HELPER!$D$7:$D$47,,1),"")</f>
        <v/>
      </c>
    </row>
    <row r="41" hidden="1" spans="2:39">
      <c r="B41" s="356">
        <v>25</v>
      </c>
      <c r="C41" s="357" t="str">
        <f>IFERROR(IF(OR($B$8="INCORRECT SHEET. Do not use this sheet to input data.",'INPUT DATA'!O35=""),"",'INPUT DATA'!O35),"")</f>
        <v/>
      </c>
      <c r="D41" s="358"/>
      <c r="E41" s="359"/>
      <c r="F41" s="359"/>
      <c r="G41" s="359"/>
      <c r="H41" s="359"/>
      <c r="I41" s="359"/>
      <c r="J41" s="359"/>
      <c r="K41" s="359"/>
      <c r="L41" s="359"/>
      <c r="M41" s="360"/>
      <c r="N41" s="361" t="str">
        <f t="shared" si="0"/>
        <v/>
      </c>
      <c r="O41" s="362" t="str">
        <f t="shared" si="1"/>
        <v/>
      </c>
      <c r="P41" s="363" t="str">
        <f t="shared" si="2"/>
        <v/>
      </c>
      <c r="Q41" s="358"/>
      <c r="R41" s="359"/>
      <c r="S41" s="359"/>
      <c r="T41" s="359"/>
      <c r="U41" s="359"/>
      <c r="V41" s="359"/>
      <c r="W41" s="359"/>
      <c r="X41" s="359"/>
      <c r="Y41" s="359"/>
      <c r="Z41" s="360"/>
      <c r="AA41" s="361" t="str">
        <f t="shared" si="3"/>
        <v/>
      </c>
      <c r="AB41" s="362" t="str">
        <f t="shared" si="4"/>
        <v/>
      </c>
      <c r="AC41" s="363" t="str">
        <f t="shared" si="5"/>
        <v/>
      </c>
      <c r="AD41" s="358"/>
      <c r="AE41" s="359"/>
      <c r="AF41" s="360"/>
      <c r="AG41" s="364" t="str">
        <f t="shared" si="6"/>
        <v/>
      </c>
      <c r="AH41" s="362" t="str">
        <f t="shared" si="7"/>
        <v/>
      </c>
      <c r="AI41" s="365" t="str">
        <f t="shared" si="8"/>
        <v/>
      </c>
      <c r="AJ41" s="364" t="str">
        <f t="shared" si="9"/>
        <v/>
      </c>
      <c r="AK41" s="366" t="str">
        <f t="shared" si="10"/>
        <v/>
      </c>
      <c r="AL41" s="367" t="str">
        <f t="shared" si="11"/>
        <v/>
      </c>
      <c r="AM41" s="368" t="str">
        <f>IFERROR(_xlfn.XLOOKUP(AL41,HELPER!$C$7:$C$47,HELPER!$D$7:$D$47,,1),"")</f>
        <v/>
      </c>
    </row>
    <row r="42" hidden="1" spans="2:39">
      <c r="B42" s="356">
        <v>26</v>
      </c>
      <c r="C42" s="357" t="str">
        <f>IFERROR(IF(OR($B$8="INCORRECT SHEET. Do not use this sheet to input data.",'INPUT DATA'!O36=""),"",'INPUT DATA'!O36),"")</f>
        <v/>
      </c>
      <c r="D42" s="358"/>
      <c r="E42" s="359"/>
      <c r="F42" s="359"/>
      <c r="G42" s="359"/>
      <c r="H42" s="359"/>
      <c r="I42" s="359"/>
      <c r="J42" s="359"/>
      <c r="K42" s="359"/>
      <c r="L42" s="359"/>
      <c r="M42" s="360"/>
      <c r="N42" s="361" t="str">
        <f t="shared" si="0"/>
        <v/>
      </c>
      <c r="O42" s="362" t="str">
        <f t="shared" si="1"/>
        <v/>
      </c>
      <c r="P42" s="363" t="str">
        <f t="shared" si="2"/>
        <v/>
      </c>
      <c r="Q42" s="358"/>
      <c r="R42" s="359"/>
      <c r="S42" s="359"/>
      <c r="T42" s="359"/>
      <c r="U42" s="359"/>
      <c r="V42" s="359"/>
      <c r="W42" s="359"/>
      <c r="X42" s="359"/>
      <c r="Y42" s="359"/>
      <c r="Z42" s="360"/>
      <c r="AA42" s="361" t="str">
        <f t="shared" si="3"/>
        <v/>
      </c>
      <c r="AB42" s="362" t="str">
        <f t="shared" si="4"/>
        <v/>
      </c>
      <c r="AC42" s="363" t="str">
        <f t="shared" si="5"/>
        <v/>
      </c>
      <c r="AD42" s="358"/>
      <c r="AE42" s="359"/>
      <c r="AF42" s="360"/>
      <c r="AG42" s="364" t="str">
        <f t="shared" si="6"/>
        <v/>
      </c>
      <c r="AH42" s="362" t="str">
        <f t="shared" si="7"/>
        <v/>
      </c>
      <c r="AI42" s="365" t="str">
        <f t="shared" si="8"/>
        <v/>
      </c>
      <c r="AJ42" s="364" t="str">
        <f t="shared" si="9"/>
        <v/>
      </c>
      <c r="AK42" s="366" t="str">
        <f t="shared" si="10"/>
        <v/>
      </c>
      <c r="AL42" s="367" t="str">
        <f t="shared" si="11"/>
        <v/>
      </c>
      <c r="AM42" s="368" t="str">
        <f>IFERROR(_xlfn.XLOOKUP(AL42,HELPER!$C$7:$C$47,HELPER!$D$7:$D$47,,1),"")</f>
        <v/>
      </c>
    </row>
    <row r="43" hidden="1" spans="2:39">
      <c r="B43" s="356">
        <v>27</v>
      </c>
      <c r="C43" s="357" t="str">
        <f>IFERROR(IF(OR($B$8="INCORRECT SHEET. Do not use this sheet to input data.",'INPUT DATA'!O37=""),"",'INPUT DATA'!O37),"")</f>
        <v/>
      </c>
      <c r="D43" s="358"/>
      <c r="E43" s="359"/>
      <c r="F43" s="359"/>
      <c r="G43" s="359"/>
      <c r="H43" s="359"/>
      <c r="I43" s="359"/>
      <c r="J43" s="359"/>
      <c r="K43" s="359"/>
      <c r="L43" s="359"/>
      <c r="M43" s="360"/>
      <c r="N43" s="361" t="str">
        <f t="shared" si="0"/>
        <v/>
      </c>
      <c r="O43" s="362" t="str">
        <f t="shared" si="1"/>
        <v/>
      </c>
      <c r="P43" s="363" t="str">
        <f t="shared" si="2"/>
        <v/>
      </c>
      <c r="Q43" s="358"/>
      <c r="R43" s="359"/>
      <c r="S43" s="359"/>
      <c r="T43" s="359"/>
      <c r="U43" s="359"/>
      <c r="V43" s="359"/>
      <c r="W43" s="359"/>
      <c r="X43" s="359"/>
      <c r="Y43" s="359"/>
      <c r="Z43" s="360"/>
      <c r="AA43" s="361" t="str">
        <f t="shared" si="3"/>
        <v/>
      </c>
      <c r="AB43" s="362" t="str">
        <f t="shared" si="4"/>
        <v/>
      </c>
      <c r="AC43" s="363" t="str">
        <f t="shared" si="5"/>
        <v/>
      </c>
      <c r="AD43" s="358"/>
      <c r="AE43" s="359"/>
      <c r="AF43" s="360"/>
      <c r="AG43" s="364" t="str">
        <f t="shared" si="6"/>
        <v/>
      </c>
      <c r="AH43" s="362" t="str">
        <f t="shared" si="7"/>
        <v/>
      </c>
      <c r="AI43" s="365" t="str">
        <f t="shared" si="8"/>
        <v/>
      </c>
      <c r="AJ43" s="364" t="str">
        <f t="shared" si="9"/>
        <v/>
      </c>
      <c r="AK43" s="366" t="str">
        <f t="shared" si="10"/>
        <v/>
      </c>
      <c r="AL43" s="367" t="str">
        <f t="shared" si="11"/>
        <v/>
      </c>
      <c r="AM43" s="368" t="str">
        <f>IFERROR(_xlfn.XLOOKUP(AL43,HELPER!$C$7:$C$47,HELPER!$D$7:$D$47,,1),"")</f>
        <v/>
      </c>
    </row>
    <row r="44" hidden="1" spans="2:39">
      <c r="B44" s="356">
        <v>28</v>
      </c>
      <c r="C44" s="357" t="str">
        <f>IFERROR(IF(OR($B$8="INCORRECT SHEET. Do not use this sheet to input data.",'INPUT DATA'!O38=""),"",'INPUT DATA'!O38),"")</f>
        <v/>
      </c>
      <c r="D44" s="358"/>
      <c r="E44" s="359"/>
      <c r="F44" s="359"/>
      <c r="G44" s="359"/>
      <c r="H44" s="359"/>
      <c r="I44" s="359"/>
      <c r="J44" s="359"/>
      <c r="K44" s="359"/>
      <c r="L44" s="359"/>
      <c r="M44" s="360"/>
      <c r="N44" s="361" t="str">
        <f t="shared" si="0"/>
        <v/>
      </c>
      <c r="O44" s="362" t="str">
        <f t="shared" si="1"/>
        <v/>
      </c>
      <c r="P44" s="363" t="str">
        <f t="shared" si="2"/>
        <v/>
      </c>
      <c r="Q44" s="358"/>
      <c r="R44" s="359"/>
      <c r="S44" s="359"/>
      <c r="T44" s="359"/>
      <c r="U44" s="359"/>
      <c r="V44" s="359"/>
      <c r="W44" s="359"/>
      <c r="X44" s="359"/>
      <c r="Y44" s="359"/>
      <c r="Z44" s="360"/>
      <c r="AA44" s="361" t="str">
        <f t="shared" si="3"/>
        <v/>
      </c>
      <c r="AB44" s="362" t="str">
        <f t="shared" si="4"/>
        <v/>
      </c>
      <c r="AC44" s="363" t="str">
        <f t="shared" si="5"/>
        <v/>
      </c>
      <c r="AD44" s="358"/>
      <c r="AE44" s="359"/>
      <c r="AF44" s="360"/>
      <c r="AG44" s="364" t="str">
        <f t="shared" si="6"/>
        <v/>
      </c>
      <c r="AH44" s="362" t="str">
        <f t="shared" si="7"/>
        <v/>
      </c>
      <c r="AI44" s="365" t="str">
        <f t="shared" si="8"/>
        <v/>
      </c>
      <c r="AJ44" s="364" t="str">
        <f t="shared" si="9"/>
        <v/>
      </c>
      <c r="AK44" s="366" t="str">
        <f t="shared" si="10"/>
        <v/>
      </c>
      <c r="AL44" s="367" t="str">
        <f t="shared" si="11"/>
        <v/>
      </c>
      <c r="AM44" s="368" t="str">
        <f>IFERROR(_xlfn.XLOOKUP(AL44,HELPER!$C$7:$C$47,HELPER!$D$7:$D$47,,1),"")</f>
        <v/>
      </c>
    </row>
    <row r="45" hidden="1" spans="2:39">
      <c r="B45" s="356">
        <v>29</v>
      </c>
      <c r="C45" s="357" t="str">
        <f>IFERROR(IF(OR($B$8="INCORRECT SHEET. Do not use this sheet to input data.",'INPUT DATA'!O39=""),"",'INPUT DATA'!O39),"")</f>
        <v/>
      </c>
      <c r="D45" s="358"/>
      <c r="E45" s="359"/>
      <c r="F45" s="359"/>
      <c r="G45" s="359"/>
      <c r="H45" s="359"/>
      <c r="I45" s="359"/>
      <c r="J45" s="359"/>
      <c r="K45" s="359"/>
      <c r="L45" s="359"/>
      <c r="M45" s="360"/>
      <c r="N45" s="361" t="str">
        <f t="shared" si="0"/>
        <v/>
      </c>
      <c r="O45" s="362" t="str">
        <f t="shared" si="1"/>
        <v/>
      </c>
      <c r="P45" s="363" t="str">
        <f t="shared" si="2"/>
        <v/>
      </c>
      <c r="Q45" s="358"/>
      <c r="R45" s="359"/>
      <c r="S45" s="359"/>
      <c r="T45" s="359"/>
      <c r="U45" s="359"/>
      <c r="V45" s="359"/>
      <c r="W45" s="359"/>
      <c r="X45" s="359"/>
      <c r="Y45" s="359"/>
      <c r="Z45" s="360"/>
      <c r="AA45" s="361" t="str">
        <f t="shared" si="3"/>
        <v/>
      </c>
      <c r="AB45" s="362" t="str">
        <f t="shared" si="4"/>
        <v/>
      </c>
      <c r="AC45" s="363" t="str">
        <f t="shared" si="5"/>
        <v/>
      </c>
      <c r="AD45" s="358"/>
      <c r="AE45" s="359"/>
      <c r="AF45" s="360"/>
      <c r="AG45" s="364" t="str">
        <f t="shared" si="6"/>
        <v/>
      </c>
      <c r="AH45" s="362" t="str">
        <f t="shared" si="7"/>
        <v/>
      </c>
      <c r="AI45" s="365" t="str">
        <f t="shared" si="8"/>
        <v/>
      </c>
      <c r="AJ45" s="364" t="str">
        <f t="shared" si="9"/>
        <v/>
      </c>
      <c r="AK45" s="366" t="str">
        <f t="shared" si="10"/>
        <v/>
      </c>
      <c r="AL45" s="367" t="str">
        <f t="shared" si="11"/>
        <v/>
      </c>
      <c r="AM45" s="368" t="str">
        <f>IFERROR(_xlfn.XLOOKUP(AL45,HELPER!$C$7:$C$47,HELPER!$D$7:$D$47,,1),"")</f>
        <v/>
      </c>
    </row>
    <row r="46" hidden="1" spans="2:39">
      <c r="B46" s="356">
        <v>30</v>
      </c>
      <c r="C46" s="357" t="str">
        <f>IFERROR(IF(OR($B$8="INCORRECT SHEET. Do not use this sheet to input data.",'INPUT DATA'!O40=""),"",'INPUT DATA'!O40),"")</f>
        <v/>
      </c>
      <c r="D46" s="358"/>
      <c r="E46" s="359"/>
      <c r="F46" s="359"/>
      <c r="G46" s="359"/>
      <c r="H46" s="359"/>
      <c r="I46" s="359"/>
      <c r="J46" s="359"/>
      <c r="K46" s="359"/>
      <c r="L46" s="359"/>
      <c r="M46" s="360"/>
      <c r="N46" s="361" t="str">
        <f t="shared" si="0"/>
        <v/>
      </c>
      <c r="O46" s="362" t="str">
        <f t="shared" si="1"/>
        <v/>
      </c>
      <c r="P46" s="363" t="str">
        <f t="shared" si="2"/>
        <v/>
      </c>
      <c r="Q46" s="358"/>
      <c r="R46" s="359"/>
      <c r="S46" s="359"/>
      <c r="T46" s="359"/>
      <c r="U46" s="359"/>
      <c r="V46" s="359"/>
      <c r="W46" s="359"/>
      <c r="X46" s="359"/>
      <c r="Y46" s="359"/>
      <c r="Z46" s="360"/>
      <c r="AA46" s="361" t="str">
        <f t="shared" si="3"/>
        <v/>
      </c>
      <c r="AB46" s="362" t="str">
        <f t="shared" si="4"/>
        <v/>
      </c>
      <c r="AC46" s="363" t="str">
        <f t="shared" si="5"/>
        <v/>
      </c>
      <c r="AD46" s="358"/>
      <c r="AE46" s="359"/>
      <c r="AF46" s="360"/>
      <c r="AG46" s="364" t="str">
        <f t="shared" si="6"/>
        <v/>
      </c>
      <c r="AH46" s="362" t="str">
        <f t="shared" si="7"/>
        <v/>
      </c>
      <c r="AI46" s="365" t="str">
        <f t="shared" si="8"/>
        <v/>
      </c>
      <c r="AJ46" s="364" t="str">
        <f t="shared" si="9"/>
        <v/>
      </c>
      <c r="AK46" s="366" t="str">
        <f t="shared" si="10"/>
        <v/>
      </c>
      <c r="AL46" s="367" t="str">
        <f t="shared" si="11"/>
        <v/>
      </c>
      <c r="AM46" s="368" t="str">
        <f>IFERROR(_xlfn.XLOOKUP(AL46,HELPER!$C$7:$C$47,HELPER!$D$7:$D$47,,1),"")</f>
        <v/>
      </c>
    </row>
    <row r="47" hidden="1" spans="2:39">
      <c r="B47" s="356">
        <v>31</v>
      </c>
      <c r="C47" s="357" t="str">
        <f>IFERROR(IF(OR($B$8="INCORRECT SHEET. Do not use this sheet to input data.",'INPUT DATA'!O41=""),"",'INPUT DATA'!O41),"")</f>
        <v/>
      </c>
      <c r="D47" s="358"/>
      <c r="E47" s="359"/>
      <c r="F47" s="359"/>
      <c r="G47" s="359"/>
      <c r="H47" s="359"/>
      <c r="I47" s="359"/>
      <c r="J47" s="359"/>
      <c r="K47" s="359"/>
      <c r="L47" s="359"/>
      <c r="M47" s="360"/>
      <c r="N47" s="361" t="str">
        <f t="shared" si="0"/>
        <v/>
      </c>
      <c r="O47" s="362" t="str">
        <f t="shared" si="1"/>
        <v/>
      </c>
      <c r="P47" s="363" t="str">
        <f t="shared" si="2"/>
        <v/>
      </c>
      <c r="Q47" s="358"/>
      <c r="R47" s="359"/>
      <c r="S47" s="359"/>
      <c r="T47" s="359"/>
      <c r="U47" s="359"/>
      <c r="V47" s="359"/>
      <c r="W47" s="359"/>
      <c r="X47" s="359"/>
      <c r="Y47" s="359"/>
      <c r="Z47" s="360"/>
      <c r="AA47" s="361" t="str">
        <f t="shared" si="3"/>
        <v/>
      </c>
      <c r="AB47" s="362" t="str">
        <f t="shared" si="4"/>
        <v/>
      </c>
      <c r="AC47" s="363" t="str">
        <f t="shared" si="5"/>
        <v/>
      </c>
      <c r="AD47" s="358"/>
      <c r="AE47" s="359"/>
      <c r="AF47" s="360"/>
      <c r="AG47" s="364" t="str">
        <f t="shared" si="6"/>
        <v/>
      </c>
      <c r="AH47" s="362" t="str">
        <f t="shared" si="7"/>
        <v/>
      </c>
      <c r="AI47" s="365" t="str">
        <f t="shared" si="8"/>
        <v/>
      </c>
      <c r="AJ47" s="364" t="str">
        <f t="shared" si="9"/>
        <v/>
      </c>
      <c r="AK47" s="366" t="str">
        <f t="shared" si="10"/>
        <v/>
      </c>
      <c r="AL47" s="367" t="str">
        <f t="shared" si="11"/>
        <v/>
      </c>
      <c r="AM47" s="368" t="str">
        <f>IFERROR(_xlfn.XLOOKUP(AL47,HELPER!$C$7:$C$47,HELPER!$D$7:$D$47,,1),"")</f>
        <v/>
      </c>
    </row>
    <row r="48" hidden="1" spans="2:39">
      <c r="B48" s="356">
        <v>32</v>
      </c>
      <c r="C48" s="357" t="str">
        <f>IFERROR(IF(OR($B$8="INCORRECT SHEET. Do not use this sheet to input data.",'INPUT DATA'!O42=""),"",'INPUT DATA'!O42),"")</f>
        <v/>
      </c>
      <c r="D48" s="358"/>
      <c r="E48" s="359"/>
      <c r="F48" s="359"/>
      <c r="G48" s="359"/>
      <c r="H48" s="359"/>
      <c r="I48" s="359"/>
      <c r="J48" s="359"/>
      <c r="K48" s="359"/>
      <c r="L48" s="359"/>
      <c r="M48" s="360"/>
      <c r="N48" s="361" t="str">
        <f t="shared" si="0"/>
        <v/>
      </c>
      <c r="O48" s="362" t="str">
        <f t="shared" si="1"/>
        <v/>
      </c>
      <c r="P48" s="363" t="str">
        <f t="shared" si="2"/>
        <v/>
      </c>
      <c r="Q48" s="358"/>
      <c r="R48" s="359"/>
      <c r="S48" s="359"/>
      <c r="T48" s="359"/>
      <c r="U48" s="359"/>
      <c r="V48" s="359"/>
      <c r="W48" s="359"/>
      <c r="X48" s="359"/>
      <c r="Y48" s="359"/>
      <c r="Z48" s="360"/>
      <c r="AA48" s="361" t="str">
        <f t="shared" si="3"/>
        <v/>
      </c>
      <c r="AB48" s="362" t="str">
        <f t="shared" si="4"/>
        <v/>
      </c>
      <c r="AC48" s="363" t="str">
        <f t="shared" si="5"/>
        <v/>
      </c>
      <c r="AD48" s="358"/>
      <c r="AE48" s="359"/>
      <c r="AF48" s="360"/>
      <c r="AG48" s="364" t="str">
        <f t="shared" si="6"/>
        <v/>
      </c>
      <c r="AH48" s="362" t="str">
        <f t="shared" si="7"/>
        <v/>
      </c>
      <c r="AI48" s="365" t="str">
        <f t="shared" si="8"/>
        <v/>
      </c>
      <c r="AJ48" s="364" t="str">
        <f t="shared" si="9"/>
        <v/>
      </c>
      <c r="AK48" s="366" t="str">
        <f t="shared" si="10"/>
        <v/>
      </c>
      <c r="AL48" s="367" t="str">
        <f t="shared" si="11"/>
        <v/>
      </c>
      <c r="AM48" s="368" t="str">
        <f>IFERROR(_xlfn.XLOOKUP(AL48,HELPER!$C$7:$C$47,HELPER!$D$7:$D$47,,1),"")</f>
        <v/>
      </c>
    </row>
    <row r="49" hidden="1" spans="2:39">
      <c r="B49" s="356">
        <v>33</v>
      </c>
      <c r="C49" s="357" t="str">
        <f>IFERROR(IF(OR($B$8="INCORRECT SHEET. Do not use this sheet to input data.",'INPUT DATA'!O43=""),"",'INPUT DATA'!O43),"")</f>
        <v/>
      </c>
      <c r="D49" s="358"/>
      <c r="E49" s="359"/>
      <c r="F49" s="359"/>
      <c r="G49" s="359"/>
      <c r="H49" s="359"/>
      <c r="I49" s="359"/>
      <c r="J49" s="359"/>
      <c r="K49" s="359"/>
      <c r="L49" s="359"/>
      <c r="M49" s="360"/>
      <c r="N49" s="361" t="str">
        <f t="shared" si="0"/>
        <v/>
      </c>
      <c r="O49" s="362" t="str">
        <f t="shared" si="1"/>
        <v/>
      </c>
      <c r="P49" s="363" t="str">
        <f t="shared" si="2"/>
        <v/>
      </c>
      <c r="Q49" s="358"/>
      <c r="R49" s="359"/>
      <c r="S49" s="359"/>
      <c r="T49" s="359"/>
      <c r="U49" s="359"/>
      <c r="V49" s="359"/>
      <c r="W49" s="359"/>
      <c r="X49" s="359"/>
      <c r="Y49" s="359"/>
      <c r="Z49" s="360"/>
      <c r="AA49" s="361" t="str">
        <f t="shared" si="3"/>
        <v/>
      </c>
      <c r="AB49" s="362" t="str">
        <f t="shared" si="4"/>
        <v/>
      </c>
      <c r="AC49" s="363" t="str">
        <f t="shared" si="5"/>
        <v/>
      </c>
      <c r="AD49" s="358"/>
      <c r="AE49" s="359"/>
      <c r="AF49" s="360"/>
      <c r="AG49" s="364" t="str">
        <f t="shared" si="6"/>
        <v/>
      </c>
      <c r="AH49" s="362" t="str">
        <f t="shared" si="7"/>
        <v/>
      </c>
      <c r="AI49" s="365" t="str">
        <f t="shared" si="8"/>
        <v/>
      </c>
      <c r="AJ49" s="364" t="str">
        <f t="shared" si="9"/>
        <v/>
      </c>
      <c r="AK49" s="366" t="str">
        <f t="shared" si="10"/>
        <v/>
      </c>
      <c r="AL49" s="367" t="str">
        <f t="shared" si="11"/>
        <v/>
      </c>
      <c r="AM49" s="368" t="str">
        <f>IFERROR(_xlfn.XLOOKUP(AL49,HELPER!$C$7:$C$47,HELPER!$D$7:$D$47,,1),"")</f>
        <v/>
      </c>
    </row>
    <row r="50" hidden="1" spans="2:39">
      <c r="B50" s="356">
        <v>34</v>
      </c>
      <c r="C50" s="357" t="str">
        <f>IFERROR(IF(OR($B$8="INCORRECT SHEET. Do not use this sheet to input data.",'INPUT DATA'!O44=""),"",'INPUT DATA'!O44),"")</f>
        <v/>
      </c>
      <c r="D50" s="358"/>
      <c r="E50" s="359"/>
      <c r="F50" s="359"/>
      <c r="G50" s="359"/>
      <c r="H50" s="359"/>
      <c r="I50" s="359"/>
      <c r="J50" s="359"/>
      <c r="K50" s="359"/>
      <c r="L50" s="359"/>
      <c r="M50" s="360"/>
      <c r="N50" s="361" t="str">
        <f t="shared" si="0"/>
        <v/>
      </c>
      <c r="O50" s="362" t="str">
        <f t="shared" si="1"/>
        <v/>
      </c>
      <c r="P50" s="363" t="str">
        <f t="shared" si="2"/>
        <v/>
      </c>
      <c r="Q50" s="358"/>
      <c r="R50" s="359"/>
      <c r="S50" s="359"/>
      <c r="T50" s="359"/>
      <c r="U50" s="359"/>
      <c r="V50" s="359"/>
      <c r="W50" s="359"/>
      <c r="X50" s="359"/>
      <c r="Y50" s="359"/>
      <c r="Z50" s="360"/>
      <c r="AA50" s="361" t="str">
        <f t="shared" si="3"/>
        <v/>
      </c>
      <c r="AB50" s="362" t="str">
        <f t="shared" si="4"/>
        <v/>
      </c>
      <c r="AC50" s="363" t="str">
        <f t="shared" si="5"/>
        <v/>
      </c>
      <c r="AD50" s="358"/>
      <c r="AE50" s="359"/>
      <c r="AF50" s="360"/>
      <c r="AG50" s="364" t="str">
        <f t="shared" si="6"/>
        <v/>
      </c>
      <c r="AH50" s="362" t="str">
        <f t="shared" si="7"/>
        <v/>
      </c>
      <c r="AI50" s="365" t="str">
        <f t="shared" si="8"/>
        <v/>
      </c>
      <c r="AJ50" s="364" t="str">
        <f t="shared" si="9"/>
        <v/>
      </c>
      <c r="AK50" s="366" t="str">
        <f t="shared" si="10"/>
        <v/>
      </c>
      <c r="AL50" s="367" t="str">
        <f t="shared" si="11"/>
        <v/>
      </c>
      <c r="AM50" s="368" t="str">
        <f>IFERROR(_xlfn.XLOOKUP(AL50,HELPER!$C$7:$C$47,HELPER!$D$7:$D$47,,1),"")</f>
        <v/>
      </c>
    </row>
    <row r="51" hidden="1" spans="2:39">
      <c r="B51" s="356">
        <v>35</v>
      </c>
      <c r="C51" s="357" t="str">
        <f>IFERROR(IF(OR($B$8="INCORRECT SHEET. Do not use this sheet to input data.",'INPUT DATA'!O45=""),"",'INPUT DATA'!O45),"")</f>
        <v/>
      </c>
      <c r="D51" s="358"/>
      <c r="E51" s="359"/>
      <c r="F51" s="359"/>
      <c r="G51" s="359"/>
      <c r="H51" s="359"/>
      <c r="I51" s="359"/>
      <c r="J51" s="359"/>
      <c r="K51" s="359"/>
      <c r="L51" s="359"/>
      <c r="M51" s="360"/>
      <c r="N51" s="361" t="str">
        <f t="shared" si="0"/>
        <v/>
      </c>
      <c r="O51" s="362" t="str">
        <f t="shared" si="1"/>
        <v/>
      </c>
      <c r="P51" s="363" t="str">
        <f t="shared" si="2"/>
        <v/>
      </c>
      <c r="Q51" s="358"/>
      <c r="R51" s="359"/>
      <c r="S51" s="359"/>
      <c r="T51" s="359"/>
      <c r="U51" s="359"/>
      <c r="V51" s="359"/>
      <c r="W51" s="359"/>
      <c r="X51" s="359"/>
      <c r="Y51" s="359"/>
      <c r="Z51" s="360"/>
      <c r="AA51" s="361" t="str">
        <f t="shared" si="3"/>
        <v/>
      </c>
      <c r="AB51" s="362" t="str">
        <f t="shared" si="4"/>
        <v/>
      </c>
      <c r="AC51" s="363" t="str">
        <f t="shared" si="5"/>
        <v/>
      </c>
      <c r="AD51" s="358"/>
      <c r="AE51" s="359"/>
      <c r="AF51" s="360"/>
      <c r="AG51" s="364" t="str">
        <f t="shared" si="6"/>
        <v/>
      </c>
      <c r="AH51" s="362" t="str">
        <f t="shared" si="7"/>
        <v/>
      </c>
      <c r="AI51" s="365" t="str">
        <f t="shared" si="8"/>
        <v/>
      </c>
      <c r="AJ51" s="364" t="str">
        <f t="shared" si="9"/>
        <v/>
      </c>
      <c r="AK51" s="366" t="str">
        <f t="shared" si="10"/>
        <v/>
      </c>
      <c r="AL51" s="367" t="str">
        <f t="shared" si="11"/>
        <v/>
      </c>
      <c r="AM51" s="368" t="str">
        <f>IFERROR(_xlfn.XLOOKUP(AL51,HELPER!$C$7:$C$47,HELPER!$D$7:$D$47,,1),"")</f>
        <v/>
      </c>
    </row>
    <row r="52" hidden="1" spans="2:39">
      <c r="B52" s="356">
        <v>36</v>
      </c>
      <c r="C52" s="357" t="str">
        <f>IFERROR(IF(OR($B$8="INCORRECT SHEET. Do not use this sheet to input data.",'INPUT DATA'!O46=""),"",'INPUT DATA'!O46),"")</f>
        <v/>
      </c>
      <c r="D52" s="358"/>
      <c r="E52" s="359"/>
      <c r="F52" s="359"/>
      <c r="G52" s="359"/>
      <c r="H52" s="359"/>
      <c r="I52" s="359"/>
      <c r="J52" s="359"/>
      <c r="K52" s="359"/>
      <c r="L52" s="359"/>
      <c r="M52" s="360"/>
      <c r="N52" s="361" t="str">
        <f t="shared" si="0"/>
        <v/>
      </c>
      <c r="O52" s="362" t="str">
        <f t="shared" si="1"/>
        <v/>
      </c>
      <c r="P52" s="363" t="str">
        <f t="shared" si="2"/>
        <v/>
      </c>
      <c r="Q52" s="358"/>
      <c r="R52" s="359"/>
      <c r="S52" s="359"/>
      <c r="T52" s="359"/>
      <c r="U52" s="359"/>
      <c r="V52" s="359"/>
      <c r="W52" s="359"/>
      <c r="X52" s="359"/>
      <c r="Y52" s="359"/>
      <c r="Z52" s="360"/>
      <c r="AA52" s="361" t="str">
        <f t="shared" si="3"/>
        <v/>
      </c>
      <c r="AB52" s="362" t="str">
        <f t="shared" si="4"/>
        <v/>
      </c>
      <c r="AC52" s="363" t="str">
        <f t="shared" si="5"/>
        <v/>
      </c>
      <c r="AD52" s="358"/>
      <c r="AE52" s="359"/>
      <c r="AF52" s="360"/>
      <c r="AG52" s="364" t="str">
        <f t="shared" si="6"/>
        <v/>
      </c>
      <c r="AH52" s="362" t="str">
        <f t="shared" si="7"/>
        <v/>
      </c>
      <c r="AI52" s="365" t="str">
        <f t="shared" si="8"/>
        <v/>
      </c>
      <c r="AJ52" s="364" t="str">
        <f t="shared" si="9"/>
        <v/>
      </c>
      <c r="AK52" s="366" t="str">
        <f t="shared" si="10"/>
        <v/>
      </c>
      <c r="AL52" s="367" t="str">
        <f t="shared" si="11"/>
        <v/>
      </c>
      <c r="AM52" s="368" t="str">
        <f>IFERROR(_xlfn.XLOOKUP(AL52,HELPER!$C$7:$C$47,HELPER!$D$7:$D$47,,1),"")</f>
        <v/>
      </c>
    </row>
    <row r="53" hidden="1" spans="2:39">
      <c r="B53" s="356">
        <v>37</v>
      </c>
      <c r="C53" s="357" t="str">
        <f>IFERROR(IF(OR($B$8="INCORRECT SHEET. Do not use this sheet to input data.",'INPUT DATA'!O47=""),"",'INPUT DATA'!O47),"")</f>
        <v/>
      </c>
      <c r="D53" s="358"/>
      <c r="E53" s="359"/>
      <c r="F53" s="359"/>
      <c r="G53" s="359"/>
      <c r="H53" s="359"/>
      <c r="I53" s="359"/>
      <c r="J53" s="359"/>
      <c r="K53" s="359"/>
      <c r="L53" s="359"/>
      <c r="M53" s="360"/>
      <c r="N53" s="361" t="str">
        <f t="shared" si="0"/>
        <v/>
      </c>
      <c r="O53" s="362" t="str">
        <f t="shared" si="1"/>
        <v/>
      </c>
      <c r="P53" s="363" t="str">
        <f t="shared" si="2"/>
        <v/>
      </c>
      <c r="Q53" s="358"/>
      <c r="R53" s="359"/>
      <c r="S53" s="359"/>
      <c r="T53" s="359"/>
      <c r="U53" s="359"/>
      <c r="V53" s="359"/>
      <c r="W53" s="359"/>
      <c r="X53" s="359"/>
      <c r="Y53" s="359"/>
      <c r="Z53" s="360"/>
      <c r="AA53" s="361" t="str">
        <f t="shared" si="3"/>
        <v/>
      </c>
      <c r="AB53" s="362" t="str">
        <f t="shared" si="4"/>
        <v/>
      </c>
      <c r="AC53" s="363" t="str">
        <f t="shared" si="5"/>
        <v/>
      </c>
      <c r="AD53" s="358"/>
      <c r="AE53" s="359"/>
      <c r="AF53" s="360"/>
      <c r="AG53" s="364" t="str">
        <f t="shared" si="6"/>
        <v/>
      </c>
      <c r="AH53" s="362" t="str">
        <f t="shared" si="7"/>
        <v/>
      </c>
      <c r="AI53" s="365" t="str">
        <f t="shared" si="8"/>
        <v/>
      </c>
      <c r="AJ53" s="364" t="str">
        <f t="shared" si="9"/>
        <v/>
      </c>
      <c r="AK53" s="366" t="str">
        <f t="shared" si="10"/>
        <v/>
      </c>
      <c r="AL53" s="367" t="str">
        <f t="shared" si="11"/>
        <v/>
      </c>
      <c r="AM53" s="368" t="str">
        <f>IFERROR(_xlfn.XLOOKUP(AL53,HELPER!$C$7:$C$47,HELPER!$D$7:$D$47,,1),"")</f>
        <v/>
      </c>
    </row>
    <row r="54" hidden="1" spans="2:39">
      <c r="B54" s="356">
        <v>38</v>
      </c>
      <c r="C54" s="357" t="str">
        <f>IFERROR(IF(OR($B$8="INCORRECT SHEET. Do not use this sheet to input data.",'INPUT DATA'!O48=""),"",'INPUT DATA'!O48),"")</f>
        <v/>
      </c>
      <c r="D54" s="358"/>
      <c r="E54" s="359"/>
      <c r="F54" s="359"/>
      <c r="G54" s="359"/>
      <c r="H54" s="359"/>
      <c r="I54" s="359"/>
      <c r="J54" s="359"/>
      <c r="K54" s="359"/>
      <c r="L54" s="359"/>
      <c r="M54" s="360"/>
      <c r="N54" s="361" t="str">
        <f t="shared" si="0"/>
        <v/>
      </c>
      <c r="O54" s="362" t="str">
        <f t="shared" si="1"/>
        <v/>
      </c>
      <c r="P54" s="363" t="str">
        <f t="shared" si="2"/>
        <v/>
      </c>
      <c r="Q54" s="358"/>
      <c r="R54" s="359"/>
      <c r="S54" s="359"/>
      <c r="T54" s="359"/>
      <c r="U54" s="359"/>
      <c r="V54" s="359"/>
      <c r="W54" s="359"/>
      <c r="X54" s="359"/>
      <c r="Y54" s="359"/>
      <c r="Z54" s="360"/>
      <c r="AA54" s="361" t="str">
        <f t="shared" si="3"/>
        <v/>
      </c>
      <c r="AB54" s="362" t="str">
        <f t="shared" si="4"/>
        <v/>
      </c>
      <c r="AC54" s="363" t="str">
        <f t="shared" si="5"/>
        <v/>
      </c>
      <c r="AD54" s="358"/>
      <c r="AE54" s="359"/>
      <c r="AF54" s="360"/>
      <c r="AG54" s="364" t="str">
        <f t="shared" si="6"/>
        <v/>
      </c>
      <c r="AH54" s="362" t="str">
        <f t="shared" si="7"/>
        <v/>
      </c>
      <c r="AI54" s="365" t="str">
        <f t="shared" si="8"/>
        <v/>
      </c>
      <c r="AJ54" s="364" t="str">
        <f t="shared" si="9"/>
        <v/>
      </c>
      <c r="AK54" s="366" t="str">
        <f t="shared" si="10"/>
        <v/>
      </c>
      <c r="AL54" s="367" t="str">
        <f t="shared" si="11"/>
        <v/>
      </c>
      <c r="AM54" s="368" t="str">
        <f>IFERROR(_xlfn.XLOOKUP(AL54,HELPER!$C$7:$C$47,HELPER!$D$7:$D$47,,1),"")</f>
        <v/>
      </c>
    </row>
    <row r="55" hidden="1" spans="2:39">
      <c r="B55" s="356">
        <v>39</v>
      </c>
      <c r="C55" s="357" t="str">
        <f>IFERROR(IF(OR($B$8="INCORRECT SHEET. Do not use this sheet to input data.",'INPUT DATA'!O49=""),"",'INPUT DATA'!O49),"")</f>
        <v/>
      </c>
      <c r="D55" s="358"/>
      <c r="E55" s="359"/>
      <c r="F55" s="359"/>
      <c r="G55" s="359"/>
      <c r="H55" s="359"/>
      <c r="I55" s="359"/>
      <c r="J55" s="359"/>
      <c r="K55" s="359"/>
      <c r="L55" s="359"/>
      <c r="M55" s="360"/>
      <c r="N55" s="361" t="str">
        <f t="shared" si="0"/>
        <v/>
      </c>
      <c r="O55" s="362" t="str">
        <f t="shared" si="1"/>
        <v/>
      </c>
      <c r="P55" s="363" t="str">
        <f t="shared" si="2"/>
        <v/>
      </c>
      <c r="Q55" s="358"/>
      <c r="R55" s="359"/>
      <c r="S55" s="359"/>
      <c r="T55" s="359"/>
      <c r="U55" s="359"/>
      <c r="V55" s="359"/>
      <c r="W55" s="359"/>
      <c r="X55" s="359"/>
      <c r="Y55" s="359"/>
      <c r="Z55" s="360"/>
      <c r="AA55" s="361" t="str">
        <f t="shared" si="3"/>
        <v/>
      </c>
      <c r="AB55" s="362" t="str">
        <f t="shared" si="4"/>
        <v/>
      </c>
      <c r="AC55" s="363" t="str">
        <f t="shared" si="5"/>
        <v/>
      </c>
      <c r="AD55" s="358"/>
      <c r="AE55" s="359"/>
      <c r="AF55" s="360"/>
      <c r="AG55" s="364" t="str">
        <f t="shared" si="6"/>
        <v/>
      </c>
      <c r="AH55" s="362" t="str">
        <f t="shared" si="7"/>
        <v/>
      </c>
      <c r="AI55" s="365" t="str">
        <f t="shared" si="8"/>
        <v/>
      </c>
      <c r="AJ55" s="364" t="str">
        <f t="shared" si="9"/>
        <v/>
      </c>
      <c r="AK55" s="366" t="str">
        <f t="shared" si="10"/>
        <v/>
      </c>
      <c r="AL55" s="367" t="str">
        <f t="shared" si="11"/>
        <v/>
      </c>
      <c r="AM55" s="368" t="str">
        <f>IFERROR(_xlfn.XLOOKUP(AL55,HELPER!$C$7:$C$47,HELPER!$D$7:$D$47,,1),"")</f>
        <v/>
      </c>
    </row>
    <row r="56" hidden="1" spans="2:39">
      <c r="B56" s="356">
        <v>40</v>
      </c>
      <c r="C56" s="357" t="str">
        <f>IFERROR(IF(OR($B$8="INCORRECT SHEET. Do not use this sheet to input data.",'INPUT DATA'!O50=""),"",'INPUT DATA'!O50),"")</f>
        <v/>
      </c>
      <c r="D56" s="358"/>
      <c r="E56" s="359"/>
      <c r="F56" s="359"/>
      <c r="G56" s="359"/>
      <c r="H56" s="359"/>
      <c r="I56" s="359"/>
      <c r="J56" s="359"/>
      <c r="K56" s="359"/>
      <c r="L56" s="359"/>
      <c r="M56" s="360"/>
      <c r="N56" s="361" t="str">
        <f t="shared" si="0"/>
        <v/>
      </c>
      <c r="O56" s="362" t="str">
        <f t="shared" si="1"/>
        <v/>
      </c>
      <c r="P56" s="363" t="str">
        <f t="shared" si="2"/>
        <v/>
      </c>
      <c r="Q56" s="358"/>
      <c r="R56" s="359"/>
      <c r="S56" s="359"/>
      <c r="T56" s="359"/>
      <c r="U56" s="359"/>
      <c r="V56" s="359"/>
      <c r="W56" s="359"/>
      <c r="X56" s="359"/>
      <c r="Y56" s="359"/>
      <c r="Z56" s="360"/>
      <c r="AA56" s="361" t="str">
        <f t="shared" si="3"/>
        <v/>
      </c>
      <c r="AB56" s="362" t="str">
        <f t="shared" si="4"/>
        <v/>
      </c>
      <c r="AC56" s="363" t="str">
        <f t="shared" si="5"/>
        <v/>
      </c>
      <c r="AD56" s="358"/>
      <c r="AE56" s="359"/>
      <c r="AF56" s="360"/>
      <c r="AG56" s="364" t="str">
        <f t="shared" si="6"/>
        <v/>
      </c>
      <c r="AH56" s="362" t="str">
        <f t="shared" si="7"/>
        <v/>
      </c>
      <c r="AI56" s="365" t="str">
        <f t="shared" si="8"/>
        <v/>
      </c>
      <c r="AJ56" s="364" t="str">
        <f t="shared" si="9"/>
        <v/>
      </c>
      <c r="AK56" s="366" t="str">
        <f t="shared" si="10"/>
        <v/>
      </c>
      <c r="AL56" s="367" t="str">
        <f t="shared" si="11"/>
        <v/>
      </c>
      <c r="AM56" s="368" t="str">
        <f>IFERROR(_xlfn.XLOOKUP(AL56,HELPER!$C$7:$C$47,HELPER!$D$7:$D$47,,1),"")</f>
        <v/>
      </c>
    </row>
    <row r="57" hidden="1" spans="2:39">
      <c r="B57" s="356">
        <v>41</v>
      </c>
      <c r="C57" s="357" t="str">
        <f>IFERROR(IF(OR($B$8="INCORRECT SHEET. Do not use this sheet to input data.",'INPUT DATA'!O51=""),"",'INPUT DATA'!O51),"")</f>
        <v/>
      </c>
      <c r="D57" s="358"/>
      <c r="E57" s="359"/>
      <c r="F57" s="359"/>
      <c r="G57" s="359"/>
      <c r="H57" s="359"/>
      <c r="I57" s="359"/>
      <c r="J57" s="359"/>
      <c r="K57" s="359"/>
      <c r="L57" s="359"/>
      <c r="M57" s="360"/>
      <c r="N57" s="361" t="str">
        <f t="shared" si="0"/>
        <v/>
      </c>
      <c r="O57" s="362" t="str">
        <f t="shared" si="1"/>
        <v/>
      </c>
      <c r="P57" s="363" t="str">
        <f t="shared" si="2"/>
        <v/>
      </c>
      <c r="Q57" s="358"/>
      <c r="R57" s="359"/>
      <c r="S57" s="359"/>
      <c r="T57" s="359"/>
      <c r="U57" s="359"/>
      <c r="V57" s="359"/>
      <c r="W57" s="359"/>
      <c r="X57" s="359"/>
      <c r="Y57" s="359"/>
      <c r="Z57" s="360"/>
      <c r="AA57" s="361" t="str">
        <f t="shared" si="3"/>
        <v/>
      </c>
      <c r="AB57" s="362" t="str">
        <f t="shared" si="4"/>
        <v/>
      </c>
      <c r="AC57" s="363" t="str">
        <f t="shared" si="5"/>
        <v/>
      </c>
      <c r="AD57" s="358"/>
      <c r="AE57" s="359"/>
      <c r="AF57" s="360"/>
      <c r="AG57" s="364" t="str">
        <f t="shared" si="6"/>
        <v/>
      </c>
      <c r="AH57" s="362" t="str">
        <f t="shared" si="7"/>
        <v/>
      </c>
      <c r="AI57" s="365" t="str">
        <f t="shared" si="8"/>
        <v/>
      </c>
      <c r="AJ57" s="364" t="str">
        <f t="shared" si="9"/>
        <v/>
      </c>
      <c r="AK57" s="366" t="str">
        <f t="shared" si="10"/>
        <v/>
      </c>
      <c r="AL57" s="367" t="str">
        <f t="shared" si="11"/>
        <v/>
      </c>
      <c r="AM57" s="368" t="str">
        <f>IFERROR(_xlfn.XLOOKUP(AL57,HELPER!$C$7:$C$47,HELPER!$D$7:$D$47,,1),"")</f>
        <v/>
      </c>
    </row>
    <row r="58" hidden="1" spans="2:39">
      <c r="B58" s="356">
        <v>42</v>
      </c>
      <c r="C58" s="357" t="str">
        <f>IFERROR(IF(OR($B$8="INCORRECT SHEET. Do not use this sheet to input data.",'INPUT DATA'!O52=""),"",'INPUT DATA'!O52),"")</f>
        <v/>
      </c>
      <c r="D58" s="358"/>
      <c r="E58" s="359"/>
      <c r="F58" s="359"/>
      <c r="G58" s="359"/>
      <c r="H58" s="359"/>
      <c r="I58" s="359"/>
      <c r="J58" s="359"/>
      <c r="K58" s="359"/>
      <c r="L58" s="359"/>
      <c r="M58" s="360"/>
      <c r="N58" s="361" t="str">
        <f t="shared" si="0"/>
        <v/>
      </c>
      <c r="O58" s="362" t="str">
        <f t="shared" si="1"/>
        <v/>
      </c>
      <c r="P58" s="363" t="str">
        <f t="shared" si="2"/>
        <v/>
      </c>
      <c r="Q58" s="358"/>
      <c r="R58" s="359"/>
      <c r="S58" s="359"/>
      <c r="T58" s="359"/>
      <c r="U58" s="359"/>
      <c r="V58" s="359"/>
      <c r="W58" s="359"/>
      <c r="X58" s="359"/>
      <c r="Y58" s="359"/>
      <c r="Z58" s="360"/>
      <c r="AA58" s="361" t="str">
        <f t="shared" si="3"/>
        <v/>
      </c>
      <c r="AB58" s="362" t="str">
        <f t="shared" si="4"/>
        <v/>
      </c>
      <c r="AC58" s="363" t="str">
        <f t="shared" si="5"/>
        <v/>
      </c>
      <c r="AD58" s="358"/>
      <c r="AE58" s="359"/>
      <c r="AF58" s="360"/>
      <c r="AG58" s="364" t="str">
        <f t="shared" si="6"/>
        <v/>
      </c>
      <c r="AH58" s="362" t="str">
        <f t="shared" si="7"/>
        <v/>
      </c>
      <c r="AI58" s="365" t="str">
        <f t="shared" si="8"/>
        <v/>
      </c>
      <c r="AJ58" s="364" t="str">
        <f t="shared" si="9"/>
        <v/>
      </c>
      <c r="AK58" s="366" t="str">
        <f t="shared" si="10"/>
        <v/>
      </c>
      <c r="AL58" s="367" t="str">
        <f t="shared" si="11"/>
        <v/>
      </c>
      <c r="AM58" s="368" t="str">
        <f>IFERROR(_xlfn.XLOOKUP(AL58,HELPER!$C$7:$C$47,HELPER!$D$7:$D$47,,1),"")</f>
        <v/>
      </c>
    </row>
    <row r="59" hidden="1" spans="2:39">
      <c r="B59" s="356">
        <v>43</v>
      </c>
      <c r="C59" s="357" t="str">
        <f>IFERROR(IF(OR($B$8="INCORRECT SHEET. Do not use this sheet to input data.",'INPUT DATA'!O53=""),"",'INPUT DATA'!O53),"")</f>
        <v/>
      </c>
      <c r="D59" s="358"/>
      <c r="E59" s="359"/>
      <c r="F59" s="359"/>
      <c r="G59" s="359"/>
      <c r="H59" s="359"/>
      <c r="I59" s="359"/>
      <c r="J59" s="359"/>
      <c r="K59" s="359"/>
      <c r="L59" s="359"/>
      <c r="M59" s="360"/>
      <c r="N59" s="361" t="str">
        <f t="shared" si="0"/>
        <v/>
      </c>
      <c r="O59" s="362" t="str">
        <f t="shared" si="1"/>
        <v/>
      </c>
      <c r="P59" s="363" t="str">
        <f t="shared" si="2"/>
        <v/>
      </c>
      <c r="Q59" s="358"/>
      <c r="R59" s="359"/>
      <c r="S59" s="359"/>
      <c r="T59" s="359"/>
      <c r="U59" s="359"/>
      <c r="V59" s="359"/>
      <c r="W59" s="359"/>
      <c r="X59" s="359"/>
      <c r="Y59" s="359"/>
      <c r="Z59" s="360"/>
      <c r="AA59" s="361" t="str">
        <f t="shared" si="3"/>
        <v/>
      </c>
      <c r="AB59" s="362" t="str">
        <f t="shared" si="4"/>
        <v/>
      </c>
      <c r="AC59" s="363" t="str">
        <f t="shared" si="5"/>
        <v/>
      </c>
      <c r="AD59" s="358"/>
      <c r="AE59" s="359"/>
      <c r="AF59" s="360"/>
      <c r="AG59" s="364" t="str">
        <f t="shared" si="6"/>
        <v/>
      </c>
      <c r="AH59" s="362" t="str">
        <f t="shared" si="7"/>
        <v/>
      </c>
      <c r="AI59" s="365" t="str">
        <f t="shared" si="8"/>
        <v/>
      </c>
      <c r="AJ59" s="364" t="str">
        <f t="shared" si="9"/>
        <v/>
      </c>
      <c r="AK59" s="366" t="str">
        <f t="shared" si="10"/>
        <v/>
      </c>
      <c r="AL59" s="367" t="str">
        <f t="shared" si="11"/>
        <v/>
      </c>
      <c r="AM59" s="368" t="str">
        <f>IFERROR(_xlfn.XLOOKUP(AL59,HELPER!$C$7:$C$47,HELPER!$D$7:$D$47,,1),"")</f>
        <v/>
      </c>
    </row>
    <row r="60" hidden="1" spans="2:39">
      <c r="B60" s="356">
        <v>44</v>
      </c>
      <c r="C60" s="357" t="str">
        <f>IFERROR(IF(OR($B$8="INCORRECT SHEET. Do not use this sheet to input data.",'INPUT DATA'!O54=""),"",'INPUT DATA'!O54),"")</f>
        <v/>
      </c>
      <c r="D60" s="358"/>
      <c r="E60" s="359"/>
      <c r="F60" s="359"/>
      <c r="G60" s="359"/>
      <c r="H60" s="359"/>
      <c r="I60" s="359"/>
      <c r="J60" s="359"/>
      <c r="K60" s="359"/>
      <c r="L60" s="359"/>
      <c r="M60" s="360"/>
      <c r="N60" s="361" t="str">
        <f t="shared" si="0"/>
        <v/>
      </c>
      <c r="O60" s="362" t="str">
        <f t="shared" si="1"/>
        <v/>
      </c>
      <c r="P60" s="363" t="str">
        <f t="shared" si="2"/>
        <v/>
      </c>
      <c r="Q60" s="358"/>
      <c r="R60" s="359"/>
      <c r="S60" s="359"/>
      <c r="T60" s="359"/>
      <c r="U60" s="359"/>
      <c r="V60" s="359"/>
      <c r="W60" s="359"/>
      <c r="X60" s="359"/>
      <c r="Y60" s="359"/>
      <c r="Z60" s="360"/>
      <c r="AA60" s="361" t="str">
        <f t="shared" si="3"/>
        <v/>
      </c>
      <c r="AB60" s="362" t="str">
        <f t="shared" si="4"/>
        <v/>
      </c>
      <c r="AC60" s="363" t="str">
        <f t="shared" si="5"/>
        <v/>
      </c>
      <c r="AD60" s="358"/>
      <c r="AE60" s="359"/>
      <c r="AF60" s="360"/>
      <c r="AG60" s="364" t="str">
        <f t="shared" si="6"/>
        <v/>
      </c>
      <c r="AH60" s="362" t="str">
        <f t="shared" si="7"/>
        <v/>
      </c>
      <c r="AI60" s="365" t="str">
        <f t="shared" si="8"/>
        <v/>
      </c>
      <c r="AJ60" s="364" t="str">
        <f t="shared" si="9"/>
        <v/>
      </c>
      <c r="AK60" s="366" t="str">
        <f t="shared" si="10"/>
        <v/>
      </c>
      <c r="AL60" s="367" t="str">
        <f t="shared" si="11"/>
        <v/>
      </c>
      <c r="AM60" s="368" t="str">
        <f>IFERROR(_xlfn.XLOOKUP(AL60,HELPER!$C$7:$C$47,HELPER!$D$7:$D$47,,1),"")</f>
        <v/>
      </c>
    </row>
    <row r="61" hidden="1" spans="2:39">
      <c r="B61" s="356">
        <v>45</v>
      </c>
      <c r="C61" s="357" t="str">
        <f>IFERROR(IF(OR($B$8="INCORRECT SHEET. Do not use this sheet to input data.",'INPUT DATA'!O55=""),"",'INPUT DATA'!O55),"")</f>
        <v/>
      </c>
      <c r="D61" s="358"/>
      <c r="E61" s="359"/>
      <c r="F61" s="359"/>
      <c r="G61" s="359"/>
      <c r="H61" s="359"/>
      <c r="I61" s="359"/>
      <c r="J61" s="359"/>
      <c r="K61" s="359"/>
      <c r="L61" s="359"/>
      <c r="M61" s="360"/>
      <c r="N61" s="361" t="str">
        <f t="shared" si="0"/>
        <v/>
      </c>
      <c r="O61" s="362" t="str">
        <f t="shared" si="1"/>
        <v/>
      </c>
      <c r="P61" s="363" t="str">
        <f t="shared" si="2"/>
        <v/>
      </c>
      <c r="Q61" s="358"/>
      <c r="R61" s="359"/>
      <c r="S61" s="359"/>
      <c r="T61" s="359"/>
      <c r="U61" s="359"/>
      <c r="V61" s="359"/>
      <c r="W61" s="359"/>
      <c r="X61" s="359"/>
      <c r="Y61" s="359"/>
      <c r="Z61" s="360"/>
      <c r="AA61" s="361" t="str">
        <f t="shared" si="3"/>
        <v/>
      </c>
      <c r="AB61" s="362" t="str">
        <f t="shared" si="4"/>
        <v/>
      </c>
      <c r="AC61" s="363" t="str">
        <f t="shared" si="5"/>
        <v/>
      </c>
      <c r="AD61" s="358"/>
      <c r="AE61" s="359"/>
      <c r="AF61" s="360"/>
      <c r="AG61" s="364" t="str">
        <f t="shared" si="6"/>
        <v/>
      </c>
      <c r="AH61" s="362" t="str">
        <f t="shared" si="7"/>
        <v/>
      </c>
      <c r="AI61" s="365" t="str">
        <f t="shared" si="8"/>
        <v/>
      </c>
      <c r="AJ61" s="364" t="str">
        <f t="shared" si="9"/>
        <v/>
      </c>
      <c r="AK61" s="366" t="str">
        <f t="shared" si="10"/>
        <v/>
      </c>
      <c r="AL61" s="367" t="str">
        <f t="shared" si="11"/>
        <v/>
      </c>
      <c r="AM61" s="368" t="str">
        <f>IFERROR(_xlfn.XLOOKUP(AL61,HELPER!$C$7:$C$47,HELPER!$D$7:$D$47,,1),"")</f>
        <v/>
      </c>
    </row>
    <row r="62" hidden="1" spans="2:39">
      <c r="B62" s="356">
        <v>46</v>
      </c>
      <c r="C62" s="357" t="str">
        <f>IFERROR(IF(OR($B$8="INCORRECT SHEET. Do not use this sheet to input data.",'INPUT DATA'!O56=""),"",'INPUT DATA'!O56),"")</f>
        <v/>
      </c>
      <c r="D62" s="358"/>
      <c r="E62" s="359"/>
      <c r="F62" s="359"/>
      <c r="G62" s="359"/>
      <c r="H62" s="359"/>
      <c r="I62" s="359"/>
      <c r="J62" s="359"/>
      <c r="K62" s="359"/>
      <c r="L62" s="359"/>
      <c r="M62" s="360"/>
      <c r="N62" s="361" t="str">
        <f t="shared" si="0"/>
        <v/>
      </c>
      <c r="O62" s="362" t="str">
        <f t="shared" si="1"/>
        <v/>
      </c>
      <c r="P62" s="363" t="str">
        <f t="shared" si="2"/>
        <v/>
      </c>
      <c r="Q62" s="358"/>
      <c r="R62" s="359"/>
      <c r="S62" s="359"/>
      <c r="T62" s="359"/>
      <c r="U62" s="359"/>
      <c r="V62" s="359"/>
      <c r="W62" s="359"/>
      <c r="X62" s="359"/>
      <c r="Y62" s="359"/>
      <c r="Z62" s="360"/>
      <c r="AA62" s="361" t="str">
        <f t="shared" si="3"/>
        <v/>
      </c>
      <c r="AB62" s="362" t="str">
        <f t="shared" si="4"/>
        <v/>
      </c>
      <c r="AC62" s="363" t="str">
        <f t="shared" si="5"/>
        <v/>
      </c>
      <c r="AD62" s="358"/>
      <c r="AE62" s="359"/>
      <c r="AF62" s="360"/>
      <c r="AG62" s="364" t="str">
        <f t="shared" si="6"/>
        <v/>
      </c>
      <c r="AH62" s="362" t="str">
        <f t="shared" si="7"/>
        <v/>
      </c>
      <c r="AI62" s="365" t="str">
        <f t="shared" si="8"/>
        <v/>
      </c>
      <c r="AJ62" s="364" t="str">
        <f t="shared" si="9"/>
        <v/>
      </c>
      <c r="AK62" s="366" t="str">
        <f t="shared" si="10"/>
        <v/>
      </c>
      <c r="AL62" s="367" t="str">
        <f t="shared" si="11"/>
        <v/>
      </c>
      <c r="AM62" s="368" t="str">
        <f>IFERROR(_xlfn.XLOOKUP(AL62,HELPER!$C$7:$C$47,HELPER!$D$7:$D$47,,1),"")</f>
        <v/>
      </c>
    </row>
    <row r="63" hidden="1" spans="2:39">
      <c r="B63" s="356">
        <v>47</v>
      </c>
      <c r="C63" s="357" t="str">
        <f>IFERROR(IF(OR($B$8="INCORRECT SHEET. Do not use this sheet to input data.",'INPUT DATA'!O57=""),"",'INPUT DATA'!O57),"")</f>
        <v/>
      </c>
      <c r="D63" s="358"/>
      <c r="E63" s="359"/>
      <c r="F63" s="359"/>
      <c r="G63" s="359"/>
      <c r="H63" s="359"/>
      <c r="I63" s="359"/>
      <c r="J63" s="359"/>
      <c r="K63" s="359"/>
      <c r="L63" s="359"/>
      <c r="M63" s="360"/>
      <c r="N63" s="361" t="str">
        <f t="shared" si="0"/>
        <v/>
      </c>
      <c r="O63" s="362" t="str">
        <f t="shared" si="1"/>
        <v/>
      </c>
      <c r="P63" s="363" t="str">
        <f t="shared" si="2"/>
        <v/>
      </c>
      <c r="Q63" s="358"/>
      <c r="R63" s="359"/>
      <c r="S63" s="359"/>
      <c r="T63" s="359"/>
      <c r="U63" s="359"/>
      <c r="V63" s="359"/>
      <c r="W63" s="359"/>
      <c r="X63" s="359"/>
      <c r="Y63" s="359"/>
      <c r="Z63" s="360"/>
      <c r="AA63" s="361" t="str">
        <f t="shared" si="3"/>
        <v/>
      </c>
      <c r="AB63" s="362" t="str">
        <f t="shared" si="4"/>
        <v/>
      </c>
      <c r="AC63" s="363" t="str">
        <f t="shared" si="5"/>
        <v/>
      </c>
      <c r="AD63" s="358"/>
      <c r="AE63" s="359"/>
      <c r="AF63" s="360"/>
      <c r="AG63" s="364" t="str">
        <f t="shared" si="6"/>
        <v/>
      </c>
      <c r="AH63" s="362" t="str">
        <f t="shared" si="7"/>
        <v/>
      </c>
      <c r="AI63" s="365" t="str">
        <f t="shared" si="8"/>
        <v/>
      </c>
      <c r="AJ63" s="364" t="str">
        <f t="shared" si="9"/>
        <v/>
      </c>
      <c r="AK63" s="366" t="str">
        <f t="shared" si="10"/>
        <v/>
      </c>
      <c r="AL63" s="367" t="str">
        <f t="shared" si="11"/>
        <v/>
      </c>
      <c r="AM63" s="368" t="str">
        <f>IFERROR(_xlfn.XLOOKUP(AL63,HELPER!$C$7:$C$47,HELPER!$D$7:$D$47,,1),"")</f>
        <v/>
      </c>
    </row>
    <row r="64" hidden="1" spans="2:39">
      <c r="B64" s="356">
        <v>48</v>
      </c>
      <c r="C64" s="357" t="str">
        <f>IFERROR(IF(OR($B$8="INCORRECT SHEET. Do not use this sheet to input data.",'INPUT DATA'!O58=""),"",'INPUT DATA'!O58),"")</f>
        <v/>
      </c>
      <c r="D64" s="358"/>
      <c r="E64" s="359"/>
      <c r="F64" s="359"/>
      <c r="G64" s="359"/>
      <c r="H64" s="359"/>
      <c r="I64" s="359"/>
      <c r="J64" s="359"/>
      <c r="K64" s="359"/>
      <c r="L64" s="359"/>
      <c r="M64" s="360"/>
      <c r="N64" s="361" t="str">
        <f t="shared" si="0"/>
        <v/>
      </c>
      <c r="O64" s="362" t="str">
        <f t="shared" si="1"/>
        <v/>
      </c>
      <c r="P64" s="363" t="str">
        <f t="shared" si="2"/>
        <v/>
      </c>
      <c r="Q64" s="358"/>
      <c r="R64" s="359"/>
      <c r="S64" s="359"/>
      <c r="T64" s="359"/>
      <c r="U64" s="359"/>
      <c r="V64" s="359"/>
      <c r="W64" s="359"/>
      <c r="X64" s="359"/>
      <c r="Y64" s="359"/>
      <c r="Z64" s="360"/>
      <c r="AA64" s="361" t="str">
        <f t="shared" si="3"/>
        <v/>
      </c>
      <c r="AB64" s="362" t="str">
        <f t="shared" si="4"/>
        <v/>
      </c>
      <c r="AC64" s="363" t="str">
        <f t="shared" si="5"/>
        <v/>
      </c>
      <c r="AD64" s="358"/>
      <c r="AE64" s="359"/>
      <c r="AF64" s="360"/>
      <c r="AG64" s="364" t="str">
        <f t="shared" si="6"/>
        <v/>
      </c>
      <c r="AH64" s="362" t="str">
        <f t="shared" si="7"/>
        <v/>
      </c>
      <c r="AI64" s="365" t="str">
        <f t="shared" si="8"/>
        <v/>
      </c>
      <c r="AJ64" s="364" t="str">
        <f t="shared" si="9"/>
        <v/>
      </c>
      <c r="AK64" s="366" t="str">
        <f t="shared" si="10"/>
        <v/>
      </c>
      <c r="AL64" s="367" t="str">
        <f t="shared" si="11"/>
        <v/>
      </c>
      <c r="AM64" s="368" t="str">
        <f>IFERROR(_xlfn.XLOOKUP(AL64,HELPER!$C$7:$C$47,HELPER!$D$7:$D$47,,1),"")</f>
        <v/>
      </c>
    </row>
    <row r="65" hidden="1" spans="2:39">
      <c r="B65" s="356">
        <v>49</v>
      </c>
      <c r="C65" s="357" t="str">
        <f>IFERROR(IF(OR($B$8="INCORRECT SHEET. Do not use this sheet to input data.",'INPUT DATA'!O59=""),"",'INPUT DATA'!O59),"")</f>
        <v/>
      </c>
      <c r="D65" s="358"/>
      <c r="E65" s="359"/>
      <c r="F65" s="359"/>
      <c r="G65" s="359"/>
      <c r="H65" s="359"/>
      <c r="I65" s="359"/>
      <c r="J65" s="359"/>
      <c r="K65" s="359"/>
      <c r="L65" s="359"/>
      <c r="M65" s="360"/>
      <c r="N65" s="361" t="str">
        <f t="shared" si="0"/>
        <v/>
      </c>
      <c r="O65" s="362" t="str">
        <f t="shared" si="1"/>
        <v/>
      </c>
      <c r="P65" s="363" t="str">
        <f t="shared" si="2"/>
        <v/>
      </c>
      <c r="Q65" s="358"/>
      <c r="R65" s="359"/>
      <c r="S65" s="359"/>
      <c r="T65" s="359"/>
      <c r="U65" s="359"/>
      <c r="V65" s="359"/>
      <c r="W65" s="359"/>
      <c r="X65" s="359"/>
      <c r="Y65" s="359"/>
      <c r="Z65" s="360"/>
      <c r="AA65" s="361" t="str">
        <f t="shared" si="3"/>
        <v/>
      </c>
      <c r="AB65" s="362" t="str">
        <f t="shared" si="4"/>
        <v/>
      </c>
      <c r="AC65" s="363" t="str">
        <f t="shared" si="5"/>
        <v/>
      </c>
      <c r="AD65" s="358"/>
      <c r="AE65" s="359"/>
      <c r="AF65" s="360"/>
      <c r="AG65" s="364" t="str">
        <f t="shared" si="6"/>
        <v/>
      </c>
      <c r="AH65" s="362" t="str">
        <f t="shared" si="7"/>
        <v/>
      </c>
      <c r="AI65" s="365" t="str">
        <f t="shared" si="8"/>
        <v/>
      </c>
      <c r="AJ65" s="364" t="str">
        <f t="shared" si="9"/>
        <v/>
      </c>
      <c r="AK65" s="366" t="str">
        <f t="shared" si="10"/>
        <v/>
      </c>
      <c r="AL65" s="367" t="str">
        <f t="shared" si="11"/>
        <v/>
      </c>
      <c r="AM65" s="368" t="str">
        <f>IFERROR(_xlfn.XLOOKUP(AL65,HELPER!$C$7:$C$47,HELPER!$D$7:$D$47,,1),"")</f>
        <v/>
      </c>
    </row>
    <row r="66" ht="14.55" hidden="1" spans="2:39">
      <c r="B66" s="369">
        <v>50</v>
      </c>
      <c r="C66" s="370" t="str">
        <f>IFERROR(IF(OR($B$8="INCORRECT SHEET. Do not use this sheet to input data.",'INPUT DATA'!O60=""),"",'INPUT DATA'!O60),"")</f>
        <v/>
      </c>
      <c r="D66" s="371"/>
      <c r="E66" s="372"/>
      <c r="F66" s="372"/>
      <c r="G66" s="372"/>
      <c r="H66" s="372"/>
      <c r="I66" s="372"/>
      <c r="J66" s="372"/>
      <c r="K66" s="372"/>
      <c r="L66" s="372"/>
      <c r="M66" s="373"/>
      <c r="N66" s="374" t="str">
        <f t="shared" si="0"/>
        <v/>
      </c>
      <c r="O66" s="375" t="str">
        <f t="shared" si="1"/>
        <v/>
      </c>
      <c r="P66" s="376" t="str">
        <f t="shared" si="2"/>
        <v/>
      </c>
      <c r="Q66" s="371"/>
      <c r="R66" s="372"/>
      <c r="S66" s="372"/>
      <c r="T66" s="372"/>
      <c r="U66" s="372"/>
      <c r="V66" s="372"/>
      <c r="W66" s="372"/>
      <c r="X66" s="372"/>
      <c r="Y66" s="372"/>
      <c r="Z66" s="373"/>
      <c r="AA66" s="374" t="str">
        <f t="shared" si="3"/>
        <v/>
      </c>
      <c r="AB66" s="375" t="str">
        <f t="shared" si="4"/>
        <v/>
      </c>
      <c r="AC66" s="376" t="str">
        <f t="shared" si="5"/>
        <v/>
      </c>
      <c r="AD66" s="371"/>
      <c r="AE66" s="372"/>
      <c r="AF66" s="373"/>
      <c r="AG66" s="377" t="str">
        <f t="shared" si="6"/>
        <v/>
      </c>
      <c r="AH66" s="375" t="str">
        <f t="shared" si="7"/>
        <v/>
      </c>
      <c r="AI66" s="378" t="str">
        <f t="shared" si="8"/>
        <v/>
      </c>
      <c r="AJ66" s="377" t="str">
        <f t="shared" si="9"/>
        <v/>
      </c>
      <c r="AK66" s="379" t="str">
        <f t="shared" si="10"/>
        <v/>
      </c>
      <c r="AL66" s="380" t="str">
        <f t="shared" si="11"/>
        <v/>
      </c>
      <c r="AM66" s="381" t="str">
        <f>IFERROR(_xlfn.XLOOKUP(AL66,HELPER!$C$7:$C$47,HELPER!$D$7:$D$47,,1),"")</f>
        <v/>
      </c>
    </row>
    <row r="67" ht="14.55" spans="2:39">
      <c r="B67" s="382" t="s">
        <v>45</v>
      </c>
      <c r="C67" s="383"/>
      <c r="D67" s="384"/>
      <c r="E67" s="384"/>
      <c r="F67" s="384"/>
      <c r="G67" s="384"/>
      <c r="H67" s="384"/>
      <c r="I67" s="384"/>
      <c r="J67" s="384"/>
      <c r="K67" s="384"/>
      <c r="L67" s="384"/>
      <c r="M67" s="384"/>
      <c r="N67" s="385"/>
      <c r="O67" s="386"/>
      <c r="P67" s="387"/>
      <c r="Q67" s="384"/>
      <c r="R67" s="384"/>
      <c r="S67" s="384"/>
      <c r="T67" s="384"/>
      <c r="U67" s="384"/>
      <c r="V67" s="384"/>
      <c r="W67" s="384"/>
      <c r="X67" s="384"/>
      <c r="Y67" s="384"/>
      <c r="Z67" s="384"/>
      <c r="AA67" s="385"/>
      <c r="AB67" s="386"/>
      <c r="AC67" s="387"/>
      <c r="AD67" s="384"/>
      <c r="AE67" s="384"/>
      <c r="AF67" s="384"/>
      <c r="AG67" s="385"/>
      <c r="AH67" s="385"/>
      <c r="AI67" s="385"/>
      <c r="AJ67" s="386"/>
      <c r="AK67" s="387"/>
      <c r="AL67" s="388"/>
      <c r="AM67" s="389"/>
    </row>
    <row r="68" spans="2:39">
      <c r="B68" s="390">
        <v>1</v>
      </c>
      <c r="C68" s="391" t="str">
        <f>IFERROR(IF(OR($B$8="INCORRECT SHEET. Do not use this sheet to input data.",'INPUT DATA'!S11=""),"",'INPUT DATA'!S11),"")</f>
        <v/>
      </c>
      <c r="D68" s="392"/>
      <c r="E68" s="393"/>
      <c r="F68" s="393"/>
      <c r="G68" s="393"/>
      <c r="H68" s="393"/>
      <c r="I68" s="393"/>
      <c r="J68" s="393"/>
      <c r="K68" s="393"/>
      <c r="L68" s="393"/>
      <c r="M68" s="394"/>
      <c r="N68" s="395" t="str">
        <f>IF(COUNT(D68:M68)=0,"",SUM(D68:M68))</f>
        <v/>
      </c>
      <c r="O68" s="396" t="str">
        <f>IFERROR(IF(N68="","",ROUND(N68/N$14*O$14,2)),"")</f>
        <v/>
      </c>
      <c r="P68" s="397" t="str">
        <f>IFERROR(IF(O68="","",ROUND(O68*P$14,2)),"")</f>
        <v/>
      </c>
      <c r="Q68" s="392"/>
      <c r="R68" s="393"/>
      <c r="S68" s="393"/>
      <c r="T68" s="393"/>
      <c r="U68" s="393"/>
      <c r="V68" s="393"/>
      <c r="W68" s="393"/>
      <c r="X68" s="393"/>
      <c r="Y68" s="393"/>
      <c r="Z68" s="394"/>
      <c r="AA68" s="395" t="str">
        <f>IF(COUNT(Q68:Z68)=0,"",SUM(Q68:Z68))</f>
        <v/>
      </c>
      <c r="AB68" s="396" t="str">
        <f>IFERROR(IF(AA68="","",ROUND(AA68/AA$14*AB$14,2)),"")</f>
        <v/>
      </c>
      <c r="AC68" s="397" t="str">
        <f>IFERROR(IF(AB68="","",ROUND(AB68*AC$14,2)),"")</f>
        <v/>
      </c>
      <c r="AD68" s="392"/>
      <c r="AE68" s="393"/>
      <c r="AF68" s="394"/>
      <c r="AG68" s="398" t="str">
        <f>IFERROR(IF(AD68="","",ROUND(AD68/$AD$14*$AG$14,2)),"")</f>
        <v/>
      </c>
      <c r="AH68" s="396" t="str">
        <f>IFERROR(IF(AE68="","",ROUND(AE68/$AE$14*$AH$14,2)),"")</f>
        <v/>
      </c>
      <c r="AI68" s="399" t="str">
        <f>IFERROR(IF(AF68="","",ROUND(AF68/$AF$14*$AI$14,2)),"")</f>
        <v/>
      </c>
      <c r="AJ68" s="398" t="str">
        <f>IF($AD$12=0,"",IF(OR(AG68&lt;&gt;"",AH68&lt;&gt;"",AI68&lt;&gt;""),(SUM(AG68:AI68)/SUM($AG$14:$AI$14))*$AJ$14,""))</f>
        <v/>
      </c>
      <c r="AK68" s="400" t="str">
        <f>IFERROR(IF(AJ68="","",ROUND(AJ68*$AK$14,2)),"")</f>
        <v/>
      </c>
      <c r="AL68" s="401" t="str">
        <f t="shared" ref="AL68:AL117" si="12">IF(AND(C68&lt;&gt;"",P68&lt;&gt;"",AC68&lt;&gt;"",$AD$12=0),SUM(P68,AC68),IF(AND(C68&lt;&gt;"",P68&lt;&gt;"",AC68&lt;&gt;"",AK68&lt;&gt;"",$D$12&gt;0,$Q$12&gt;0,$AD$12&gt;0),SUM(P68,AC68,AK68),""))</f>
        <v/>
      </c>
      <c r="AM68" s="218" t="str">
        <f>IFERROR(_xlfn.XLOOKUP(AL68,HELPER!$C$7:$C$47,HELPER!$D$7:$D$47,,1),"")</f>
        <v/>
      </c>
    </row>
    <row r="69" spans="2:39">
      <c r="B69" s="402">
        <v>2</v>
      </c>
      <c r="C69" s="391" t="str">
        <f>IFERROR(IF(OR($B$8="INCORRECT SHEET. Do not use this sheet to input data.",'INPUT DATA'!S12=""),"",'INPUT DATA'!S12),"")</f>
        <v/>
      </c>
      <c r="D69" s="358"/>
      <c r="E69" s="359"/>
      <c r="F69" s="359"/>
      <c r="G69" s="359"/>
      <c r="H69" s="359"/>
      <c r="I69" s="359"/>
      <c r="J69" s="359"/>
      <c r="K69" s="359"/>
      <c r="L69" s="359"/>
      <c r="M69" s="360"/>
      <c r="N69" s="361" t="str">
        <f t="shared" ref="N69:N117" si="13">IF(COUNT(D69:M69)=0,"",SUM(D69:M69))</f>
        <v/>
      </c>
      <c r="O69" s="362" t="str">
        <f t="shared" ref="O69:O117" si="14">IFERROR(IF(N69="","",ROUND(N69/N$14*O$14,2)),"")</f>
        <v/>
      </c>
      <c r="P69" s="363" t="str">
        <f t="shared" ref="P69:P117" si="15">IFERROR(IF(O69="","",ROUND(O69*P$14,2)),"")</f>
        <v/>
      </c>
      <c r="Q69" s="358"/>
      <c r="R69" s="359"/>
      <c r="S69" s="359"/>
      <c r="T69" s="359"/>
      <c r="U69" s="359"/>
      <c r="V69" s="359"/>
      <c r="W69" s="359"/>
      <c r="X69" s="359"/>
      <c r="Y69" s="359"/>
      <c r="Z69" s="360"/>
      <c r="AA69" s="361" t="str">
        <f t="shared" ref="AA69:AA117" si="16">IF(COUNT(Q69:Z69)=0,"",SUM(Q69:Z69))</f>
        <v/>
      </c>
      <c r="AB69" s="362" t="str">
        <f t="shared" ref="AB69:AB117" si="17">IFERROR(IF(AA69="","",ROUND(AA69/AA$14*AB$14,2)),"")</f>
        <v/>
      </c>
      <c r="AC69" s="363" t="str">
        <f t="shared" ref="AC69:AC117" si="18">IFERROR(IF(AB69="","",ROUND(AB69*AC$14,2)),"")</f>
        <v/>
      </c>
      <c r="AD69" s="358"/>
      <c r="AE69" s="359"/>
      <c r="AF69" s="360"/>
      <c r="AG69" s="364" t="str">
        <f t="shared" ref="AG69:AG117" si="19">IFERROR(IF(AD69="","",ROUND(AD69/$AD$14*$AG$14,2)),"")</f>
        <v/>
      </c>
      <c r="AH69" s="362" t="str">
        <f t="shared" ref="AH69:AH117" si="20">IFERROR(IF(AE69="","",ROUND(AE69/$AE$14*$AH$14,2)),"")</f>
        <v/>
      </c>
      <c r="AI69" s="365" t="str">
        <f t="shared" ref="AI69:AI117" si="21">IFERROR(IF(AF69="","",ROUND(AF69/$AF$14*$AI$14,2)),"")</f>
        <v/>
      </c>
      <c r="AJ69" s="364" t="str">
        <f t="shared" ref="AJ69:AJ117" si="22">IF($AD$12=0,"",IF(OR(AG69&lt;&gt;"",AH69&lt;&gt;"",AI69&lt;&gt;""),(SUM(AG69:AI69)/SUM($AG$14:$AI$14))*$AJ$14,""))</f>
        <v/>
      </c>
      <c r="AK69" s="366" t="str">
        <f t="shared" ref="AK69:AK117" si="23">IFERROR(IF(AJ69="","",ROUND(AJ69*$AK$14,2)),"")</f>
        <v/>
      </c>
      <c r="AL69" s="367" t="str">
        <f t="shared" si="12"/>
        <v/>
      </c>
      <c r="AM69" s="368" t="str">
        <f>IFERROR(_xlfn.XLOOKUP(AL69,HELPER!$C$7:$C$47,HELPER!$D$7:$D$47,,1),"")</f>
        <v/>
      </c>
    </row>
    <row r="70" spans="2:39">
      <c r="B70" s="402">
        <v>3</v>
      </c>
      <c r="C70" s="391" t="str">
        <f>IFERROR(IF(OR($B$8="INCORRECT SHEET. Do not use this sheet to input data.",'INPUT DATA'!S13=""),"",'INPUT DATA'!S13),"")</f>
        <v/>
      </c>
      <c r="D70" s="358"/>
      <c r="E70" s="359"/>
      <c r="F70" s="359"/>
      <c r="G70" s="359"/>
      <c r="H70" s="359"/>
      <c r="I70" s="359"/>
      <c r="J70" s="359"/>
      <c r="K70" s="359"/>
      <c r="L70" s="359"/>
      <c r="M70" s="360"/>
      <c r="N70" s="361" t="str">
        <f t="shared" si="13"/>
        <v/>
      </c>
      <c r="O70" s="362" t="str">
        <f t="shared" si="14"/>
        <v/>
      </c>
      <c r="P70" s="363" t="str">
        <f t="shared" si="15"/>
        <v/>
      </c>
      <c r="Q70" s="358"/>
      <c r="R70" s="359"/>
      <c r="S70" s="359"/>
      <c r="T70" s="359"/>
      <c r="U70" s="359"/>
      <c r="V70" s="359"/>
      <c r="W70" s="359"/>
      <c r="X70" s="359"/>
      <c r="Y70" s="359"/>
      <c r="Z70" s="360"/>
      <c r="AA70" s="361" t="str">
        <f t="shared" si="16"/>
        <v/>
      </c>
      <c r="AB70" s="362" t="str">
        <f t="shared" si="17"/>
        <v/>
      </c>
      <c r="AC70" s="363" t="str">
        <f t="shared" si="18"/>
        <v/>
      </c>
      <c r="AD70" s="358"/>
      <c r="AE70" s="359"/>
      <c r="AF70" s="360"/>
      <c r="AG70" s="364" t="str">
        <f t="shared" si="19"/>
        <v/>
      </c>
      <c r="AH70" s="362" t="str">
        <f t="shared" si="20"/>
        <v/>
      </c>
      <c r="AI70" s="365" t="str">
        <f t="shared" si="21"/>
        <v/>
      </c>
      <c r="AJ70" s="364" t="str">
        <f t="shared" si="22"/>
        <v/>
      </c>
      <c r="AK70" s="366" t="str">
        <f t="shared" si="23"/>
        <v/>
      </c>
      <c r="AL70" s="367" t="str">
        <f t="shared" si="12"/>
        <v/>
      </c>
      <c r="AM70" s="368" t="str">
        <f>IFERROR(_xlfn.XLOOKUP(AL70,HELPER!$C$7:$C$47,HELPER!$D$7:$D$47,,1),"")</f>
        <v/>
      </c>
    </row>
    <row r="71" spans="2:39">
      <c r="B71" s="402">
        <v>4</v>
      </c>
      <c r="C71" s="391" t="str">
        <f>IFERROR(IF(OR($B$8="INCORRECT SHEET. Do not use this sheet to input data.",'INPUT DATA'!S14=""),"",'INPUT DATA'!S14),"")</f>
        <v/>
      </c>
      <c r="D71" s="358"/>
      <c r="E71" s="359"/>
      <c r="F71" s="359"/>
      <c r="G71" s="359"/>
      <c r="H71" s="359"/>
      <c r="I71" s="359"/>
      <c r="J71" s="359"/>
      <c r="K71" s="359"/>
      <c r="L71" s="359"/>
      <c r="M71" s="360"/>
      <c r="N71" s="361" t="str">
        <f t="shared" si="13"/>
        <v/>
      </c>
      <c r="O71" s="362" t="str">
        <f t="shared" si="14"/>
        <v/>
      </c>
      <c r="P71" s="363" t="str">
        <f t="shared" si="15"/>
        <v/>
      </c>
      <c r="Q71" s="358"/>
      <c r="R71" s="359"/>
      <c r="S71" s="359"/>
      <c r="T71" s="359"/>
      <c r="U71" s="359"/>
      <c r="V71" s="359"/>
      <c r="W71" s="359"/>
      <c r="X71" s="359"/>
      <c r="Y71" s="359"/>
      <c r="Z71" s="360"/>
      <c r="AA71" s="361" t="str">
        <f t="shared" si="16"/>
        <v/>
      </c>
      <c r="AB71" s="362" t="str">
        <f t="shared" si="17"/>
        <v/>
      </c>
      <c r="AC71" s="363" t="str">
        <f t="shared" si="18"/>
        <v/>
      </c>
      <c r="AD71" s="358"/>
      <c r="AE71" s="359"/>
      <c r="AF71" s="360"/>
      <c r="AG71" s="364" t="str">
        <f t="shared" si="19"/>
        <v/>
      </c>
      <c r="AH71" s="362" t="str">
        <f t="shared" si="20"/>
        <v/>
      </c>
      <c r="AI71" s="365" t="str">
        <f t="shared" si="21"/>
        <v/>
      </c>
      <c r="AJ71" s="364" t="str">
        <f t="shared" si="22"/>
        <v/>
      </c>
      <c r="AK71" s="366" t="str">
        <f t="shared" si="23"/>
        <v/>
      </c>
      <c r="AL71" s="367" t="str">
        <f t="shared" si="12"/>
        <v/>
      </c>
      <c r="AM71" s="368" t="str">
        <f>IFERROR(_xlfn.XLOOKUP(AL71,HELPER!$C$7:$C$47,HELPER!$D$7:$D$47,,1),"")</f>
        <v/>
      </c>
    </row>
    <row r="72" spans="2:39">
      <c r="B72" s="402">
        <v>5</v>
      </c>
      <c r="C72" s="391" t="str">
        <f>IFERROR(IF(OR($B$8="INCORRECT SHEET. Do not use this sheet to input data.",'INPUT DATA'!S15=""),"",'INPUT DATA'!S15),"")</f>
        <v/>
      </c>
      <c r="D72" s="358"/>
      <c r="E72" s="359"/>
      <c r="F72" s="359"/>
      <c r="G72" s="359"/>
      <c r="H72" s="359"/>
      <c r="I72" s="359"/>
      <c r="J72" s="359"/>
      <c r="K72" s="359"/>
      <c r="L72" s="359"/>
      <c r="M72" s="360"/>
      <c r="N72" s="361" t="str">
        <f t="shared" si="13"/>
        <v/>
      </c>
      <c r="O72" s="362" t="str">
        <f t="shared" si="14"/>
        <v/>
      </c>
      <c r="P72" s="363" t="str">
        <f t="shared" si="15"/>
        <v/>
      </c>
      <c r="Q72" s="358"/>
      <c r="R72" s="359"/>
      <c r="S72" s="359"/>
      <c r="T72" s="359"/>
      <c r="U72" s="359"/>
      <c r="V72" s="359"/>
      <c r="W72" s="359"/>
      <c r="X72" s="359"/>
      <c r="Y72" s="359"/>
      <c r="Z72" s="360"/>
      <c r="AA72" s="361" t="str">
        <f t="shared" si="16"/>
        <v/>
      </c>
      <c r="AB72" s="362" t="str">
        <f t="shared" si="17"/>
        <v/>
      </c>
      <c r="AC72" s="363" t="str">
        <f t="shared" si="18"/>
        <v/>
      </c>
      <c r="AD72" s="358"/>
      <c r="AE72" s="359"/>
      <c r="AF72" s="360"/>
      <c r="AG72" s="364" t="str">
        <f t="shared" si="19"/>
        <v/>
      </c>
      <c r="AH72" s="362" t="str">
        <f t="shared" si="20"/>
        <v/>
      </c>
      <c r="AI72" s="365" t="str">
        <f t="shared" si="21"/>
        <v/>
      </c>
      <c r="AJ72" s="364" t="str">
        <f t="shared" si="22"/>
        <v/>
      </c>
      <c r="AK72" s="366" t="str">
        <f t="shared" si="23"/>
        <v/>
      </c>
      <c r="AL72" s="367" t="str">
        <f t="shared" si="12"/>
        <v/>
      </c>
      <c r="AM72" s="368" t="str">
        <f>IFERROR(_xlfn.XLOOKUP(AL72,HELPER!$C$7:$C$47,HELPER!$D$7:$D$47,,1),"")</f>
        <v/>
      </c>
    </row>
    <row r="73" spans="2:39">
      <c r="B73" s="402">
        <v>6</v>
      </c>
      <c r="C73" s="391" t="str">
        <f>IFERROR(IF(OR($B$8="INCORRECT SHEET. Do not use this sheet to input data.",'INPUT DATA'!S16=""),"",'INPUT DATA'!S16),"")</f>
        <v/>
      </c>
      <c r="D73" s="358"/>
      <c r="E73" s="359"/>
      <c r="F73" s="359"/>
      <c r="G73" s="359"/>
      <c r="H73" s="359"/>
      <c r="I73" s="359"/>
      <c r="J73" s="359"/>
      <c r="K73" s="359"/>
      <c r="L73" s="359"/>
      <c r="M73" s="360"/>
      <c r="N73" s="361" t="str">
        <f t="shared" si="13"/>
        <v/>
      </c>
      <c r="O73" s="362" t="str">
        <f t="shared" si="14"/>
        <v/>
      </c>
      <c r="P73" s="363" t="str">
        <f t="shared" si="15"/>
        <v/>
      </c>
      <c r="Q73" s="358"/>
      <c r="R73" s="359"/>
      <c r="S73" s="359"/>
      <c r="T73" s="359"/>
      <c r="U73" s="359"/>
      <c r="V73" s="359"/>
      <c r="W73" s="359"/>
      <c r="X73" s="359"/>
      <c r="Y73" s="359"/>
      <c r="Z73" s="360"/>
      <c r="AA73" s="361" t="str">
        <f t="shared" si="16"/>
        <v/>
      </c>
      <c r="AB73" s="362" t="str">
        <f t="shared" si="17"/>
        <v/>
      </c>
      <c r="AC73" s="363" t="str">
        <f t="shared" si="18"/>
        <v/>
      </c>
      <c r="AD73" s="358"/>
      <c r="AE73" s="359"/>
      <c r="AF73" s="360"/>
      <c r="AG73" s="364" t="str">
        <f t="shared" si="19"/>
        <v/>
      </c>
      <c r="AH73" s="362" t="str">
        <f t="shared" si="20"/>
        <v/>
      </c>
      <c r="AI73" s="365" t="str">
        <f t="shared" si="21"/>
        <v/>
      </c>
      <c r="AJ73" s="364" t="str">
        <f t="shared" si="22"/>
        <v/>
      </c>
      <c r="AK73" s="366" t="str">
        <f t="shared" si="23"/>
        <v/>
      </c>
      <c r="AL73" s="367" t="str">
        <f t="shared" si="12"/>
        <v/>
      </c>
      <c r="AM73" s="368" t="str">
        <f>IFERROR(_xlfn.XLOOKUP(AL73,HELPER!$C$7:$C$47,HELPER!$D$7:$D$47,,1),"")</f>
        <v/>
      </c>
    </row>
    <row r="74" spans="2:39">
      <c r="B74" s="402">
        <v>7</v>
      </c>
      <c r="C74" s="391" t="str">
        <f>IFERROR(IF(OR($B$8="INCORRECT SHEET. Do not use this sheet to input data.",'INPUT DATA'!S17=""),"",'INPUT DATA'!S17),"")</f>
        <v/>
      </c>
      <c r="D74" s="358"/>
      <c r="E74" s="359"/>
      <c r="F74" s="359"/>
      <c r="G74" s="359"/>
      <c r="H74" s="359"/>
      <c r="I74" s="359"/>
      <c r="J74" s="359"/>
      <c r="K74" s="359"/>
      <c r="L74" s="359"/>
      <c r="M74" s="360"/>
      <c r="N74" s="361" t="str">
        <f t="shared" si="13"/>
        <v/>
      </c>
      <c r="O74" s="362" t="str">
        <f t="shared" si="14"/>
        <v/>
      </c>
      <c r="P74" s="363" t="str">
        <f t="shared" si="15"/>
        <v/>
      </c>
      <c r="Q74" s="358"/>
      <c r="R74" s="359"/>
      <c r="S74" s="359"/>
      <c r="T74" s="359"/>
      <c r="U74" s="359"/>
      <c r="V74" s="359"/>
      <c r="W74" s="359"/>
      <c r="X74" s="359"/>
      <c r="Y74" s="359"/>
      <c r="Z74" s="360"/>
      <c r="AA74" s="361" t="str">
        <f t="shared" si="16"/>
        <v/>
      </c>
      <c r="AB74" s="362" t="str">
        <f t="shared" si="17"/>
        <v/>
      </c>
      <c r="AC74" s="363" t="str">
        <f t="shared" si="18"/>
        <v/>
      </c>
      <c r="AD74" s="358"/>
      <c r="AE74" s="359"/>
      <c r="AF74" s="360"/>
      <c r="AG74" s="364" t="str">
        <f t="shared" si="19"/>
        <v/>
      </c>
      <c r="AH74" s="362" t="str">
        <f t="shared" si="20"/>
        <v/>
      </c>
      <c r="AI74" s="365" t="str">
        <f t="shared" si="21"/>
        <v/>
      </c>
      <c r="AJ74" s="364" t="str">
        <f t="shared" si="22"/>
        <v/>
      </c>
      <c r="AK74" s="366" t="str">
        <f t="shared" si="23"/>
        <v/>
      </c>
      <c r="AL74" s="367" t="str">
        <f t="shared" si="12"/>
        <v/>
      </c>
      <c r="AM74" s="368" t="str">
        <f>IFERROR(_xlfn.XLOOKUP(AL74,HELPER!$C$7:$C$47,HELPER!$D$7:$D$47,,1),"")</f>
        <v/>
      </c>
    </row>
    <row r="75" spans="2:39">
      <c r="B75" s="402">
        <v>8</v>
      </c>
      <c r="C75" s="391" t="str">
        <f>IFERROR(IF(OR($B$8="INCORRECT SHEET. Do not use this sheet to input data.",'INPUT DATA'!S18=""),"",'INPUT DATA'!S18),"")</f>
        <v/>
      </c>
      <c r="D75" s="358"/>
      <c r="E75" s="359"/>
      <c r="F75" s="359"/>
      <c r="G75" s="359"/>
      <c r="H75" s="359"/>
      <c r="I75" s="359"/>
      <c r="J75" s="359"/>
      <c r="K75" s="359"/>
      <c r="L75" s="359"/>
      <c r="M75" s="360"/>
      <c r="N75" s="361" t="str">
        <f t="shared" si="13"/>
        <v/>
      </c>
      <c r="O75" s="362" t="str">
        <f t="shared" si="14"/>
        <v/>
      </c>
      <c r="P75" s="363" t="str">
        <f t="shared" si="15"/>
        <v/>
      </c>
      <c r="Q75" s="358"/>
      <c r="R75" s="359"/>
      <c r="S75" s="359"/>
      <c r="T75" s="359"/>
      <c r="U75" s="359"/>
      <c r="V75" s="359"/>
      <c r="W75" s="359"/>
      <c r="X75" s="359"/>
      <c r="Y75" s="359"/>
      <c r="Z75" s="360"/>
      <c r="AA75" s="361" t="str">
        <f t="shared" si="16"/>
        <v/>
      </c>
      <c r="AB75" s="362" t="str">
        <f t="shared" si="17"/>
        <v/>
      </c>
      <c r="AC75" s="363" t="str">
        <f t="shared" si="18"/>
        <v/>
      </c>
      <c r="AD75" s="358"/>
      <c r="AE75" s="359"/>
      <c r="AF75" s="360"/>
      <c r="AG75" s="364" t="str">
        <f t="shared" si="19"/>
        <v/>
      </c>
      <c r="AH75" s="362" t="str">
        <f t="shared" si="20"/>
        <v/>
      </c>
      <c r="AI75" s="365" t="str">
        <f t="shared" si="21"/>
        <v/>
      </c>
      <c r="AJ75" s="364" t="str">
        <f t="shared" si="22"/>
        <v/>
      </c>
      <c r="AK75" s="366" t="str">
        <f t="shared" si="23"/>
        <v/>
      </c>
      <c r="AL75" s="367" t="str">
        <f t="shared" si="12"/>
        <v/>
      </c>
      <c r="AM75" s="368" t="str">
        <f>IFERROR(_xlfn.XLOOKUP(AL75,HELPER!$C$7:$C$47,HELPER!$D$7:$D$47,,1),"")</f>
        <v/>
      </c>
    </row>
    <row r="76" spans="2:39">
      <c r="B76" s="402">
        <v>9</v>
      </c>
      <c r="C76" s="391" t="str">
        <f>IFERROR(IF(OR($B$8="INCORRECT SHEET. Do not use this sheet to input data.",'INPUT DATA'!S19=""),"",'INPUT DATA'!S19),"")</f>
        <v/>
      </c>
      <c r="D76" s="358"/>
      <c r="E76" s="359"/>
      <c r="F76" s="359"/>
      <c r="G76" s="359"/>
      <c r="H76" s="359"/>
      <c r="I76" s="359"/>
      <c r="J76" s="359"/>
      <c r="K76" s="359"/>
      <c r="L76" s="359"/>
      <c r="M76" s="360"/>
      <c r="N76" s="361" t="str">
        <f t="shared" si="13"/>
        <v/>
      </c>
      <c r="O76" s="362" t="str">
        <f t="shared" si="14"/>
        <v/>
      </c>
      <c r="P76" s="363" t="str">
        <f t="shared" si="15"/>
        <v/>
      </c>
      <c r="Q76" s="358"/>
      <c r="R76" s="359"/>
      <c r="S76" s="359"/>
      <c r="T76" s="359"/>
      <c r="U76" s="359"/>
      <c r="V76" s="359"/>
      <c r="W76" s="359"/>
      <c r="X76" s="359"/>
      <c r="Y76" s="359"/>
      <c r="Z76" s="360"/>
      <c r="AA76" s="361" t="str">
        <f t="shared" si="16"/>
        <v/>
      </c>
      <c r="AB76" s="362" t="str">
        <f t="shared" si="17"/>
        <v/>
      </c>
      <c r="AC76" s="363" t="str">
        <f t="shared" si="18"/>
        <v/>
      </c>
      <c r="AD76" s="358"/>
      <c r="AE76" s="359"/>
      <c r="AF76" s="360"/>
      <c r="AG76" s="364" t="str">
        <f t="shared" si="19"/>
        <v/>
      </c>
      <c r="AH76" s="362" t="str">
        <f t="shared" si="20"/>
        <v/>
      </c>
      <c r="AI76" s="365" t="str">
        <f t="shared" si="21"/>
        <v/>
      </c>
      <c r="AJ76" s="364" t="str">
        <f t="shared" si="22"/>
        <v/>
      </c>
      <c r="AK76" s="366" t="str">
        <f t="shared" si="23"/>
        <v/>
      </c>
      <c r="AL76" s="367" t="str">
        <f t="shared" si="12"/>
        <v/>
      </c>
      <c r="AM76" s="368" t="str">
        <f>IFERROR(_xlfn.XLOOKUP(AL76,HELPER!$C$7:$C$47,HELPER!$D$7:$D$47,,1),"")</f>
        <v/>
      </c>
    </row>
    <row r="77" spans="2:39">
      <c r="B77" s="402">
        <v>10</v>
      </c>
      <c r="C77" s="391" t="str">
        <f>IFERROR(IF(OR($B$8="INCORRECT SHEET. Do not use this sheet to input data.",'INPUT DATA'!S20=""),"",'INPUT DATA'!S20),"")</f>
        <v/>
      </c>
      <c r="D77" s="358"/>
      <c r="E77" s="359"/>
      <c r="F77" s="359"/>
      <c r="G77" s="359"/>
      <c r="H77" s="359"/>
      <c r="I77" s="359"/>
      <c r="J77" s="359"/>
      <c r="K77" s="359"/>
      <c r="L77" s="359"/>
      <c r="M77" s="360"/>
      <c r="N77" s="361" t="str">
        <f t="shared" si="13"/>
        <v/>
      </c>
      <c r="O77" s="362" t="str">
        <f t="shared" si="14"/>
        <v/>
      </c>
      <c r="P77" s="363" t="str">
        <f t="shared" si="15"/>
        <v/>
      </c>
      <c r="Q77" s="358"/>
      <c r="R77" s="359"/>
      <c r="S77" s="359"/>
      <c r="T77" s="359"/>
      <c r="U77" s="359"/>
      <c r="V77" s="359"/>
      <c r="W77" s="359"/>
      <c r="X77" s="359"/>
      <c r="Y77" s="359"/>
      <c r="Z77" s="360"/>
      <c r="AA77" s="361" t="str">
        <f t="shared" si="16"/>
        <v/>
      </c>
      <c r="AB77" s="362" t="str">
        <f t="shared" si="17"/>
        <v/>
      </c>
      <c r="AC77" s="363" t="str">
        <f t="shared" si="18"/>
        <v/>
      </c>
      <c r="AD77" s="358"/>
      <c r="AE77" s="359"/>
      <c r="AF77" s="360"/>
      <c r="AG77" s="364" t="str">
        <f t="shared" si="19"/>
        <v/>
      </c>
      <c r="AH77" s="362" t="str">
        <f t="shared" si="20"/>
        <v/>
      </c>
      <c r="AI77" s="365" t="str">
        <f t="shared" si="21"/>
        <v/>
      </c>
      <c r="AJ77" s="364" t="str">
        <f t="shared" si="22"/>
        <v/>
      </c>
      <c r="AK77" s="366" t="str">
        <f t="shared" si="23"/>
        <v/>
      </c>
      <c r="AL77" s="367" t="str">
        <f t="shared" si="12"/>
        <v/>
      </c>
      <c r="AM77" s="368" t="str">
        <f>IFERROR(_xlfn.XLOOKUP(AL77,HELPER!$C$7:$C$47,HELPER!$D$7:$D$47,,1),"")</f>
        <v/>
      </c>
    </row>
    <row r="78" spans="2:39">
      <c r="B78" s="402">
        <v>11</v>
      </c>
      <c r="C78" s="391" t="str">
        <f>IFERROR(IF(OR($B$8="INCORRECT SHEET. Do not use this sheet to input data.",'INPUT DATA'!S21=""),"",'INPUT DATA'!S21),"")</f>
        <v/>
      </c>
      <c r="D78" s="358"/>
      <c r="E78" s="359"/>
      <c r="F78" s="359"/>
      <c r="G78" s="359"/>
      <c r="H78" s="359"/>
      <c r="I78" s="359"/>
      <c r="J78" s="359"/>
      <c r="K78" s="359"/>
      <c r="L78" s="359"/>
      <c r="M78" s="360"/>
      <c r="N78" s="361" t="str">
        <f t="shared" si="13"/>
        <v/>
      </c>
      <c r="O78" s="362" t="str">
        <f t="shared" si="14"/>
        <v/>
      </c>
      <c r="P78" s="363" t="str">
        <f t="shared" si="15"/>
        <v/>
      </c>
      <c r="Q78" s="358"/>
      <c r="R78" s="359"/>
      <c r="S78" s="359"/>
      <c r="T78" s="359"/>
      <c r="U78" s="359"/>
      <c r="V78" s="359"/>
      <c r="W78" s="359"/>
      <c r="X78" s="359"/>
      <c r="Y78" s="359"/>
      <c r="Z78" s="360"/>
      <c r="AA78" s="361" t="str">
        <f t="shared" si="16"/>
        <v/>
      </c>
      <c r="AB78" s="362" t="str">
        <f t="shared" si="17"/>
        <v/>
      </c>
      <c r="AC78" s="363" t="str">
        <f t="shared" si="18"/>
        <v/>
      </c>
      <c r="AD78" s="358"/>
      <c r="AE78" s="359"/>
      <c r="AF78" s="360"/>
      <c r="AG78" s="364" t="str">
        <f t="shared" si="19"/>
        <v/>
      </c>
      <c r="AH78" s="362" t="str">
        <f t="shared" si="20"/>
        <v/>
      </c>
      <c r="AI78" s="365" t="str">
        <f t="shared" si="21"/>
        <v/>
      </c>
      <c r="AJ78" s="364" t="str">
        <f t="shared" si="22"/>
        <v/>
      </c>
      <c r="AK78" s="366" t="str">
        <f t="shared" si="23"/>
        <v/>
      </c>
      <c r="AL78" s="367" t="str">
        <f t="shared" si="12"/>
        <v/>
      </c>
      <c r="AM78" s="368" t="str">
        <f>IFERROR(_xlfn.XLOOKUP(AL78,HELPER!$C$7:$C$47,HELPER!$D$7:$D$47,,1),"")</f>
        <v/>
      </c>
    </row>
    <row r="79" spans="2:39">
      <c r="B79" s="402">
        <v>12</v>
      </c>
      <c r="C79" s="391" t="str">
        <f>IFERROR(IF(OR($B$8="INCORRECT SHEET. Do not use this sheet to input data.",'INPUT DATA'!S22=""),"",'INPUT DATA'!S22),"")</f>
        <v/>
      </c>
      <c r="D79" s="358"/>
      <c r="E79" s="359"/>
      <c r="F79" s="359"/>
      <c r="G79" s="359"/>
      <c r="H79" s="359"/>
      <c r="I79" s="359"/>
      <c r="J79" s="359"/>
      <c r="K79" s="359"/>
      <c r="L79" s="359"/>
      <c r="M79" s="360"/>
      <c r="N79" s="361" t="str">
        <f t="shared" si="13"/>
        <v/>
      </c>
      <c r="O79" s="362" t="str">
        <f t="shared" si="14"/>
        <v/>
      </c>
      <c r="P79" s="363" t="str">
        <f t="shared" si="15"/>
        <v/>
      </c>
      <c r="Q79" s="358"/>
      <c r="R79" s="359"/>
      <c r="S79" s="359"/>
      <c r="T79" s="359"/>
      <c r="U79" s="359"/>
      <c r="V79" s="359"/>
      <c r="W79" s="359"/>
      <c r="X79" s="359"/>
      <c r="Y79" s="359"/>
      <c r="Z79" s="360"/>
      <c r="AA79" s="361" t="str">
        <f t="shared" si="16"/>
        <v/>
      </c>
      <c r="AB79" s="362" t="str">
        <f t="shared" si="17"/>
        <v/>
      </c>
      <c r="AC79" s="363" t="str">
        <f t="shared" si="18"/>
        <v/>
      </c>
      <c r="AD79" s="358"/>
      <c r="AE79" s="359"/>
      <c r="AF79" s="360"/>
      <c r="AG79" s="364" t="str">
        <f t="shared" si="19"/>
        <v/>
      </c>
      <c r="AH79" s="362" t="str">
        <f t="shared" si="20"/>
        <v/>
      </c>
      <c r="AI79" s="365" t="str">
        <f t="shared" si="21"/>
        <v/>
      </c>
      <c r="AJ79" s="364" t="str">
        <f t="shared" si="22"/>
        <v/>
      </c>
      <c r="AK79" s="366" t="str">
        <f t="shared" si="23"/>
        <v/>
      </c>
      <c r="AL79" s="367" t="str">
        <f t="shared" si="12"/>
        <v/>
      </c>
      <c r="AM79" s="368" t="str">
        <f>IFERROR(_xlfn.XLOOKUP(AL79,HELPER!$C$7:$C$47,HELPER!$D$7:$D$47,,1),"")</f>
        <v/>
      </c>
    </row>
    <row r="80" spans="2:39">
      <c r="B80" s="402">
        <v>13</v>
      </c>
      <c r="C80" s="391" t="str">
        <f>IFERROR(IF(OR($B$8="INCORRECT SHEET. Do not use this sheet to input data.",'INPUT DATA'!S23=""),"",'INPUT DATA'!S23),"")</f>
        <v/>
      </c>
      <c r="D80" s="358"/>
      <c r="E80" s="359"/>
      <c r="F80" s="359"/>
      <c r="G80" s="359"/>
      <c r="H80" s="359"/>
      <c r="I80" s="359"/>
      <c r="J80" s="359"/>
      <c r="K80" s="359"/>
      <c r="L80" s="359"/>
      <c r="M80" s="360"/>
      <c r="N80" s="361" t="str">
        <f t="shared" si="13"/>
        <v/>
      </c>
      <c r="O80" s="362" t="str">
        <f t="shared" si="14"/>
        <v/>
      </c>
      <c r="P80" s="363" t="str">
        <f t="shared" si="15"/>
        <v/>
      </c>
      <c r="Q80" s="358"/>
      <c r="R80" s="359"/>
      <c r="S80" s="359"/>
      <c r="T80" s="359"/>
      <c r="U80" s="359"/>
      <c r="V80" s="359"/>
      <c r="W80" s="359"/>
      <c r="X80" s="359"/>
      <c r="Y80" s="359"/>
      <c r="Z80" s="360"/>
      <c r="AA80" s="361" t="str">
        <f t="shared" si="16"/>
        <v/>
      </c>
      <c r="AB80" s="362" t="str">
        <f t="shared" si="17"/>
        <v/>
      </c>
      <c r="AC80" s="363" t="str">
        <f t="shared" si="18"/>
        <v/>
      </c>
      <c r="AD80" s="358"/>
      <c r="AE80" s="359"/>
      <c r="AF80" s="360"/>
      <c r="AG80" s="364" t="str">
        <f t="shared" si="19"/>
        <v/>
      </c>
      <c r="AH80" s="362" t="str">
        <f t="shared" si="20"/>
        <v/>
      </c>
      <c r="AI80" s="365" t="str">
        <f t="shared" si="21"/>
        <v/>
      </c>
      <c r="AJ80" s="364" t="str">
        <f t="shared" si="22"/>
        <v/>
      </c>
      <c r="AK80" s="366" t="str">
        <f t="shared" si="23"/>
        <v/>
      </c>
      <c r="AL80" s="367" t="str">
        <f t="shared" si="12"/>
        <v/>
      </c>
      <c r="AM80" s="368" t="str">
        <f>IFERROR(_xlfn.XLOOKUP(AL80,HELPER!$C$7:$C$47,HELPER!$D$7:$D$47,,1),"")</f>
        <v/>
      </c>
    </row>
    <row r="81" spans="2:39">
      <c r="B81" s="402">
        <v>14</v>
      </c>
      <c r="C81" s="391" t="str">
        <f>IFERROR(IF(OR($B$8="INCORRECT SHEET. Do not use this sheet to input data.",'INPUT DATA'!S24=""),"",'INPUT DATA'!S24),"")</f>
        <v/>
      </c>
      <c r="D81" s="358"/>
      <c r="E81" s="359"/>
      <c r="F81" s="359"/>
      <c r="G81" s="359"/>
      <c r="H81" s="359"/>
      <c r="I81" s="359"/>
      <c r="J81" s="359"/>
      <c r="K81" s="359"/>
      <c r="L81" s="359"/>
      <c r="M81" s="360"/>
      <c r="N81" s="361" t="str">
        <f t="shared" si="13"/>
        <v/>
      </c>
      <c r="O81" s="362" t="str">
        <f t="shared" si="14"/>
        <v/>
      </c>
      <c r="P81" s="363" t="str">
        <f t="shared" si="15"/>
        <v/>
      </c>
      <c r="Q81" s="358"/>
      <c r="R81" s="359"/>
      <c r="S81" s="359"/>
      <c r="T81" s="359"/>
      <c r="U81" s="359"/>
      <c r="V81" s="359"/>
      <c r="W81" s="359"/>
      <c r="X81" s="359"/>
      <c r="Y81" s="359"/>
      <c r="Z81" s="360"/>
      <c r="AA81" s="361" t="str">
        <f t="shared" si="16"/>
        <v/>
      </c>
      <c r="AB81" s="362" t="str">
        <f t="shared" si="17"/>
        <v/>
      </c>
      <c r="AC81" s="363" t="str">
        <f t="shared" si="18"/>
        <v/>
      </c>
      <c r="AD81" s="358"/>
      <c r="AE81" s="359"/>
      <c r="AF81" s="360"/>
      <c r="AG81" s="364" t="str">
        <f t="shared" si="19"/>
        <v/>
      </c>
      <c r="AH81" s="362" t="str">
        <f t="shared" si="20"/>
        <v/>
      </c>
      <c r="AI81" s="365" t="str">
        <f t="shared" si="21"/>
        <v/>
      </c>
      <c r="AJ81" s="364" t="str">
        <f t="shared" si="22"/>
        <v/>
      </c>
      <c r="AK81" s="366" t="str">
        <f t="shared" si="23"/>
        <v/>
      </c>
      <c r="AL81" s="367" t="str">
        <f t="shared" si="12"/>
        <v/>
      </c>
      <c r="AM81" s="368" t="str">
        <f>IFERROR(_xlfn.XLOOKUP(AL81,HELPER!$C$7:$C$47,HELPER!$D$7:$D$47,,1),"")</f>
        <v/>
      </c>
    </row>
    <row r="82" spans="2:39">
      <c r="B82" s="402">
        <v>15</v>
      </c>
      <c r="C82" s="391" t="str">
        <f>IFERROR(IF(OR($B$8="INCORRECT SHEET. Do not use this sheet to input data.",'INPUT DATA'!S25=""),"",'INPUT DATA'!S25),"")</f>
        <v/>
      </c>
      <c r="D82" s="358"/>
      <c r="E82" s="359"/>
      <c r="F82" s="359"/>
      <c r="G82" s="359"/>
      <c r="H82" s="359"/>
      <c r="I82" s="359"/>
      <c r="J82" s="359"/>
      <c r="K82" s="359"/>
      <c r="L82" s="359"/>
      <c r="M82" s="360"/>
      <c r="N82" s="361" t="str">
        <f t="shared" si="13"/>
        <v/>
      </c>
      <c r="O82" s="362" t="str">
        <f t="shared" si="14"/>
        <v/>
      </c>
      <c r="P82" s="363" t="str">
        <f t="shared" si="15"/>
        <v/>
      </c>
      <c r="Q82" s="358"/>
      <c r="R82" s="359"/>
      <c r="S82" s="359"/>
      <c r="T82" s="359"/>
      <c r="U82" s="359"/>
      <c r="V82" s="359"/>
      <c r="W82" s="359"/>
      <c r="X82" s="359"/>
      <c r="Y82" s="359"/>
      <c r="Z82" s="360"/>
      <c r="AA82" s="361" t="str">
        <f t="shared" si="16"/>
        <v/>
      </c>
      <c r="AB82" s="362" t="str">
        <f t="shared" si="17"/>
        <v/>
      </c>
      <c r="AC82" s="363" t="str">
        <f t="shared" si="18"/>
        <v/>
      </c>
      <c r="AD82" s="358"/>
      <c r="AE82" s="359"/>
      <c r="AF82" s="360"/>
      <c r="AG82" s="364" t="str">
        <f t="shared" si="19"/>
        <v/>
      </c>
      <c r="AH82" s="362" t="str">
        <f t="shared" si="20"/>
        <v/>
      </c>
      <c r="AI82" s="365" t="str">
        <f t="shared" si="21"/>
        <v/>
      </c>
      <c r="AJ82" s="364" t="str">
        <f t="shared" si="22"/>
        <v/>
      </c>
      <c r="AK82" s="366" t="str">
        <f t="shared" si="23"/>
        <v/>
      </c>
      <c r="AL82" s="367" t="str">
        <f t="shared" si="12"/>
        <v/>
      </c>
      <c r="AM82" s="368" t="str">
        <f>IFERROR(_xlfn.XLOOKUP(AL82,HELPER!$C$7:$C$47,HELPER!$D$7:$D$47,,1),"")</f>
        <v/>
      </c>
    </row>
    <row r="83" hidden="1" spans="2:39">
      <c r="B83" s="402">
        <v>16</v>
      </c>
      <c r="C83" s="391" t="str">
        <f>IFERROR(IF(OR($B$8="INCORRECT SHEET. Do not use this sheet to input data.",'INPUT DATA'!S26=""),"",'INPUT DATA'!S26),"")</f>
        <v/>
      </c>
      <c r="D83" s="358"/>
      <c r="E83" s="359"/>
      <c r="F83" s="359"/>
      <c r="G83" s="359"/>
      <c r="H83" s="359"/>
      <c r="I83" s="359"/>
      <c r="J83" s="359"/>
      <c r="K83" s="359"/>
      <c r="L83" s="359"/>
      <c r="M83" s="360"/>
      <c r="N83" s="361" t="str">
        <f t="shared" si="13"/>
        <v/>
      </c>
      <c r="O83" s="362" t="str">
        <f t="shared" si="14"/>
        <v/>
      </c>
      <c r="P83" s="363" t="str">
        <f t="shared" si="15"/>
        <v/>
      </c>
      <c r="Q83" s="358"/>
      <c r="R83" s="359"/>
      <c r="S83" s="359"/>
      <c r="T83" s="359"/>
      <c r="U83" s="359"/>
      <c r="V83" s="359"/>
      <c r="W83" s="359"/>
      <c r="X83" s="359"/>
      <c r="Y83" s="359"/>
      <c r="Z83" s="360"/>
      <c r="AA83" s="361" t="str">
        <f t="shared" si="16"/>
        <v/>
      </c>
      <c r="AB83" s="362" t="str">
        <f t="shared" si="17"/>
        <v/>
      </c>
      <c r="AC83" s="363" t="str">
        <f t="shared" si="18"/>
        <v/>
      </c>
      <c r="AD83" s="358"/>
      <c r="AE83" s="359"/>
      <c r="AF83" s="360"/>
      <c r="AG83" s="364" t="str">
        <f t="shared" si="19"/>
        <v/>
      </c>
      <c r="AH83" s="362" t="str">
        <f t="shared" si="20"/>
        <v/>
      </c>
      <c r="AI83" s="365" t="str">
        <f t="shared" si="21"/>
        <v/>
      </c>
      <c r="AJ83" s="364" t="str">
        <f t="shared" si="22"/>
        <v/>
      </c>
      <c r="AK83" s="366" t="str">
        <f t="shared" si="23"/>
        <v/>
      </c>
      <c r="AL83" s="367" t="str">
        <f t="shared" si="12"/>
        <v/>
      </c>
      <c r="AM83" s="368" t="str">
        <f>IFERROR(_xlfn.XLOOKUP(AL83,HELPER!$C$7:$C$47,HELPER!$D$7:$D$47,,1),"")</f>
        <v/>
      </c>
    </row>
    <row r="84" hidden="1" spans="2:39">
      <c r="B84" s="402">
        <v>17</v>
      </c>
      <c r="C84" s="391" t="str">
        <f>IFERROR(IF(OR($B$8="INCORRECT SHEET. Do not use this sheet to input data.",'INPUT DATA'!S27=""),"",'INPUT DATA'!S27),"")</f>
        <v/>
      </c>
      <c r="D84" s="358"/>
      <c r="E84" s="359"/>
      <c r="F84" s="359"/>
      <c r="G84" s="359"/>
      <c r="H84" s="359"/>
      <c r="I84" s="359"/>
      <c r="J84" s="359"/>
      <c r="K84" s="359"/>
      <c r="L84" s="359"/>
      <c r="M84" s="360"/>
      <c r="N84" s="361" t="str">
        <f t="shared" si="13"/>
        <v/>
      </c>
      <c r="O84" s="362" t="str">
        <f t="shared" si="14"/>
        <v/>
      </c>
      <c r="P84" s="363" t="str">
        <f t="shared" si="15"/>
        <v/>
      </c>
      <c r="Q84" s="358"/>
      <c r="R84" s="359"/>
      <c r="S84" s="359"/>
      <c r="T84" s="359"/>
      <c r="U84" s="359"/>
      <c r="V84" s="359"/>
      <c r="W84" s="359"/>
      <c r="X84" s="359"/>
      <c r="Y84" s="359"/>
      <c r="Z84" s="360"/>
      <c r="AA84" s="361" t="str">
        <f t="shared" si="16"/>
        <v/>
      </c>
      <c r="AB84" s="362" t="str">
        <f t="shared" si="17"/>
        <v/>
      </c>
      <c r="AC84" s="363" t="str">
        <f t="shared" si="18"/>
        <v/>
      </c>
      <c r="AD84" s="358"/>
      <c r="AE84" s="359"/>
      <c r="AF84" s="360"/>
      <c r="AG84" s="364" t="str">
        <f t="shared" si="19"/>
        <v/>
      </c>
      <c r="AH84" s="362" t="str">
        <f t="shared" si="20"/>
        <v/>
      </c>
      <c r="AI84" s="365" t="str">
        <f t="shared" si="21"/>
        <v/>
      </c>
      <c r="AJ84" s="364" t="str">
        <f t="shared" si="22"/>
        <v/>
      </c>
      <c r="AK84" s="366" t="str">
        <f t="shared" si="23"/>
        <v/>
      </c>
      <c r="AL84" s="367" t="str">
        <f t="shared" si="12"/>
        <v/>
      </c>
      <c r="AM84" s="368" t="str">
        <f>IFERROR(_xlfn.XLOOKUP(AL84,HELPER!$C$7:$C$47,HELPER!$D$7:$D$47,,1),"")</f>
        <v/>
      </c>
    </row>
    <row r="85" hidden="1" spans="2:39">
      <c r="B85" s="402">
        <v>18</v>
      </c>
      <c r="C85" s="391" t="str">
        <f>IFERROR(IF(OR($B$8="INCORRECT SHEET. Do not use this sheet to input data.",'INPUT DATA'!S28=""),"",'INPUT DATA'!S28),"")</f>
        <v/>
      </c>
      <c r="D85" s="358"/>
      <c r="E85" s="359"/>
      <c r="F85" s="359"/>
      <c r="G85" s="359"/>
      <c r="H85" s="359"/>
      <c r="I85" s="359"/>
      <c r="J85" s="359"/>
      <c r="K85" s="359"/>
      <c r="L85" s="359"/>
      <c r="M85" s="360"/>
      <c r="N85" s="361" t="str">
        <f t="shared" si="13"/>
        <v/>
      </c>
      <c r="O85" s="362" t="str">
        <f t="shared" si="14"/>
        <v/>
      </c>
      <c r="P85" s="363" t="str">
        <f t="shared" si="15"/>
        <v/>
      </c>
      <c r="Q85" s="358"/>
      <c r="R85" s="359"/>
      <c r="S85" s="359"/>
      <c r="T85" s="359"/>
      <c r="U85" s="359"/>
      <c r="V85" s="359"/>
      <c r="W85" s="359"/>
      <c r="X85" s="359"/>
      <c r="Y85" s="359"/>
      <c r="Z85" s="360"/>
      <c r="AA85" s="361" t="str">
        <f t="shared" si="16"/>
        <v/>
      </c>
      <c r="AB85" s="362" t="str">
        <f t="shared" si="17"/>
        <v/>
      </c>
      <c r="AC85" s="363" t="str">
        <f t="shared" si="18"/>
        <v/>
      </c>
      <c r="AD85" s="358"/>
      <c r="AE85" s="359"/>
      <c r="AF85" s="360"/>
      <c r="AG85" s="364" t="str">
        <f t="shared" si="19"/>
        <v/>
      </c>
      <c r="AH85" s="362" t="str">
        <f t="shared" si="20"/>
        <v/>
      </c>
      <c r="AI85" s="365" t="str">
        <f t="shared" si="21"/>
        <v/>
      </c>
      <c r="AJ85" s="364" t="str">
        <f t="shared" si="22"/>
        <v/>
      </c>
      <c r="AK85" s="366" t="str">
        <f t="shared" si="23"/>
        <v/>
      </c>
      <c r="AL85" s="367" t="str">
        <f t="shared" si="12"/>
        <v/>
      </c>
      <c r="AM85" s="368" t="str">
        <f>IFERROR(_xlfn.XLOOKUP(AL85,HELPER!$C$7:$C$47,HELPER!$D$7:$D$47,,1),"")</f>
        <v/>
      </c>
    </row>
    <row r="86" hidden="1" spans="2:39">
      <c r="B86" s="402">
        <v>19</v>
      </c>
      <c r="C86" s="391" t="str">
        <f>IFERROR(IF(OR($B$8="INCORRECT SHEET. Do not use this sheet to input data.",'INPUT DATA'!S29=""),"",'INPUT DATA'!S29),"")</f>
        <v/>
      </c>
      <c r="D86" s="358"/>
      <c r="E86" s="359"/>
      <c r="F86" s="359"/>
      <c r="G86" s="359"/>
      <c r="H86" s="359"/>
      <c r="I86" s="359"/>
      <c r="J86" s="359"/>
      <c r="K86" s="359"/>
      <c r="L86" s="359"/>
      <c r="M86" s="360"/>
      <c r="N86" s="361" t="str">
        <f t="shared" si="13"/>
        <v/>
      </c>
      <c r="O86" s="362" t="str">
        <f t="shared" si="14"/>
        <v/>
      </c>
      <c r="P86" s="363" t="str">
        <f t="shared" si="15"/>
        <v/>
      </c>
      <c r="Q86" s="358"/>
      <c r="R86" s="359"/>
      <c r="S86" s="359"/>
      <c r="T86" s="359"/>
      <c r="U86" s="359"/>
      <c r="V86" s="359"/>
      <c r="W86" s="359"/>
      <c r="X86" s="359"/>
      <c r="Y86" s="359"/>
      <c r="Z86" s="360"/>
      <c r="AA86" s="361" t="str">
        <f t="shared" si="16"/>
        <v/>
      </c>
      <c r="AB86" s="362" t="str">
        <f t="shared" si="17"/>
        <v/>
      </c>
      <c r="AC86" s="363" t="str">
        <f t="shared" si="18"/>
        <v/>
      </c>
      <c r="AD86" s="358"/>
      <c r="AE86" s="359"/>
      <c r="AF86" s="360"/>
      <c r="AG86" s="364" t="str">
        <f t="shared" si="19"/>
        <v/>
      </c>
      <c r="AH86" s="362" t="str">
        <f t="shared" si="20"/>
        <v/>
      </c>
      <c r="AI86" s="365" t="str">
        <f t="shared" si="21"/>
        <v/>
      </c>
      <c r="AJ86" s="364" t="str">
        <f t="shared" si="22"/>
        <v/>
      </c>
      <c r="AK86" s="366" t="str">
        <f t="shared" si="23"/>
        <v/>
      </c>
      <c r="AL86" s="367" t="str">
        <f t="shared" si="12"/>
        <v/>
      </c>
      <c r="AM86" s="368" t="str">
        <f>IFERROR(_xlfn.XLOOKUP(AL86,HELPER!$C$7:$C$47,HELPER!$D$7:$D$47,,1),"")</f>
        <v/>
      </c>
    </row>
    <row r="87" hidden="1" spans="2:39">
      <c r="B87" s="402">
        <v>20</v>
      </c>
      <c r="C87" s="391" t="str">
        <f>IFERROR(IF(OR($B$8="INCORRECT SHEET. Do not use this sheet to input data.",'INPUT DATA'!S30=""),"",'INPUT DATA'!S30),"")</f>
        <v/>
      </c>
      <c r="D87" s="358"/>
      <c r="E87" s="359"/>
      <c r="F87" s="359"/>
      <c r="G87" s="359"/>
      <c r="H87" s="359"/>
      <c r="I87" s="359"/>
      <c r="J87" s="359"/>
      <c r="K87" s="359"/>
      <c r="L87" s="359"/>
      <c r="M87" s="360"/>
      <c r="N87" s="361" t="str">
        <f t="shared" si="13"/>
        <v/>
      </c>
      <c r="O87" s="362" t="str">
        <f t="shared" si="14"/>
        <v/>
      </c>
      <c r="P87" s="363" t="str">
        <f t="shared" si="15"/>
        <v/>
      </c>
      <c r="Q87" s="358"/>
      <c r="R87" s="359"/>
      <c r="S87" s="359"/>
      <c r="T87" s="359"/>
      <c r="U87" s="359"/>
      <c r="V87" s="359"/>
      <c r="W87" s="359"/>
      <c r="X87" s="359"/>
      <c r="Y87" s="359"/>
      <c r="Z87" s="360"/>
      <c r="AA87" s="361" t="str">
        <f t="shared" si="16"/>
        <v/>
      </c>
      <c r="AB87" s="362" t="str">
        <f t="shared" si="17"/>
        <v/>
      </c>
      <c r="AC87" s="363" t="str">
        <f t="shared" si="18"/>
        <v/>
      </c>
      <c r="AD87" s="358"/>
      <c r="AE87" s="359"/>
      <c r="AF87" s="360"/>
      <c r="AG87" s="364" t="str">
        <f t="shared" si="19"/>
        <v/>
      </c>
      <c r="AH87" s="362" t="str">
        <f t="shared" si="20"/>
        <v/>
      </c>
      <c r="AI87" s="365" t="str">
        <f t="shared" si="21"/>
        <v/>
      </c>
      <c r="AJ87" s="364" t="str">
        <f t="shared" si="22"/>
        <v/>
      </c>
      <c r="AK87" s="366" t="str">
        <f t="shared" si="23"/>
        <v/>
      </c>
      <c r="AL87" s="367" t="str">
        <f t="shared" si="12"/>
        <v/>
      </c>
      <c r="AM87" s="368" t="str">
        <f>IFERROR(_xlfn.XLOOKUP(AL87,HELPER!$C$7:$C$47,HELPER!$D$7:$D$47,,1),"")</f>
        <v/>
      </c>
    </row>
    <row r="88" hidden="1" spans="2:39">
      <c r="B88" s="402">
        <v>21</v>
      </c>
      <c r="C88" s="391" t="str">
        <f>IFERROR(IF(OR($B$8="INCORRECT SHEET. Do not use this sheet to input data.",'INPUT DATA'!S31=""),"",'INPUT DATA'!S31),"")</f>
        <v/>
      </c>
      <c r="D88" s="358"/>
      <c r="E88" s="359"/>
      <c r="F88" s="359"/>
      <c r="G88" s="359"/>
      <c r="H88" s="359"/>
      <c r="I88" s="359"/>
      <c r="J88" s="359"/>
      <c r="K88" s="359"/>
      <c r="L88" s="359"/>
      <c r="M88" s="360"/>
      <c r="N88" s="361" t="str">
        <f t="shared" si="13"/>
        <v/>
      </c>
      <c r="O88" s="362" t="str">
        <f t="shared" si="14"/>
        <v/>
      </c>
      <c r="P88" s="363" t="str">
        <f t="shared" si="15"/>
        <v/>
      </c>
      <c r="Q88" s="358"/>
      <c r="R88" s="359"/>
      <c r="S88" s="359"/>
      <c r="T88" s="359"/>
      <c r="U88" s="359"/>
      <c r="V88" s="359"/>
      <c r="W88" s="359"/>
      <c r="X88" s="359"/>
      <c r="Y88" s="359"/>
      <c r="Z88" s="360"/>
      <c r="AA88" s="361" t="str">
        <f t="shared" si="16"/>
        <v/>
      </c>
      <c r="AB88" s="362" t="str">
        <f t="shared" si="17"/>
        <v/>
      </c>
      <c r="AC88" s="363" t="str">
        <f t="shared" si="18"/>
        <v/>
      </c>
      <c r="AD88" s="358"/>
      <c r="AE88" s="359"/>
      <c r="AF88" s="360"/>
      <c r="AG88" s="364" t="str">
        <f t="shared" si="19"/>
        <v/>
      </c>
      <c r="AH88" s="362" t="str">
        <f t="shared" si="20"/>
        <v/>
      </c>
      <c r="AI88" s="365" t="str">
        <f t="shared" si="21"/>
        <v/>
      </c>
      <c r="AJ88" s="364" t="str">
        <f t="shared" si="22"/>
        <v/>
      </c>
      <c r="AK88" s="366" t="str">
        <f t="shared" si="23"/>
        <v/>
      </c>
      <c r="AL88" s="367" t="str">
        <f t="shared" si="12"/>
        <v/>
      </c>
      <c r="AM88" s="368" t="str">
        <f>IFERROR(_xlfn.XLOOKUP(AL88,HELPER!$C$7:$C$47,HELPER!$D$7:$D$47,,1),"")</f>
        <v/>
      </c>
    </row>
    <row r="89" hidden="1" spans="2:39">
      <c r="B89" s="402">
        <v>22</v>
      </c>
      <c r="C89" s="391" t="str">
        <f>IFERROR(IF(OR($B$8="INCORRECT SHEET. Do not use this sheet to input data.",'INPUT DATA'!S32=""),"",'INPUT DATA'!S32),"")</f>
        <v/>
      </c>
      <c r="D89" s="358"/>
      <c r="E89" s="359"/>
      <c r="F89" s="359"/>
      <c r="G89" s="359"/>
      <c r="H89" s="359"/>
      <c r="I89" s="359"/>
      <c r="J89" s="359"/>
      <c r="K89" s="359"/>
      <c r="L89" s="359"/>
      <c r="M89" s="360"/>
      <c r="N89" s="361" t="str">
        <f t="shared" si="13"/>
        <v/>
      </c>
      <c r="O89" s="362" t="str">
        <f t="shared" si="14"/>
        <v/>
      </c>
      <c r="P89" s="363" t="str">
        <f t="shared" si="15"/>
        <v/>
      </c>
      <c r="Q89" s="358"/>
      <c r="R89" s="359"/>
      <c r="S89" s="359"/>
      <c r="T89" s="359"/>
      <c r="U89" s="359"/>
      <c r="V89" s="359"/>
      <c r="W89" s="359"/>
      <c r="X89" s="359"/>
      <c r="Y89" s="359"/>
      <c r="Z89" s="360"/>
      <c r="AA89" s="361" t="str">
        <f t="shared" si="16"/>
        <v/>
      </c>
      <c r="AB89" s="362" t="str">
        <f t="shared" si="17"/>
        <v/>
      </c>
      <c r="AC89" s="363" t="str">
        <f t="shared" si="18"/>
        <v/>
      </c>
      <c r="AD89" s="358"/>
      <c r="AE89" s="359"/>
      <c r="AF89" s="360"/>
      <c r="AG89" s="364" t="str">
        <f t="shared" si="19"/>
        <v/>
      </c>
      <c r="AH89" s="362" t="str">
        <f t="shared" si="20"/>
        <v/>
      </c>
      <c r="AI89" s="365" t="str">
        <f t="shared" si="21"/>
        <v/>
      </c>
      <c r="AJ89" s="364" t="str">
        <f t="shared" si="22"/>
        <v/>
      </c>
      <c r="AK89" s="366" t="str">
        <f t="shared" si="23"/>
        <v/>
      </c>
      <c r="AL89" s="367" t="str">
        <f t="shared" si="12"/>
        <v/>
      </c>
      <c r="AM89" s="368" t="str">
        <f>IFERROR(_xlfn.XLOOKUP(AL89,HELPER!$C$7:$C$47,HELPER!$D$7:$D$47,,1),"")</f>
        <v/>
      </c>
    </row>
    <row r="90" hidden="1" spans="2:39">
      <c r="B90" s="402">
        <v>23</v>
      </c>
      <c r="C90" s="391" t="str">
        <f>IFERROR(IF(OR($B$8="INCORRECT SHEET. Do not use this sheet to input data.",'INPUT DATA'!S33=""),"",'INPUT DATA'!S33),"")</f>
        <v/>
      </c>
      <c r="D90" s="358"/>
      <c r="E90" s="359"/>
      <c r="F90" s="359"/>
      <c r="G90" s="359"/>
      <c r="H90" s="359"/>
      <c r="I90" s="359"/>
      <c r="J90" s="359"/>
      <c r="K90" s="359"/>
      <c r="L90" s="359"/>
      <c r="M90" s="360"/>
      <c r="N90" s="361" t="str">
        <f t="shared" si="13"/>
        <v/>
      </c>
      <c r="O90" s="362" t="str">
        <f t="shared" si="14"/>
        <v/>
      </c>
      <c r="P90" s="363" t="str">
        <f t="shared" si="15"/>
        <v/>
      </c>
      <c r="Q90" s="358"/>
      <c r="R90" s="359"/>
      <c r="S90" s="359"/>
      <c r="T90" s="359"/>
      <c r="U90" s="359"/>
      <c r="V90" s="359"/>
      <c r="W90" s="359"/>
      <c r="X90" s="359"/>
      <c r="Y90" s="359"/>
      <c r="Z90" s="360"/>
      <c r="AA90" s="361" t="str">
        <f t="shared" si="16"/>
        <v/>
      </c>
      <c r="AB90" s="362" t="str">
        <f t="shared" si="17"/>
        <v/>
      </c>
      <c r="AC90" s="363" t="str">
        <f t="shared" si="18"/>
        <v/>
      </c>
      <c r="AD90" s="358"/>
      <c r="AE90" s="359"/>
      <c r="AF90" s="360"/>
      <c r="AG90" s="364" t="str">
        <f t="shared" si="19"/>
        <v/>
      </c>
      <c r="AH90" s="362" t="str">
        <f t="shared" si="20"/>
        <v/>
      </c>
      <c r="AI90" s="365" t="str">
        <f t="shared" si="21"/>
        <v/>
      </c>
      <c r="AJ90" s="364" t="str">
        <f t="shared" si="22"/>
        <v/>
      </c>
      <c r="AK90" s="366" t="str">
        <f t="shared" si="23"/>
        <v/>
      </c>
      <c r="AL90" s="367" t="str">
        <f t="shared" si="12"/>
        <v/>
      </c>
      <c r="AM90" s="368" t="str">
        <f>IFERROR(_xlfn.XLOOKUP(AL90,HELPER!$C$7:$C$47,HELPER!$D$7:$D$47,,1),"")</f>
        <v/>
      </c>
    </row>
    <row r="91" hidden="1" spans="2:39">
      <c r="B91" s="402">
        <v>24</v>
      </c>
      <c r="C91" s="391" t="str">
        <f>IFERROR(IF(OR($B$8="INCORRECT SHEET. Do not use this sheet to input data.",'INPUT DATA'!S34=""),"",'INPUT DATA'!S34),"")</f>
        <v/>
      </c>
      <c r="D91" s="358"/>
      <c r="E91" s="359"/>
      <c r="F91" s="359"/>
      <c r="G91" s="359"/>
      <c r="H91" s="359"/>
      <c r="I91" s="359"/>
      <c r="J91" s="359"/>
      <c r="K91" s="359"/>
      <c r="L91" s="359"/>
      <c r="M91" s="360"/>
      <c r="N91" s="361" t="str">
        <f t="shared" si="13"/>
        <v/>
      </c>
      <c r="O91" s="362" t="str">
        <f t="shared" si="14"/>
        <v/>
      </c>
      <c r="P91" s="363" t="str">
        <f t="shared" si="15"/>
        <v/>
      </c>
      <c r="Q91" s="358"/>
      <c r="R91" s="359"/>
      <c r="S91" s="359"/>
      <c r="T91" s="359"/>
      <c r="U91" s="359"/>
      <c r="V91" s="359"/>
      <c r="W91" s="359"/>
      <c r="X91" s="359"/>
      <c r="Y91" s="359"/>
      <c r="Z91" s="360"/>
      <c r="AA91" s="361" t="str">
        <f t="shared" si="16"/>
        <v/>
      </c>
      <c r="AB91" s="362" t="str">
        <f t="shared" si="17"/>
        <v/>
      </c>
      <c r="AC91" s="363" t="str">
        <f t="shared" si="18"/>
        <v/>
      </c>
      <c r="AD91" s="358"/>
      <c r="AE91" s="359"/>
      <c r="AF91" s="360"/>
      <c r="AG91" s="364" t="str">
        <f t="shared" si="19"/>
        <v/>
      </c>
      <c r="AH91" s="362" t="str">
        <f t="shared" si="20"/>
        <v/>
      </c>
      <c r="AI91" s="365" t="str">
        <f t="shared" si="21"/>
        <v/>
      </c>
      <c r="AJ91" s="364" t="str">
        <f t="shared" si="22"/>
        <v/>
      </c>
      <c r="AK91" s="366" t="str">
        <f t="shared" si="23"/>
        <v/>
      </c>
      <c r="AL91" s="367" t="str">
        <f t="shared" si="12"/>
        <v/>
      </c>
      <c r="AM91" s="368" t="str">
        <f>IFERROR(_xlfn.XLOOKUP(AL91,HELPER!$C$7:$C$47,HELPER!$D$7:$D$47,,1),"")</f>
        <v/>
      </c>
    </row>
    <row r="92" hidden="1" spans="2:39">
      <c r="B92" s="402">
        <v>25</v>
      </c>
      <c r="C92" s="391" t="str">
        <f>IFERROR(IF(OR($B$8="INCORRECT SHEET. Do not use this sheet to input data.",'INPUT DATA'!S35=""),"",'INPUT DATA'!S35),"")</f>
        <v/>
      </c>
      <c r="D92" s="358"/>
      <c r="E92" s="359"/>
      <c r="F92" s="359"/>
      <c r="G92" s="359"/>
      <c r="H92" s="359"/>
      <c r="I92" s="359"/>
      <c r="J92" s="359"/>
      <c r="K92" s="359"/>
      <c r="L92" s="359"/>
      <c r="M92" s="360"/>
      <c r="N92" s="361" t="str">
        <f t="shared" si="13"/>
        <v/>
      </c>
      <c r="O92" s="362" t="str">
        <f t="shared" si="14"/>
        <v/>
      </c>
      <c r="P92" s="363" t="str">
        <f t="shared" si="15"/>
        <v/>
      </c>
      <c r="Q92" s="358"/>
      <c r="R92" s="359"/>
      <c r="S92" s="359"/>
      <c r="T92" s="359"/>
      <c r="U92" s="359"/>
      <c r="V92" s="359"/>
      <c r="W92" s="359"/>
      <c r="X92" s="359"/>
      <c r="Y92" s="359"/>
      <c r="Z92" s="360"/>
      <c r="AA92" s="361" t="str">
        <f t="shared" si="16"/>
        <v/>
      </c>
      <c r="AB92" s="362" t="str">
        <f t="shared" si="17"/>
        <v/>
      </c>
      <c r="AC92" s="363" t="str">
        <f t="shared" si="18"/>
        <v/>
      </c>
      <c r="AD92" s="358"/>
      <c r="AE92" s="359"/>
      <c r="AF92" s="360"/>
      <c r="AG92" s="364" t="str">
        <f t="shared" si="19"/>
        <v/>
      </c>
      <c r="AH92" s="362" t="str">
        <f t="shared" si="20"/>
        <v/>
      </c>
      <c r="AI92" s="365" t="str">
        <f t="shared" si="21"/>
        <v/>
      </c>
      <c r="AJ92" s="364" t="str">
        <f t="shared" si="22"/>
        <v/>
      </c>
      <c r="AK92" s="366" t="str">
        <f t="shared" si="23"/>
        <v/>
      </c>
      <c r="AL92" s="367" t="str">
        <f t="shared" si="12"/>
        <v/>
      </c>
      <c r="AM92" s="368" t="str">
        <f>IFERROR(_xlfn.XLOOKUP(AL92,HELPER!$C$7:$C$47,HELPER!$D$7:$D$47,,1),"")</f>
        <v/>
      </c>
    </row>
    <row r="93" hidden="1" spans="2:39">
      <c r="B93" s="402">
        <v>26</v>
      </c>
      <c r="C93" s="391" t="str">
        <f>IFERROR(IF(OR($B$8="INCORRECT SHEET. Do not use this sheet to input data.",'INPUT DATA'!S36=""),"",'INPUT DATA'!S36),"")</f>
        <v/>
      </c>
      <c r="D93" s="358"/>
      <c r="E93" s="359"/>
      <c r="F93" s="359"/>
      <c r="G93" s="359"/>
      <c r="H93" s="359"/>
      <c r="I93" s="359"/>
      <c r="J93" s="359"/>
      <c r="K93" s="359"/>
      <c r="L93" s="359"/>
      <c r="M93" s="360"/>
      <c r="N93" s="361" t="str">
        <f t="shared" si="13"/>
        <v/>
      </c>
      <c r="O93" s="362" t="str">
        <f t="shared" si="14"/>
        <v/>
      </c>
      <c r="P93" s="363" t="str">
        <f t="shared" si="15"/>
        <v/>
      </c>
      <c r="Q93" s="358"/>
      <c r="R93" s="359"/>
      <c r="S93" s="359"/>
      <c r="T93" s="359"/>
      <c r="U93" s="359"/>
      <c r="V93" s="359"/>
      <c r="W93" s="359"/>
      <c r="X93" s="359"/>
      <c r="Y93" s="359"/>
      <c r="Z93" s="360"/>
      <c r="AA93" s="361" t="str">
        <f t="shared" si="16"/>
        <v/>
      </c>
      <c r="AB93" s="362" t="str">
        <f t="shared" si="17"/>
        <v/>
      </c>
      <c r="AC93" s="363" t="str">
        <f t="shared" si="18"/>
        <v/>
      </c>
      <c r="AD93" s="358"/>
      <c r="AE93" s="359"/>
      <c r="AF93" s="360"/>
      <c r="AG93" s="364" t="str">
        <f t="shared" si="19"/>
        <v/>
      </c>
      <c r="AH93" s="362" t="str">
        <f t="shared" si="20"/>
        <v/>
      </c>
      <c r="AI93" s="365" t="str">
        <f t="shared" si="21"/>
        <v/>
      </c>
      <c r="AJ93" s="364" t="str">
        <f t="shared" si="22"/>
        <v/>
      </c>
      <c r="AK93" s="366" t="str">
        <f t="shared" si="23"/>
        <v/>
      </c>
      <c r="AL93" s="367" t="str">
        <f t="shared" si="12"/>
        <v/>
      </c>
      <c r="AM93" s="368" t="str">
        <f>IFERROR(_xlfn.XLOOKUP(AL93,HELPER!$C$7:$C$47,HELPER!$D$7:$D$47,,1),"")</f>
        <v/>
      </c>
    </row>
    <row r="94" hidden="1" spans="2:39">
      <c r="B94" s="402">
        <v>27</v>
      </c>
      <c r="C94" s="391" t="str">
        <f>IFERROR(IF(OR($B$8="INCORRECT SHEET. Do not use this sheet to input data.",'INPUT DATA'!S37=""),"",'INPUT DATA'!S37),"")</f>
        <v/>
      </c>
      <c r="D94" s="358"/>
      <c r="E94" s="359"/>
      <c r="F94" s="359"/>
      <c r="G94" s="359"/>
      <c r="H94" s="359"/>
      <c r="I94" s="359"/>
      <c r="J94" s="359"/>
      <c r="K94" s="359"/>
      <c r="L94" s="359"/>
      <c r="M94" s="360"/>
      <c r="N94" s="361" t="str">
        <f t="shared" si="13"/>
        <v/>
      </c>
      <c r="O94" s="362" t="str">
        <f t="shared" si="14"/>
        <v/>
      </c>
      <c r="P94" s="363" t="str">
        <f t="shared" si="15"/>
        <v/>
      </c>
      <c r="Q94" s="358"/>
      <c r="R94" s="359"/>
      <c r="S94" s="359"/>
      <c r="T94" s="359"/>
      <c r="U94" s="359"/>
      <c r="V94" s="359"/>
      <c r="W94" s="359"/>
      <c r="X94" s="359"/>
      <c r="Y94" s="359"/>
      <c r="Z94" s="360"/>
      <c r="AA94" s="361" t="str">
        <f t="shared" si="16"/>
        <v/>
      </c>
      <c r="AB94" s="362" t="str">
        <f t="shared" si="17"/>
        <v/>
      </c>
      <c r="AC94" s="363" t="str">
        <f t="shared" si="18"/>
        <v/>
      </c>
      <c r="AD94" s="358"/>
      <c r="AE94" s="359"/>
      <c r="AF94" s="360"/>
      <c r="AG94" s="364" t="str">
        <f t="shared" si="19"/>
        <v/>
      </c>
      <c r="AH94" s="362" t="str">
        <f t="shared" si="20"/>
        <v/>
      </c>
      <c r="AI94" s="365" t="str">
        <f t="shared" si="21"/>
        <v/>
      </c>
      <c r="AJ94" s="364" t="str">
        <f t="shared" si="22"/>
        <v/>
      </c>
      <c r="AK94" s="366" t="str">
        <f t="shared" si="23"/>
        <v/>
      </c>
      <c r="AL94" s="367" t="str">
        <f t="shared" si="12"/>
        <v/>
      </c>
      <c r="AM94" s="368" t="str">
        <f>IFERROR(_xlfn.XLOOKUP(AL94,HELPER!$C$7:$C$47,HELPER!$D$7:$D$47,,1),"")</f>
        <v/>
      </c>
    </row>
    <row r="95" hidden="1" spans="2:39">
      <c r="B95" s="402">
        <v>28</v>
      </c>
      <c r="C95" s="391" t="str">
        <f>IFERROR(IF(OR($B$8="INCORRECT SHEET. Do not use this sheet to input data.",'INPUT DATA'!S38=""),"",'INPUT DATA'!S38),"")</f>
        <v/>
      </c>
      <c r="D95" s="358"/>
      <c r="E95" s="359"/>
      <c r="F95" s="359"/>
      <c r="G95" s="359"/>
      <c r="H95" s="359"/>
      <c r="I95" s="359"/>
      <c r="J95" s="359"/>
      <c r="K95" s="359"/>
      <c r="L95" s="359"/>
      <c r="M95" s="360"/>
      <c r="N95" s="361" t="str">
        <f t="shared" si="13"/>
        <v/>
      </c>
      <c r="O95" s="362" t="str">
        <f t="shared" si="14"/>
        <v/>
      </c>
      <c r="P95" s="363" t="str">
        <f t="shared" si="15"/>
        <v/>
      </c>
      <c r="Q95" s="358"/>
      <c r="R95" s="359"/>
      <c r="S95" s="359"/>
      <c r="T95" s="359"/>
      <c r="U95" s="359"/>
      <c r="V95" s="359"/>
      <c r="W95" s="359"/>
      <c r="X95" s="359"/>
      <c r="Y95" s="359"/>
      <c r="Z95" s="360"/>
      <c r="AA95" s="361" t="str">
        <f t="shared" si="16"/>
        <v/>
      </c>
      <c r="AB95" s="362" t="str">
        <f t="shared" si="17"/>
        <v/>
      </c>
      <c r="AC95" s="363" t="str">
        <f t="shared" si="18"/>
        <v/>
      </c>
      <c r="AD95" s="358"/>
      <c r="AE95" s="359"/>
      <c r="AF95" s="360"/>
      <c r="AG95" s="364" t="str">
        <f t="shared" si="19"/>
        <v/>
      </c>
      <c r="AH95" s="362" t="str">
        <f t="shared" si="20"/>
        <v/>
      </c>
      <c r="AI95" s="365" t="str">
        <f t="shared" si="21"/>
        <v/>
      </c>
      <c r="AJ95" s="364" t="str">
        <f t="shared" si="22"/>
        <v/>
      </c>
      <c r="AK95" s="366" t="str">
        <f t="shared" si="23"/>
        <v/>
      </c>
      <c r="AL95" s="367" t="str">
        <f t="shared" si="12"/>
        <v/>
      </c>
      <c r="AM95" s="368" t="str">
        <f>IFERROR(_xlfn.XLOOKUP(AL95,HELPER!$C$7:$C$47,HELPER!$D$7:$D$47,,1),"")</f>
        <v/>
      </c>
    </row>
    <row r="96" hidden="1" spans="2:39">
      <c r="B96" s="402">
        <v>29</v>
      </c>
      <c r="C96" s="391" t="str">
        <f>IFERROR(IF(OR($B$8="INCORRECT SHEET. Do not use this sheet to input data.",'INPUT DATA'!S39=""),"",'INPUT DATA'!S39),"")</f>
        <v/>
      </c>
      <c r="D96" s="358"/>
      <c r="E96" s="359"/>
      <c r="F96" s="359"/>
      <c r="G96" s="359"/>
      <c r="H96" s="359"/>
      <c r="I96" s="359"/>
      <c r="J96" s="359"/>
      <c r="K96" s="359"/>
      <c r="L96" s="359"/>
      <c r="M96" s="360"/>
      <c r="N96" s="361" t="str">
        <f t="shared" si="13"/>
        <v/>
      </c>
      <c r="O96" s="362" t="str">
        <f t="shared" si="14"/>
        <v/>
      </c>
      <c r="P96" s="363" t="str">
        <f t="shared" si="15"/>
        <v/>
      </c>
      <c r="Q96" s="358"/>
      <c r="R96" s="359"/>
      <c r="S96" s="359"/>
      <c r="T96" s="359"/>
      <c r="U96" s="359"/>
      <c r="V96" s="359"/>
      <c r="W96" s="359"/>
      <c r="X96" s="359"/>
      <c r="Y96" s="359"/>
      <c r="Z96" s="360"/>
      <c r="AA96" s="361" t="str">
        <f t="shared" si="16"/>
        <v/>
      </c>
      <c r="AB96" s="362" t="str">
        <f t="shared" si="17"/>
        <v/>
      </c>
      <c r="AC96" s="363" t="str">
        <f t="shared" si="18"/>
        <v/>
      </c>
      <c r="AD96" s="358"/>
      <c r="AE96" s="359"/>
      <c r="AF96" s="360"/>
      <c r="AG96" s="364" t="str">
        <f t="shared" si="19"/>
        <v/>
      </c>
      <c r="AH96" s="362" t="str">
        <f t="shared" si="20"/>
        <v/>
      </c>
      <c r="AI96" s="365" t="str">
        <f t="shared" si="21"/>
        <v/>
      </c>
      <c r="AJ96" s="364" t="str">
        <f t="shared" si="22"/>
        <v/>
      </c>
      <c r="AK96" s="366" t="str">
        <f t="shared" si="23"/>
        <v/>
      </c>
      <c r="AL96" s="367" t="str">
        <f t="shared" si="12"/>
        <v/>
      </c>
      <c r="AM96" s="368" t="str">
        <f>IFERROR(_xlfn.XLOOKUP(AL96,HELPER!$C$7:$C$47,HELPER!$D$7:$D$47,,1),"")</f>
        <v/>
      </c>
    </row>
    <row r="97" hidden="1" spans="2:39">
      <c r="B97" s="402">
        <v>30</v>
      </c>
      <c r="C97" s="391" t="str">
        <f>IFERROR(IF(OR($B$8="INCORRECT SHEET. Do not use this sheet to input data.",'INPUT DATA'!S40=""),"",'INPUT DATA'!S40),"")</f>
        <v/>
      </c>
      <c r="D97" s="358"/>
      <c r="E97" s="359"/>
      <c r="F97" s="359"/>
      <c r="G97" s="359"/>
      <c r="H97" s="359"/>
      <c r="I97" s="359"/>
      <c r="J97" s="359"/>
      <c r="K97" s="359"/>
      <c r="L97" s="359"/>
      <c r="M97" s="360"/>
      <c r="N97" s="361" t="str">
        <f t="shared" si="13"/>
        <v/>
      </c>
      <c r="O97" s="362" t="str">
        <f t="shared" si="14"/>
        <v/>
      </c>
      <c r="P97" s="363" t="str">
        <f t="shared" si="15"/>
        <v/>
      </c>
      <c r="Q97" s="358"/>
      <c r="R97" s="359"/>
      <c r="S97" s="359"/>
      <c r="T97" s="359"/>
      <c r="U97" s="359"/>
      <c r="V97" s="359"/>
      <c r="W97" s="359"/>
      <c r="X97" s="359"/>
      <c r="Y97" s="359"/>
      <c r="Z97" s="360"/>
      <c r="AA97" s="361" t="str">
        <f t="shared" si="16"/>
        <v/>
      </c>
      <c r="AB97" s="362" t="str">
        <f t="shared" si="17"/>
        <v/>
      </c>
      <c r="AC97" s="363" t="str">
        <f t="shared" si="18"/>
        <v/>
      </c>
      <c r="AD97" s="358"/>
      <c r="AE97" s="359"/>
      <c r="AF97" s="360"/>
      <c r="AG97" s="364" t="str">
        <f t="shared" si="19"/>
        <v/>
      </c>
      <c r="AH97" s="362" t="str">
        <f t="shared" si="20"/>
        <v/>
      </c>
      <c r="AI97" s="365" t="str">
        <f t="shared" si="21"/>
        <v/>
      </c>
      <c r="AJ97" s="364" t="str">
        <f t="shared" si="22"/>
        <v/>
      </c>
      <c r="AK97" s="366" t="str">
        <f t="shared" si="23"/>
        <v/>
      </c>
      <c r="AL97" s="367" t="str">
        <f t="shared" si="12"/>
        <v/>
      </c>
      <c r="AM97" s="368" t="str">
        <f>IFERROR(_xlfn.XLOOKUP(AL97,HELPER!$C$7:$C$47,HELPER!$D$7:$D$47,,1),"")</f>
        <v/>
      </c>
    </row>
    <row r="98" hidden="1" spans="2:39">
      <c r="B98" s="402">
        <v>31</v>
      </c>
      <c r="C98" s="391" t="str">
        <f>IFERROR(IF(OR($B$8="INCORRECT SHEET. Do not use this sheet to input data.",'INPUT DATA'!S41=""),"",'INPUT DATA'!S41),"")</f>
        <v/>
      </c>
      <c r="D98" s="358"/>
      <c r="E98" s="359"/>
      <c r="F98" s="359"/>
      <c r="G98" s="359"/>
      <c r="H98" s="359"/>
      <c r="I98" s="359"/>
      <c r="J98" s="359"/>
      <c r="K98" s="359"/>
      <c r="L98" s="359"/>
      <c r="M98" s="360"/>
      <c r="N98" s="361" t="str">
        <f t="shared" si="13"/>
        <v/>
      </c>
      <c r="O98" s="362" t="str">
        <f t="shared" si="14"/>
        <v/>
      </c>
      <c r="P98" s="363" t="str">
        <f t="shared" si="15"/>
        <v/>
      </c>
      <c r="Q98" s="358"/>
      <c r="R98" s="359"/>
      <c r="S98" s="359"/>
      <c r="T98" s="359"/>
      <c r="U98" s="359"/>
      <c r="V98" s="359"/>
      <c r="W98" s="359"/>
      <c r="X98" s="359"/>
      <c r="Y98" s="359"/>
      <c r="Z98" s="360"/>
      <c r="AA98" s="361" t="str">
        <f t="shared" si="16"/>
        <v/>
      </c>
      <c r="AB98" s="362" t="str">
        <f t="shared" si="17"/>
        <v/>
      </c>
      <c r="AC98" s="363" t="str">
        <f t="shared" si="18"/>
        <v/>
      </c>
      <c r="AD98" s="358"/>
      <c r="AE98" s="359"/>
      <c r="AF98" s="360"/>
      <c r="AG98" s="364" t="str">
        <f t="shared" si="19"/>
        <v/>
      </c>
      <c r="AH98" s="362" t="str">
        <f t="shared" si="20"/>
        <v/>
      </c>
      <c r="AI98" s="365" t="str">
        <f t="shared" si="21"/>
        <v/>
      </c>
      <c r="AJ98" s="364" t="str">
        <f t="shared" si="22"/>
        <v/>
      </c>
      <c r="AK98" s="366" t="str">
        <f t="shared" si="23"/>
        <v/>
      </c>
      <c r="AL98" s="367" t="str">
        <f t="shared" si="12"/>
        <v/>
      </c>
      <c r="AM98" s="368" t="str">
        <f>IFERROR(_xlfn.XLOOKUP(AL98,HELPER!$C$7:$C$47,HELPER!$D$7:$D$47,,1),"")</f>
        <v/>
      </c>
    </row>
    <row r="99" hidden="1" spans="2:39">
      <c r="B99" s="402">
        <v>32</v>
      </c>
      <c r="C99" s="391" t="str">
        <f>IFERROR(IF(OR($B$8="INCORRECT SHEET. Do not use this sheet to input data.",'INPUT DATA'!S42=""),"",'INPUT DATA'!S42),"")</f>
        <v/>
      </c>
      <c r="D99" s="358"/>
      <c r="E99" s="359"/>
      <c r="F99" s="359"/>
      <c r="G99" s="359"/>
      <c r="H99" s="359"/>
      <c r="I99" s="359"/>
      <c r="J99" s="359"/>
      <c r="K99" s="359"/>
      <c r="L99" s="359"/>
      <c r="M99" s="360"/>
      <c r="N99" s="361" t="str">
        <f t="shared" si="13"/>
        <v/>
      </c>
      <c r="O99" s="362" t="str">
        <f t="shared" si="14"/>
        <v/>
      </c>
      <c r="P99" s="363" t="str">
        <f t="shared" si="15"/>
        <v/>
      </c>
      <c r="Q99" s="358"/>
      <c r="R99" s="359"/>
      <c r="S99" s="359"/>
      <c r="T99" s="359"/>
      <c r="U99" s="359"/>
      <c r="V99" s="359"/>
      <c r="W99" s="359"/>
      <c r="X99" s="359"/>
      <c r="Y99" s="359"/>
      <c r="Z99" s="360"/>
      <c r="AA99" s="361" t="str">
        <f t="shared" si="16"/>
        <v/>
      </c>
      <c r="AB99" s="362" t="str">
        <f t="shared" si="17"/>
        <v/>
      </c>
      <c r="AC99" s="363" t="str">
        <f t="shared" si="18"/>
        <v/>
      </c>
      <c r="AD99" s="358"/>
      <c r="AE99" s="359"/>
      <c r="AF99" s="360"/>
      <c r="AG99" s="364" t="str">
        <f t="shared" si="19"/>
        <v/>
      </c>
      <c r="AH99" s="362" t="str">
        <f t="shared" si="20"/>
        <v/>
      </c>
      <c r="AI99" s="365" t="str">
        <f t="shared" si="21"/>
        <v/>
      </c>
      <c r="AJ99" s="364" t="str">
        <f t="shared" si="22"/>
        <v/>
      </c>
      <c r="AK99" s="366" t="str">
        <f t="shared" si="23"/>
        <v/>
      </c>
      <c r="AL99" s="367" t="str">
        <f t="shared" si="12"/>
        <v/>
      </c>
      <c r="AM99" s="368" t="str">
        <f>IFERROR(_xlfn.XLOOKUP(AL99,HELPER!$C$7:$C$47,HELPER!$D$7:$D$47,,1),"")</f>
        <v/>
      </c>
    </row>
    <row r="100" hidden="1" spans="2:39">
      <c r="B100" s="402">
        <v>33</v>
      </c>
      <c r="C100" s="391" t="str">
        <f>IFERROR(IF(OR($B$8="INCORRECT SHEET. Do not use this sheet to input data.",'INPUT DATA'!S43=""),"",'INPUT DATA'!S43),"")</f>
        <v/>
      </c>
      <c r="D100" s="358"/>
      <c r="E100" s="359"/>
      <c r="F100" s="359"/>
      <c r="G100" s="359"/>
      <c r="H100" s="359"/>
      <c r="I100" s="359"/>
      <c r="J100" s="359"/>
      <c r="K100" s="359"/>
      <c r="L100" s="359"/>
      <c r="M100" s="360"/>
      <c r="N100" s="361" t="str">
        <f t="shared" si="13"/>
        <v/>
      </c>
      <c r="O100" s="362" t="str">
        <f t="shared" si="14"/>
        <v/>
      </c>
      <c r="P100" s="363" t="str">
        <f t="shared" si="15"/>
        <v/>
      </c>
      <c r="Q100" s="358"/>
      <c r="R100" s="359"/>
      <c r="S100" s="359"/>
      <c r="T100" s="359"/>
      <c r="U100" s="359"/>
      <c r="V100" s="359"/>
      <c r="W100" s="359"/>
      <c r="X100" s="359"/>
      <c r="Y100" s="359"/>
      <c r="Z100" s="360"/>
      <c r="AA100" s="361" t="str">
        <f t="shared" si="16"/>
        <v/>
      </c>
      <c r="AB100" s="362" t="str">
        <f t="shared" si="17"/>
        <v/>
      </c>
      <c r="AC100" s="363" t="str">
        <f t="shared" si="18"/>
        <v/>
      </c>
      <c r="AD100" s="358"/>
      <c r="AE100" s="359"/>
      <c r="AF100" s="360"/>
      <c r="AG100" s="364" t="str">
        <f t="shared" si="19"/>
        <v/>
      </c>
      <c r="AH100" s="362" t="str">
        <f t="shared" si="20"/>
        <v/>
      </c>
      <c r="AI100" s="365" t="str">
        <f t="shared" si="21"/>
        <v/>
      </c>
      <c r="AJ100" s="364" t="str">
        <f t="shared" si="22"/>
        <v/>
      </c>
      <c r="AK100" s="366" t="str">
        <f t="shared" si="23"/>
        <v/>
      </c>
      <c r="AL100" s="367" t="str">
        <f t="shared" si="12"/>
        <v/>
      </c>
      <c r="AM100" s="368" t="str">
        <f>IFERROR(_xlfn.XLOOKUP(AL100,HELPER!$C$7:$C$47,HELPER!$D$7:$D$47,,1),"")</f>
        <v/>
      </c>
    </row>
    <row r="101" hidden="1" spans="2:39">
      <c r="B101" s="402">
        <v>34</v>
      </c>
      <c r="C101" s="391" t="str">
        <f>IFERROR(IF(OR($B$8="INCORRECT SHEET. Do not use this sheet to input data.",'INPUT DATA'!S44=""),"",'INPUT DATA'!S44),"")</f>
        <v/>
      </c>
      <c r="D101" s="358"/>
      <c r="E101" s="359"/>
      <c r="F101" s="359"/>
      <c r="G101" s="359"/>
      <c r="H101" s="359"/>
      <c r="I101" s="359"/>
      <c r="J101" s="359"/>
      <c r="K101" s="359"/>
      <c r="L101" s="359"/>
      <c r="M101" s="360"/>
      <c r="N101" s="361" t="str">
        <f t="shared" si="13"/>
        <v/>
      </c>
      <c r="O101" s="362" t="str">
        <f t="shared" si="14"/>
        <v/>
      </c>
      <c r="P101" s="363" t="str">
        <f t="shared" si="15"/>
        <v/>
      </c>
      <c r="Q101" s="358"/>
      <c r="R101" s="359"/>
      <c r="S101" s="359"/>
      <c r="T101" s="359"/>
      <c r="U101" s="359"/>
      <c r="V101" s="359"/>
      <c r="W101" s="359"/>
      <c r="X101" s="359"/>
      <c r="Y101" s="359"/>
      <c r="Z101" s="360"/>
      <c r="AA101" s="361" t="str">
        <f t="shared" si="16"/>
        <v/>
      </c>
      <c r="AB101" s="362" t="str">
        <f t="shared" si="17"/>
        <v/>
      </c>
      <c r="AC101" s="363" t="str">
        <f t="shared" si="18"/>
        <v/>
      </c>
      <c r="AD101" s="358"/>
      <c r="AE101" s="359"/>
      <c r="AF101" s="360"/>
      <c r="AG101" s="364" t="str">
        <f t="shared" si="19"/>
        <v/>
      </c>
      <c r="AH101" s="362" t="str">
        <f t="shared" si="20"/>
        <v/>
      </c>
      <c r="AI101" s="365" t="str">
        <f t="shared" si="21"/>
        <v/>
      </c>
      <c r="AJ101" s="364" t="str">
        <f t="shared" si="22"/>
        <v/>
      </c>
      <c r="AK101" s="366" t="str">
        <f t="shared" si="23"/>
        <v/>
      </c>
      <c r="AL101" s="367" t="str">
        <f t="shared" si="12"/>
        <v/>
      </c>
      <c r="AM101" s="368" t="str">
        <f>IFERROR(_xlfn.XLOOKUP(AL101,HELPER!$C$7:$C$47,HELPER!$D$7:$D$47,,1),"")</f>
        <v/>
      </c>
    </row>
    <row r="102" hidden="1" spans="2:39">
      <c r="B102" s="402">
        <v>35</v>
      </c>
      <c r="C102" s="391" t="str">
        <f>IFERROR(IF(OR($B$8="INCORRECT SHEET. Do not use this sheet to input data.",'INPUT DATA'!S45=""),"",'INPUT DATA'!S45),"")</f>
        <v/>
      </c>
      <c r="D102" s="358"/>
      <c r="E102" s="359"/>
      <c r="F102" s="359"/>
      <c r="G102" s="359"/>
      <c r="H102" s="359"/>
      <c r="I102" s="359"/>
      <c r="J102" s="359"/>
      <c r="K102" s="359"/>
      <c r="L102" s="359"/>
      <c r="M102" s="360"/>
      <c r="N102" s="361" t="str">
        <f t="shared" si="13"/>
        <v/>
      </c>
      <c r="O102" s="362" t="str">
        <f t="shared" si="14"/>
        <v/>
      </c>
      <c r="P102" s="363" t="str">
        <f t="shared" si="15"/>
        <v/>
      </c>
      <c r="Q102" s="358"/>
      <c r="R102" s="359"/>
      <c r="S102" s="359"/>
      <c r="T102" s="359"/>
      <c r="U102" s="359"/>
      <c r="V102" s="359"/>
      <c r="W102" s="359"/>
      <c r="X102" s="359"/>
      <c r="Y102" s="359"/>
      <c r="Z102" s="360"/>
      <c r="AA102" s="361" t="str">
        <f t="shared" si="16"/>
        <v/>
      </c>
      <c r="AB102" s="362" t="str">
        <f t="shared" si="17"/>
        <v/>
      </c>
      <c r="AC102" s="363" t="str">
        <f t="shared" si="18"/>
        <v/>
      </c>
      <c r="AD102" s="358"/>
      <c r="AE102" s="359"/>
      <c r="AF102" s="360"/>
      <c r="AG102" s="364" t="str">
        <f t="shared" si="19"/>
        <v/>
      </c>
      <c r="AH102" s="362" t="str">
        <f t="shared" si="20"/>
        <v/>
      </c>
      <c r="AI102" s="365" t="str">
        <f t="shared" si="21"/>
        <v/>
      </c>
      <c r="AJ102" s="364" t="str">
        <f t="shared" si="22"/>
        <v/>
      </c>
      <c r="AK102" s="366" t="str">
        <f t="shared" si="23"/>
        <v/>
      </c>
      <c r="AL102" s="367" t="str">
        <f t="shared" si="12"/>
        <v/>
      </c>
      <c r="AM102" s="368" t="str">
        <f>IFERROR(_xlfn.XLOOKUP(AL102,HELPER!$C$7:$C$47,HELPER!$D$7:$D$47,,1),"")</f>
        <v/>
      </c>
    </row>
    <row r="103" hidden="1" spans="2:39">
      <c r="B103" s="402">
        <v>36</v>
      </c>
      <c r="C103" s="391" t="str">
        <f>IFERROR(IF(OR($B$8="INCORRECT SHEET. Do not use this sheet to input data.",'INPUT DATA'!S46=""),"",'INPUT DATA'!S46),"")</f>
        <v/>
      </c>
      <c r="D103" s="358"/>
      <c r="E103" s="359"/>
      <c r="F103" s="359"/>
      <c r="G103" s="359"/>
      <c r="H103" s="359"/>
      <c r="I103" s="359"/>
      <c r="J103" s="359"/>
      <c r="K103" s="359"/>
      <c r="L103" s="359"/>
      <c r="M103" s="360"/>
      <c r="N103" s="361" t="str">
        <f t="shared" si="13"/>
        <v/>
      </c>
      <c r="O103" s="362" t="str">
        <f t="shared" si="14"/>
        <v/>
      </c>
      <c r="P103" s="363" t="str">
        <f t="shared" si="15"/>
        <v/>
      </c>
      <c r="Q103" s="358"/>
      <c r="R103" s="359"/>
      <c r="S103" s="359"/>
      <c r="T103" s="359"/>
      <c r="U103" s="359"/>
      <c r="V103" s="359"/>
      <c r="W103" s="359"/>
      <c r="X103" s="359"/>
      <c r="Y103" s="359"/>
      <c r="Z103" s="360"/>
      <c r="AA103" s="361" t="str">
        <f t="shared" si="16"/>
        <v/>
      </c>
      <c r="AB103" s="362" t="str">
        <f t="shared" si="17"/>
        <v/>
      </c>
      <c r="AC103" s="363" t="str">
        <f t="shared" si="18"/>
        <v/>
      </c>
      <c r="AD103" s="358"/>
      <c r="AE103" s="359"/>
      <c r="AF103" s="360"/>
      <c r="AG103" s="364" t="str">
        <f t="shared" si="19"/>
        <v/>
      </c>
      <c r="AH103" s="362" t="str">
        <f t="shared" si="20"/>
        <v/>
      </c>
      <c r="AI103" s="365" t="str">
        <f t="shared" si="21"/>
        <v/>
      </c>
      <c r="AJ103" s="364" t="str">
        <f t="shared" si="22"/>
        <v/>
      </c>
      <c r="AK103" s="366" t="str">
        <f t="shared" si="23"/>
        <v/>
      </c>
      <c r="AL103" s="367" t="str">
        <f t="shared" si="12"/>
        <v/>
      </c>
      <c r="AM103" s="368" t="str">
        <f>IFERROR(_xlfn.XLOOKUP(AL103,HELPER!$C$7:$C$47,HELPER!$D$7:$D$47,,1),"")</f>
        <v/>
      </c>
    </row>
    <row r="104" hidden="1" spans="2:39">
      <c r="B104" s="402">
        <v>37</v>
      </c>
      <c r="C104" s="391" t="str">
        <f>IFERROR(IF(OR($B$8="INCORRECT SHEET. Do not use this sheet to input data.",'INPUT DATA'!S47=""),"",'INPUT DATA'!S47),"")</f>
        <v/>
      </c>
      <c r="D104" s="358"/>
      <c r="E104" s="359"/>
      <c r="F104" s="359"/>
      <c r="G104" s="359"/>
      <c r="H104" s="359"/>
      <c r="I104" s="359"/>
      <c r="J104" s="359"/>
      <c r="K104" s="359"/>
      <c r="L104" s="359"/>
      <c r="M104" s="360"/>
      <c r="N104" s="361" t="str">
        <f t="shared" si="13"/>
        <v/>
      </c>
      <c r="O104" s="362" t="str">
        <f t="shared" si="14"/>
        <v/>
      </c>
      <c r="P104" s="363" t="str">
        <f t="shared" si="15"/>
        <v/>
      </c>
      <c r="Q104" s="358"/>
      <c r="R104" s="359"/>
      <c r="S104" s="359"/>
      <c r="T104" s="359"/>
      <c r="U104" s="359"/>
      <c r="V104" s="359"/>
      <c r="W104" s="359"/>
      <c r="X104" s="359"/>
      <c r="Y104" s="359"/>
      <c r="Z104" s="360"/>
      <c r="AA104" s="361" t="str">
        <f t="shared" si="16"/>
        <v/>
      </c>
      <c r="AB104" s="362" t="str">
        <f t="shared" si="17"/>
        <v/>
      </c>
      <c r="AC104" s="363" t="str">
        <f t="shared" si="18"/>
        <v/>
      </c>
      <c r="AD104" s="358"/>
      <c r="AE104" s="359"/>
      <c r="AF104" s="360"/>
      <c r="AG104" s="364" t="str">
        <f t="shared" si="19"/>
        <v/>
      </c>
      <c r="AH104" s="362" t="str">
        <f t="shared" si="20"/>
        <v/>
      </c>
      <c r="AI104" s="365" t="str">
        <f t="shared" si="21"/>
        <v/>
      </c>
      <c r="AJ104" s="364" t="str">
        <f t="shared" si="22"/>
        <v/>
      </c>
      <c r="AK104" s="366" t="str">
        <f t="shared" si="23"/>
        <v/>
      </c>
      <c r="AL104" s="367" t="str">
        <f t="shared" si="12"/>
        <v/>
      </c>
      <c r="AM104" s="368" t="str">
        <f>IFERROR(_xlfn.XLOOKUP(AL104,HELPER!$C$7:$C$47,HELPER!$D$7:$D$47,,1),"")</f>
        <v/>
      </c>
    </row>
    <row r="105" hidden="1" spans="2:39">
      <c r="B105" s="402">
        <v>38</v>
      </c>
      <c r="C105" s="391" t="str">
        <f>IFERROR(IF(OR($B$8="INCORRECT SHEET. Do not use this sheet to input data.",'INPUT DATA'!S48=""),"",'INPUT DATA'!S48),"")</f>
        <v/>
      </c>
      <c r="D105" s="358"/>
      <c r="E105" s="359"/>
      <c r="F105" s="359"/>
      <c r="G105" s="359"/>
      <c r="H105" s="359"/>
      <c r="I105" s="359"/>
      <c r="J105" s="359"/>
      <c r="K105" s="359"/>
      <c r="L105" s="359"/>
      <c r="M105" s="360"/>
      <c r="N105" s="361" t="str">
        <f t="shared" si="13"/>
        <v/>
      </c>
      <c r="O105" s="362" t="str">
        <f t="shared" si="14"/>
        <v/>
      </c>
      <c r="P105" s="363" t="str">
        <f t="shared" si="15"/>
        <v/>
      </c>
      <c r="Q105" s="358"/>
      <c r="R105" s="359"/>
      <c r="S105" s="359"/>
      <c r="T105" s="359"/>
      <c r="U105" s="359"/>
      <c r="V105" s="359"/>
      <c r="W105" s="359"/>
      <c r="X105" s="359"/>
      <c r="Y105" s="359"/>
      <c r="Z105" s="360"/>
      <c r="AA105" s="361" t="str">
        <f t="shared" si="16"/>
        <v/>
      </c>
      <c r="AB105" s="362" t="str">
        <f t="shared" si="17"/>
        <v/>
      </c>
      <c r="AC105" s="363" t="str">
        <f t="shared" si="18"/>
        <v/>
      </c>
      <c r="AD105" s="358"/>
      <c r="AE105" s="359"/>
      <c r="AF105" s="360"/>
      <c r="AG105" s="364" t="str">
        <f t="shared" si="19"/>
        <v/>
      </c>
      <c r="AH105" s="362" t="str">
        <f t="shared" si="20"/>
        <v/>
      </c>
      <c r="AI105" s="365" t="str">
        <f t="shared" si="21"/>
        <v/>
      </c>
      <c r="AJ105" s="364" t="str">
        <f t="shared" si="22"/>
        <v/>
      </c>
      <c r="AK105" s="366" t="str">
        <f t="shared" si="23"/>
        <v/>
      </c>
      <c r="AL105" s="367" t="str">
        <f t="shared" si="12"/>
        <v/>
      </c>
      <c r="AM105" s="368" t="str">
        <f>IFERROR(_xlfn.XLOOKUP(AL105,HELPER!$C$7:$C$47,HELPER!$D$7:$D$47,,1),"")</f>
        <v/>
      </c>
    </row>
    <row r="106" hidden="1" spans="2:39">
      <c r="B106" s="402">
        <v>39</v>
      </c>
      <c r="C106" s="391" t="str">
        <f>IFERROR(IF(OR($B$8="INCORRECT SHEET. Do not use this sheet to input data.",'INPUT DATA'!S49=""),"",'INPUT DATA'!S49),"")</f>
        <v/>
      </c>
      <c r="D106" s="358"/>
      <c r="E106" s="359"/>
      <c r="F106" s="359"/>
      <c r="G106" s="359"/>
      <c r="H106" s="359"/>
      <c r="I106" s="359"/>
      <c r="J106" s="359"/>
      <c r="K106" s="359"/>
      <c r="L106" s="359"/>
      <c r="M106" s="360"/>
      <c r="N106" s="361" t="str">
        <f t="shared" si="13"/>
        <v/>
      </c>
      <c r="O106" s="362" t="str">
        <f t="shared" si="14"/>
        <v/>
      </c>
      <c r="P106" s="363" t="str">
        <f t="shared" si="15"/>
        <v/>
      </c>
      <c r="Q106" s="358"/>
      <c r="R106" s="359"/>
      <c r="S106" s="359"/>
      <c r="T106" s="359"/>
      <c r="U106" s="359"/>
      <c r="V106" s="359"/>
      <c r="W106" s="359"/>
      <c r="X106" s="359"/>
      <c r="Y106" s="359"/>
      <c r="Z106" s="360"/>
      <c r="AA106" s="361" t="str">
        <f t="shared" si="16"/>
        <v/>
      </c>
      <c r="AB106" s="362" t="str">
        <f t="shared" si="17"/>
        <v/>
      </c>
      <c r="AC106" s="363" t="str">
        <f t="shared" si="18"/>
        <v/>
      </c>
      <c r="AD106" s="358"/>
      <c r="AE106" s="359"/>
      <c r="AF106" s="360"/>
      <c r="AG106" s="364" t="str">
        <f t="shared" si="19"/>
        <v/>
      </c>
      <c r="AH106" s="362" t="str">
        <f t="shared" si="20"/>
        <v/>
      </c>
      <c r="AI106" s="365" t="str">
        <f t="shared" si="21"/>
        <v/>
      </c>
      <c r="AJ106" s="364" t="str">
        <f t="shared" si="22"/>
        <v/>
      </c>
      <c r="AK106" s="366" t="str">
        <f t="shared" si="23"/>
        <v/>
      </c>
      <c r="AL106" s="367" t="str">
        <f t="shared" si="12"/>
        <v/>
      </c>
      <c r="AM106" s="368" t="str">
        <f>IFERROR(_xlfn.XLOOKUP(AL106,HELPER!$C$7:$C$47,HELPER!$D$7:$D$47,,1),"")</f>
        <v/>
      </c>
    </row>
    <row r="107" hidden="1" spans="2:39">
      <c r="B107" s="402">
        <v>40</v>
      </c>
      <c r="C107" s="391" t="str">
        <f>IFERROR(IF(OR($B$8="INCORRECT SHEET. Do not use this sheet to input data.",'INPUT DATA'!S50=""),"",'INPUT DATA'!S50),"")</f>
        <v/>
      </c>
      <c r="D107" s="358"/>
      <c r="E107" s="359"/>
      <c r="F107" s="359"/>
      <c r="G107" s="359"/>
      <c r="H107" s="359"/>
      <c r="I107" s="359"/>
      <c r="J107" s="359"/>
      <c r="K107" s="359"/>
      <c r="L107" s="359"/>
      <c r="M107" s="360"/>
      <c r="N107" s="361" t="str">
        <f t="shared" si="13"/>
        <v/>
      </c>
      <c r="O107" s="362" t="str">
        <f t="shared" si="14"/>
        <v/>
      </c>
      <c r="P107" s="363" t="str">
        <f t="shared" si="15"/>
        <v/>
      </c>
      <c r="Q107" s="358"/>
      <c r="R107" s="359"/>
      <c r="S107" s="359"/>
      <c r="T107" s="359"/>
      <c r="U107" s="359"/>
      <c r="V107" s="359"/>
      <c r="W107" s="359"/>
      <c r="X107" s="359"/>
      <c r="Y107" s="359"/>
      <c r="Z107" s="360"/>
      <c r="AA107" s="361" t="str">
        <f t="shared" si="16"/>
        <v/>
      </c>
      <c r="AB107" s="362" t="str">
        <f t="shared" si="17"/>
        <v/>
      </c>
      <c r="AC107" s="363" t="str">
        <f t="shared" si="18"/>
        <v/>
      </c>
      <c r="AD107" s="358"/>
      <c r="AE107" s="359"/>
      <c r="AF107" s="360"/>
      <c r="AG107" s="364" t="str">
        <f t="shared" si="19"/>
        <v/>
      </c>
      <c r="AH107" s="362" t="str">
        <f t="shared" si="20"/>
        <v/>
      </c>
      <c r="AI107" s="365" t="str">
        <f t="shared" si="21"/>
        <v/>
      </c>
      <c r="AJ107" s="364" t="str">
        <f t="shared" si="22"/>
        <v/>
      </c>
      <c r="AK107" s="366" t="str">
        <f t="shared" si="23"/>
        <v/>
      </c>
      <c r="AL107" s="367" t="str">
        <f t="shared" si="12"/>
        <v/>
      </c>
      <c r="AM107" s="368" t="str">
        <f>IFERROR(_xlfn.XLOOKUP(AL107,HELPER!$C$7:$C$47,HELPER!$D$7:$D$47,,1),"")</f>
        <v/>
      </c>
    </row>
    <row r="108" hidden="1" spans="2:39">
      <c r="B108" s="402">
        <v>41</v>
      </c>
      <c r="C108" s="391" t="str">
        <f>IFERROR(IF(OR($B$8="INCORRECT SHEET. Do not use this sheet to input data.",'INPUT DATA'!S51=""),"",'INPUT DATA'!S51),"")</f>
        <v/>
      </c>
      <c r="D108" s="358"/>
      <c r="E108" s="359"/>
      <c r="F108" s="359"/>
      <c r="G108" s="359"/>
      <c r="H108" s="359"/>
      <c r="I108" s="359"/>
      <c r="J108" s="359"/>
      <c r="K108" s="359"/>
      <c r="L108" s="359"/>
      <c r="M108" s="360"/>
      <c r="N108" s="361" t="str">
        <f t="shared" si="13"/>
        <v/>
      </c>
      <c r="O108" s="362" t="str">
        <f t="shared" si="14"/>
        <v/>
      </c>
      <c r="P108" s="363" t="str">
        <f t="shared" si="15"/>
        <v/>
      </c>
      <c r="Q108" s="358"/>
      <c r="R108" s="359"/>
      <c r="S108" s="359"/>
      <c r="T108" s="359"/>
      <c r="U108" s="359"/>
      <c r="V108" s="359"/>
      <c r="W108" s="359"/>
      <c r="X108" s="359"/>
      <c r="Y108" s="359"/>
      <c r="Z108" s="360"/>
      <c r="AA108" s="361" t="str">
        <f t="shared" si="16"/>
        <v/>
      </c>
      <c r="AB108" s="362" t="str">
        <f t="shared" si="17"/>
        <v/>
      </c>
      <c r="AC108" s="363" t="str">
        <f t="shared" si="18"/>
        <v/>
      </c>
      <c r="AD108" s="358"/>
      <c r="AE108" s="359"/>
      <c r="AF108" s="360"/>
      <c r="AG108" s="364" t="str">
        <f t="shared" si="19"/>
        <v/>
      </c>
      <c r="AH108" s="362" t="str">
        <f t="shared" si="20"/>
        <v/>
      </c>
      <c r="AI108" s="365" t="str">
        <f t="shared" si="21"/>
        <v/>
      </c>
      <c r="AJ108" s="364" t="str">
        <f t="shared" si="22"/>
        <v/>
      </c>
      <c r="AK108" s="366" t="str">
        <f t="shared" si="23"/>
        <v/>
      </c>
      <c r="AL108" s="367" t="str">
        <f t="shared" si="12"/>
        <v/>
      </c>
      <c r="AM108" s="368" t="str">
        <f>IFERROR(_xlfn.XLOOKUP(AL108,HELPER!$C$7:$C$47,HELPER!$D$7:$D$47,,1),"")</f>
        <v/>
      </c>
    </row>
    <row r="109" hidden="1" spans="2:39">
      <c r="B109" s="402">
        <v>42</v>
      </c>
      <c r="C109" s="391" t="str">
        <f>IFERROR(IF(OR($B$8="INCORRECT SHEET. Do not use this sheet to input data.",'INPUT DATA'!S52=""),"",'INPUT DATA'!S52),"")</f>
        <v/>
      </c>
      <c r="D109" s="358"/>
      <c r="E109" s="359"/>
      <c r="F109" s="359"/>
      <c r="G109" s="359"/>
      <c r="H109" s="359"/>
      <c r="I109" s="359"/>
      <c r="J109" s="359"/>
      <c r="K109" s="359"/>
      <c r="L109" s="359"/>
      <c r="M109" s="360"/>
      <c r="N109" s="361" t="str">
        <f t="shared" si="13"/>
        <v/>
      </c>
      <c r="O109" s="362" t="str">
        <f t="shared" si="14"/>
        <v/>
      </c>
      <c r="P109" s="363" t="str">
        <f t="shared" si="15"/>
        <v/>
      </c>
      <c r="Q109" s="358"/>
      <c r="R109" s="359"/>
      <c r="S109" s="359"/>
      <c r="T109" s="359"/>
      <c r="U109" s="359"/>
      <c r="V109" s="359"/>
      <c r="W109" s="359"/>
      <c r="X109" s="359"/>
      <c r="Y109" s="359"/>
      <c r="Z109" s="360"/>
      <c r="AA109" s="361" t="str">
        <f t="shared" si="16"/>
        <v/>
      </c>
      <c r="AB109" s="362" t="str">
        <f t="shared" si="17"/>
        <v/>
      </c>
      <c r="AC109" s="363" t="str">
        <f t="shared" si="18"/>
        <v/>
      </c>
      <c r="AD109" s="358"/>
      <c r="AE109" s="359"/>
      <c r="AF109" s="360"/>
      <c r="AG109" s="364" t="str">
        <f t="shared" si="19"/>
        <v/>
      </c>
      <c r="AH109" s="362" t="str">
        <f t="shared" si="20"/>
        <v/>
      </c>
      <c r="AI109" s="365" t="str">
        <f t="shared" si="21"/>
        <v/>
      </c>
      <c r="AJ109" s="364" t="str">
        <f t="shared" si="22"/>
        <v/>
      </c>
      <c r="AK109" s="366" t="str">
        <f t="shared" si="23"/>
        <v/>
      </c>
      <c r="AL109" s="367" t="str">
        <f t="shared" si="12"/>
        <v/>
      </c>
      <c r="AM109" s="368" t="str">
        <f>IFERROR(_xlfn.XLOOKUP(AL109,HELPER!$C$7:$C$47,HELPER!$D$7:$D$47,,1),"")</f>
        <v/>
      </c>
    </row>
    <row r="110" hidden="1" spans="2:39">
      <c r="B110" s="402">
        <v>43</v>
      </c>
      <c r="C110" s="391" t="str">
        <f>IFERROR(IF(OR($B$8="INCORRECT SHEET. Do not use this sheet to input data.",'INPUT DATA'!S53=""),"",'INPUT DATA'!S53),"")</f>
        <v/>
      </c>
      <c r="D110" s="358"/>
      <c r="E110" s="359"/>
      <c r="F110" s="359"/>
      <c r="G110" s="359"/>
      <c r="H110" s="359"/>
      <c r="I110" s="359"/>
      <c r="J110" s="359"/>
      <c r="K110" s="359"/>
      <c r="L110" s="359"/>
      <c r="M110" s="360"/>
      <c r="N110" s="361" t="str">
        <f t="shared" si="13"/>
        <v/>
      </c>
      <c r="O110" s="362" t="str">
        <f t="shared" si="14"/>
        <v/>
      </c>
      <c r="P110" s="363" t="str">
        <f t="shared" si="15"/>
        <v/>
      </c>
      <c r="Q110" s="358"/>
      <c r="R110" s="359"/>
      <c r="S110" s="359"/>
      <c r="T110" s="359"/>
      <c r="U110" s="359"/>
      <c r="V110" s="359"/>
      <c r="W110" s="359"/>
      <c r="X110" s="359"/>
      <c r="Y110" s="359"/>
      <c r="Z110" s="360"/>
      <c r="AA110" s="361" t="str">
        <f t="shared" si="16"/>
        <v/>
      </c>
      <c r="AB110" s="362" t="str">
        <f t="shared" si="17"/>
        <v/>
      </c>
      <c r="AC110" s="363" t="str">
        <f t="shared" si="18"/>
        <v/>
      </c>
      <c r="AD110" s="358"/>
      <c r="AE110" s="359"/>
      <c r="AF110" s="360"/>
      <c r="AG110" s="364" t="str">
        <f t="shared" si="19"/>
        <v/>
      </c>
      <c r="AH110" s="362" t="str">
        <f t="shared" si="20"/>
        <v/>
      </c>
      <c r="AI110" s="365" t="str">
        <f t="shared" si="21"/>
        <v/>
      </c>
      <c r="AJ110" s="364" t="str">
        <f t="shared" si="22"/>
        <v/>
      </c>
      <c r="AK110" s="366" t="str">
        <f t="shared" si="23"/>
        <v/>
      </c>
      <c r="AL110" s="367" t="str">
        <f t="shared" si="12"/>
        <v/>
      </c>
      <c r="AM110" s="368" t="str">
        <f>IFERROR(_xlfn.XLOOKUP(AL110,HELPER!$C$7:$C$47,HELPER!$D$7:$D$47,,1),"")</f>
        <v/>
      </c>
    </row>
    <row r="111" hidden="1" spans="2:39">
      <c r="B111" s="402">
        <v>44</v>
      </c>
      <c r="C111" s="391" t="str">
        <f>IFERROR(IF(OR($B$8="INCORRECT SHEET. Do not use this sheet to input data.",'INPUT DATA'!S54=""),"",'INPUT DATA'!S54),"")</f>
        <v/>
      </c>
      <c r="D111" s="358"/>
      <c r="E111" s="359"/>
      <c r="F111" s="359"/>
      <c r="G111" s="359"/>
      <c r="H111" s="359"/>
      <c r="I111" s="359"/>
      <c r="J111" s="359"/>
      <c r="K111" s="359"/>
      <c r="L111" s="359"/>
      <c r="M111" s="360"/>
      <c r="N111" s="361" t="str">
        <f t="shared" si="13"/>
        <v/>
      </c>
      <c r="O111" s="362" t="str">
        <f t="shared" si="14"/>
        <v/>
      </c>
      <c r="P111" s="363" t="str">
        <f t="shared" si="15"/>
        <v/>
      </c>
      <c r="Q111" s="358"/>
      <c r="R111" s="359"/>
      <c r="S111" s="359"/>
      <c r="T111" s="359"/>
      <c r="U111" s="359"/>
      <c r="V111" s="359"/>
      <c r="W111" s="359"/>
      <c r="X111" s="359"/>
      <c r="Y111" s="359"/>
      <c r="Z111" s="360"/>
      <c r="AA111" s="361" t="str">
        <f t="shared" si="16"/>
        <v/>
      </c>
      <c r="AB111" s="362" t="str">
        <f t="shared" si="17"/>
        <v/>
      </c>
      <c r="AC111" s="363" t="str">
        <f t="shared" si="18"/>
        <v/>
      </c>
      <c r="AD111" s="358"/>
      <c r="AE111" s="359"/>
      <c r="AF111" s="360"/>
      <c r="AG111" s="364" t="str">
        <f t="shared" si="19"/>
        <v/>
      </c>
      <c r="AH111" s="362" t="str">
        <f t="shared" si="20"/>
        <v/>
      </c>
      <c r="AI111" s="365" t="str">
        <f t="shared" si="21"/>
        <v/>
      </c>
      <c r="AJ111" s="364" t="str">
        <f t="shared" si="22"/>
        <v/>
      </c>
      <c r="AK111" s="366" t="str">
        <f t="shared" si="23"/>
        <v/>
      </c>
      <c r="AL111" s="367" t="str">
        <f t="shared" si="12"/>
        <v/>
      </c>
      <c r="AM111" s="368" t="str">
        <f>IFERROR(_xlfn.XLOOKUP(AL111,HELPER!$C$7:$C$47,HELPER!$D$7:$D$47,,1),"")</f>
        <v/>
      </c>
    </row>
    <row r="112" hidden="1" spans="2:39">
      <c r="B112" s="402">
        <v>45</v>
      </c>
      <c r="C112" s="391" t="str">
        <f>IFERROR(IF(OR($B$8="INCORRECT SHEET. Do not use this sheet to input data.",'INPUT DATA'!S55=""),"",'INPUT DATA'!S55),"")</f>
        <v/>
      </c>
      <c r="D112" s="358"/>
      <c r="E112" s="359"/>
      <c r="F112" s="359"/>
      <c r="G112" s="359"/>
      <c r="H112" s="359"/>
      <c r="I112" s="359"/>
      <c r="J112" s="359"/>
      <c r="K112" s="359"/>
      <c r="L112" s="359"/>
      <c r="M112" s="360"/>
      <c r="N112" s="361" t="str">
        <f t="shared" si="13"/>
        <v/>
      </c>
      <c r="O112" s="362" t="str">
        <f t="shared" si="14"/>
        <v/>
      </c>
      <c r="P112" s="363" t="str">
        <f t="shared" si="15"/>
        <v/>
      </c>
      <c r="Q112" s="358"/>
      <c r="R112" s="359"/>
      <c r="S112" s="359"/>
      <c r="T112" s="359"/>
      <c r="U112" s="359"/>
      <c r="V112" s="359"/>
      <c r="W112" s="359"/>
      <c r="X112" s="359"/>
      <c r="Y112" s="359"/>
      <c r="Z112" s="360"/>
      <c r="AA112" s="361" t="str">
        <f t="shared" si="16"/>
        <v/>
      </c>
      <c r="AB112" s="362" t="str">
        <f t="shared" si="17"/>
        <v/>
      </c>
      <c r="AC112" s="363" t="str">
        <f t="shared" si="18"/>
        <v/>
      </c>
      <c r="AD112" s="358"/>
      <c r="AE112" s="359"/>
      <c r="AF112" s="360"/>
      <c r="AG112" s="364" t="str">
        <f t="shared" si="19"/>
        <v/>
      </c>
      <c r="AH112" s="362" t="str">
        <f t="shared" si="20"/>
        <v/>
      </c>
      <c r="AI112" s="365" t="str">
        <f t="shared" si="21"/>
        <v/>
      </c>
      <c r="AJ112" s="364" t="str">
        <f t="shared" si="22"/>
        <v/>
      </c>
      <c r="AK112" s="366" t="str">
        <f t="shared" si="23"/>
        <v/>
      </c>
      <c r="AL112" s="367" t="str">
        <f t="shared" si="12"/>
        <v/>
      </c>
      <c r="AM112" s="368" t="str">
        <f>IFERROR(_xlfn.XLOOKUP(AL112,HELPER!$C$7:$C$47,HELPER!$D$7:$D$47,,1),"")</f>
        <v/>
      </c>
    </row>
    <row r="113" hidden="1" spans="2:39">
      <c r="B113" s="402">
        <v>46</v>
      </c>
      <c r="C113" s="391" t="str">
        <f>IFERROR(IF(OR($B$8="INCORRECT SHEET. Do not use this sheet to input data.",'INPUT DATA'!S56=""),"",'INPUT DATA'!S56),"")</f>
        <v/>
      </c>
      <c r="D113" s="358"/>
      <c r="E113" s="359"/>
      <c r="F113" s="359"/>
      <c r="G113" s="359"/>
      <c r="H113" s="359"/>
      <c r="I113" s="359"/>
      <c r="J113" s="359"/>
      <c r="K113" s="359"/>
      <c r="L113" s="359"/>
      <c r="M113" s="360"/>
      <c r="N113" s="361" t="str">
        <f t="shared" si="13"/>
        <v/>
      </c>
      <c r="O113" s="362" t="str">
        <f t="shared" si="14"/>
        <v/>
      </c>
      <c r="P113" s="363" t="str">
        <f t="shared" si="15"/>
        <v/>
      </c>
      <c r="Q113" s="358"/>
      <c r="R113" s="359"/>
      <c r="S113" s="359"/>
      <c r="T113" s="359"/>
      <c r="U113" s="359"/>
      <c r="V113" s="359"/>
      <c r="W113" s="359"/>
      <c r="X113" s="359"/>
      <c r="Y113" s="359"/>
      <c r="Z113" s="360"/>
      <c r="AA113" s="361" t="str">
        <f t="shared" si="16"/>
        <v/>
      </c>
      <c r="AB113" s="362" t="str">
        <f t="shared" si="17"/>
        <v/>
      </c>
      <c r="AC113" s="363" t="str">
        <f t="shared" si="18"/>
        <v/>
      </c>
      <c r="AD113" s="358"/>
      <c r="AE113" s="359"/>
      <c r="AF113" s="360"/>
      <c r="AG113" s="364" t="str">
        <f t="shared" si="19"/>
        <v/>
      </c>
      <c r="AH113" s="362" t="str">
        <f t="shared" si="20"/>
        <v/>
      </c>
      <c r="AI113" s="365" t="str">
        <f t="shared" si="21"/>
        <v/>
      </c>
      <c r="AJ113" s="364" t="str">
        <f t="shared" si="22"/>
        <v/>
      </c>
      <c r="AK113" s="366" t="str">
        <f t="shared" si="23"/>
        <v/>
      </c>
      <c r="AL113" s="367" t="str">
        <f t="shared" si="12"/>
        <v/>
      </c>
      <c r="AM113" s="368" t="str">
        <f>IFERROR(_xlfn.XLOOKUP(AL113,HELPER!$C$7:$C$47,HELPER!$D$7:$D$47,,1),"")</f>
        <v/>
      </c>
    </row>
    <row r="114" hidden="1" spans="2:39">
      <c r="B114" s="402">
        <v>47</v>
      </c>
      <c r="C114" s="391" t="str">
        <f>IFERROR(IF(OR($B$8="INCORRECT SHEET. Do not use this sheet to input data.",'INPUT DATA'!S57=""),"",'INPUT DATA'!S57),"")</f>
        <v/>
      </c>
      <c r="D114" s="358"/>
      <c r="E114" s="359"/>
      <c r="F114" s="359"/>
      <c r="G114" s="359"/>
      <c r="H114" s="359"/>
      <c r="I114" s="359"/>
      <c r="J114" s="359"/>
      <c r="K114" s="359"/>
      <c r="L114" s="359"/>
      <c r="M114" s="360"/>
      <c r="N114" s="361" t="str">
        <f t="shared" si="13"/>
        <v/>
      </c>
      <c r="O114" s="362" t="str">
        <f t="shared" si="14"/>
        <v/>
      </c>
      <c r="P114" s="363" t="str">
        <f t="shared" si="15"/>
        <v/>
      </c>
      <c r="Q114" s="358"/>
      <c r="R114" s="359"/>
      <c r="S114" s="359"/>
      <c r="T114" s="359"/>
      <c r="U114" s="359"/>
      <c r="V114" s="359"/>
      <c r="W114" s="359"/>
      <c r="X114" s="359"/>
      <c r="Y114" s="359"/>
      <c r="Z114" s="360"/>
      <c r="AA114" s="361" t="str">
        <f t="shared" si="16"/>
        <v/>
      </c>
      <c r="AB114" s="362" t="str">
        <f t="shared" si="17"/>
        <v/>
      </c>
      <c r="AC114" s="363" t="str">
        <f t="shared" si="18"/>
        <v/>
      </c>
      <c r="AD114" s="358"/>
      <c r="AE114" s="359"/>
      <c r="AF114" s="360"/>
      <c r="AG114" s="364" t="str">
        <f t="shared" si="19"/>
        <v/>
      </c>
      <c r="AH114" s="362" t="str">
        <f t="shared" si="20"/>
        <v/>
      </c>
      <c r="AI114" s="365" t="str">
        <f t="shared" si="21"/>
        <v/>
      </c>
      <c r="AJ114" s="364" t="str">
        <f t="shared" si="22"/>
        <v/>
      </c>
      <c r="AK114" s="366" t="str">
        <f t="shared" si="23"/>
        <v/>
      </c>
      <c r="AL114" s="367" t="str">
        <f t="shared" si="12"/>
        <v/>
      </c>
      <c r="AM114" s="368" t="str">
        <f>IFERROR(_xlfn.XLOOKUP(AL114,HELPER!$C$7:$C$47,HELPER!$D$7:$D$47,,1),"")</f>
        <v/>
      </c>
    </row>
    <row r="115" hidden="1" spans="2:39">
      <c r="B115" s="402">
        <v>48</v>
      </c>
      <c r="C115" s="391" t="str">
        <f>IFERROR(IF(OR($B$8="INCORRECT SHEET. Do not use this sheet to input data.",'INPUT DATA'!S58=""),"",'INPUT DATA'!S58),"")</f>
        <v/>
      </c>
      <c r="D115" s="358"/>
      <c r="E115" s="359"/>
      <c r="F115" s="359"/>
      <c r="G115" s="359"/>
      <c r="H115" s="359"/>
      <c r="I115" s="359"/>
      <c r="J115" s="359"/>
      <c r="K115" s="359"/>
      <c r="L115" s="359"/>
      <c r="M115" s="360"/>
      <c r="N115" s="361" t="str">
        <f t="shared" si="13"/>
        <v/>
      </c>
      <c r="O115" s="362" t="str">
        <f t="shared" si="14"/>
        <v/>
      </c>
      <c r="P115" s="363" t="str">
        <f t="shared" si="15"/>
        <v/>
      </c>
      <c r="Q115" s="358"/>
      <c r="R115" s="359"/>
      <c r="S115" s="359"/>
      <c r="T115" s="359"/>
      <c r="U115" s="359"/>
      <c r="V115" s="359"/>
      <c r="W115" s="359"/>
      <c r="X115" s="359"/>
      <c r="Y115" s="359"/>
      <c r="Z115" s="360"/>
      <c r="AA115" s="361" t="str">
        <f t="shared" si="16"/>
        <v/>
      </c>
      <c r="AB115" s="362" t="str">
        <f t="shared" si="17"/>
        <v/>
      </c>
      <c r="AC115" s="363" t="str">
        <f t="shared" si="18"/>
        <v/>
      </c>
      <c r="AD115" s="358"/>
      <c r="AE115" s="359"/>
      <c r="AF115" s="360"/>
      <c r="AG115" s="364" t="str">
        <f t="shared" si="19"/>
        <v/>
      </c>
      <c r="AH115" s="362" t="str">
        <f t="shared" si="20"/>
        <v/>
      </c>
      <c r="AI115" s="365" t="str">
        <f t="shared" si="21"/>
        <v/>
      </c>
      <c r="AJ115" s="364" t="str">
        <f t="shared" si="22"/>
        <v/>
      </c>
      <c r="AK115" s="366" t="str">
        <f t="shared" si="23"/>
        <v/>
      </c>
      <c r="AL115" s="367" t="str">
        <f t="shared" si="12"/>
        <v/>
      </c>
      <c r="AM115" s="368" t="str">
        <f>IFERROR(_xlfn.XLOOKUP(AL115,HELPER!$C$7:$C$47,HELPER!$D$7:$D$47,,1),"")</f>
        <v/>
      </c>
    </row>
    <row r="116" hidden="1" spans="2:39">
      <c r="B116" s="402">
        <v>49</v>
      </c>
      <c r="C116" s="391" t="str">
        <f>IFERROR(IF(OR($B$8="INCORRECT SHEET. Do not use this sheet to input data.",'INPUT DATA'!S59=""),"",'INPUT DATA'!S59),"")</f>
        <v/>
      </c>
      <c r="D116" s="358"/>
      <c r="E116" s="359"/>
      <c r="F116" s="359"/>
      <c r="G116" s="359"/>
      <c r="H116" s="359"/>
      <c r="I116" s="359"/>
      <c r="J116" s="359"/>
      <c r="K116" s="359"/>
      <c r="L116" s="359"/>
      <c r="M116" s="360"/>
      <c r="N116" s="361" t="str">
        <f t="shared" si="13"/>
        <v/>
      </c>
      <c r="O116" s="362" t="str">
        <f t="shared" si="14"/>
        <v/>
      </c>
      <c r="P116" s="363" t="str">
        <f t="shared" si="15"/>
        <v/>
      </c>
      <c r="Q116" s="358"/>
      <c r="R116" s="359"/>
      <c r="S116" s="359"/>
      <c r="T116" s="359"/>
      <c r="U116" s="359"/>
      <c r="V116" s="359"/>
      <c r="W116" s="359"/>
      <c r="X116" s="359"/>
      <c r="Y116" s="359"/>
      <c r="Z116" s="360"/>
      <c r="AA116" s="361" t="str">
        <f t="shared" si="16"/>
        <v/>
      </c>
      <c r="AB116" s="362" t="str">
        <f t="shared" si="17"/>
        <v/>
      </c>
      <c r="AC116" s="363" t="str">
        <f t="shared" si="18"/>
        <v/>
      </c>
      <c r="AD116" s="358"/>
      <c r="AE116" s="359"/>
      <c r="AF116" s="360"/>
      <c r="AG116" s="364" t="str">
        <f t="shared" si="19"/>
        <v/>
      </c>
      <c r="AH116" s="362" t="str">
        <f t="shared" si="20"/>
        <v/>
      </c>
      <c r="AI116" s="365" t="str">
        <f t="shared" si="21"/>
        <v/>
      </c>
      <c r="AJ116" s="364" t="str">
        <f t="shared" si="22"/>
        <v/>
      </c>
      <c r="AK116" s="366" t="str">
        <f t="shared" si="23"/>
        <v/>
      </c>
      <c r="AL116" s="367" t="str">
        <f t="shared" si="12"/>
        <v/>
      </c>
      <c r="AM116" s="368" t="str">
        <f>IFERROR(_xlfn.XLOOKUP(AL116,HELPER!$C$7:$C$47,HELPER!$D$7:$D$47,,1),"")</f>
        <v/>
      </c>
    </row>
    <row r="117" ht="14.55" hidden="1" spans="2:39">
      <c r="B117" s="403">
        <v>50</v>
      </c>
      <c r="C117" s="391" t="str">
        <f>IFERROR(IF(OR($B$8="INCORRECT SHEET. Do not use this sheet to input data.",'INPUT DATA'!S60=""),"",'INPUT DATA'!S60),"")</f>
        <v/>
      </c>
      <c r="D117" s="404"/>
      <c r="E117" s="405"/>
      <c r="F117" s="405"/>
      <c r="G117" s="405"/>
      <c r="H117" s="405"/>
      <c r="I117" s="405"/>
      <c r="J117" s="405"/>
      <c r="K117" s="405"/>
      <c r="L117" s="405"/>
      <c r="M117" s="406"/>
      <c r="N117" s="407" t="str">
        <f t="shared" si="13"/>
        <v/>
      </c>
      <c r="O117" s="408" t="str">
        <f t="shared" si="14"/>
        <v/>
      </c>
      <c r="P117" s="409" t="str">
        <f t="shared" si="15"/>
        <v/>
      </c>
      <c r="Q117" s="404"/>
      <c r="R117" s="405"/>
      <c r="S117" s="405"/>
      <c r="T117" s="405"/>
      <c r="U117" s="405"/>
      <c r="V117" s="405"/>
      <c r="W117" s="405"/>
      <c r="X117" s="405"/>
      <c r="Y117" s="405"/>
      <c r="Z117" s="406"/>
      <c r="AA117" s="407" t="str">
        <f t="shared" si="16"/>
        <v/>
      </c>
      <c r="AB117" s="408" t="str">
        <f t="shared" si="17"/>
        <v/>
      </c>
      <c r="AC117" s="409" t="str">
        <f t="shared" si="18"/>
        <v/>
      </c>
      <c r="AD117" s="404"/>
      <c r="AE117" s="405"/>
      <c r="AF117" s="406"/>
      <c r="AG117" s="410" t="str">
        <f t="shared" si="19"/>
        <v/>
      </c>
      <c r="AH117" s="408" t="str">
        <f t="shared" si="20"/>
        <v/>
      </c>
      <c r="AI117" s="411" t="str">
        <f t="shared" si="21"/>
        <v/>
      </c>
      <c r="AJ117" s="410" t="str">
        <f t="shared" si="22"/>
        <v/>
      </c>
      <c r="AK117" s="412" t="str">
        <f t="shared" si="23"/>
        <v/>
      </c>
      <c r="AL117" s="413" t="str">
        <f t="shared" si="12"/>
        <v/>
      </c>
      <c r="AM117" s="214" t="str">
        <f>IFERROR(_xlfn.XLOOKUP(AL117,HELPER!$C$7:$C$47,HELPER!$D$7:$D$47,,1),"")</f>
        <v/>
      </c>
    </row>
    <row r="118" spans="2:39">
      <c r="B118" s="10" t="s">
        <v>188</v>
      </c>
      <c r="C118" s="10"/>
      <c r="D118" s="10" t="s">
        <v>188</v>
      </c>
      <c r="E118" s="10" t="s">
        <v>188</v>
      </c>
      <c r="F118" s="10" t="s">
        <v>188</v>
      </c>
      <c r="G118" s="10" t="s">
        <v>188</v>
      </c>
      <c r="H118" s="10" t="s">
        <v>188</v>
      </c>
      <c r="I118" s="10" t="s">
        <v>188</v>
      </c>
      <c r="J118" s="10" t="s">
        <v>188</v>
      </c>
      <c r="K118" s="10" t="s">
        <v>188</v>
      </c>
      <c r="L118" s="10" t="s">
        <v>188</v>
      </c>
      <c r="M118" s="10" t="s">
        <v>188</v>
      </c>
      <c r="N118" s="10" t="s">
        <v>188</v>
      </c>
      <c r="O118" s="10" t="s">
        <v>188</v>
      </c>
      <c r="P118" s="10" t="s">
        <v>188</v>
      </c>
      <c r="Q118" s="10" t="s">
        <v>188</v>
      </c>
      <c r="R118" s="10" t="s">
        <v>188</v>
      </c>
      <c r="S118" s="10" t="s">
        <v>188</v>
      </c>
      <c r="T118" s="10" t="s">
        <v>188</v>
      </c>
      <c r="U118" s="10" t="s">
        <v>188</v>
      </c>
      <c r="V118" s="10" t="s">
        <v>188</v>
      </c>
      <c r="W118" s="10" t="s">
        <v>188</v>
      </c>
      <c r="X118" s="10" t="s">
        <v>188</v>
      </c>
      <c r="Y118" s="10" t="s">
        <v>188</v>
      </c>
      <c r="Z118" s="10" t="s">
        <v>188</v>
      </c>
      <c r="AA118" s="10" t="s">
        <v>188</v>
      </c>
      <c r="AB118" s="10" t="s">
        <v>188</v>
      </c>
      <c r="AC118" s="10" t="s">
        <v>188</v>
      </c>
      <c r="AD118" s="10" t="s">
        <v>188</v>
      </c>
      <c r="AE118" s="10" t="s">
        <v>188</v>
      </c>
      <c r="AF118" s="10" t="s">
        <v>188</v>
      </c>
      <c r="AG118" s="10" t="s">
        <v>188</v>
      </c>
      <c r="AH118" s="10" t="s">
        <v>188</v>
      </c>
      <c r="AI118" s="10" t="s">
        <v>188</v>
      </c>
      <c r="AJ118" s="10" t="s">
        <v>188</v>
      </c>
      <c r="AK118" s="10" t="s">
        <v>188</v>
      </c>
      <c r="AL118" s="10" t="s">
        <v>188</v>
      </c>
      <c r="AM118" s="368" t="str">
        <f>IFERROR(_xlfn.XLOOKUP(AL118,HELPER!$C$7:$C$48,HELPER!$D$7:$D$47,,1),"")</f>
        <v/>
      </c>
    </row>
    <row r="119" ht="64" customHeight="1"/>
    <row r="120" hidden="1" spans="2:39">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o5Kxcj62JWJdEbH6VoPKQuFxJYZsTn+p2+g/KqvJQwuMIqztU95oPqtpasyVvKwZxEoKNv990y/0wwOMOZCTUw==" saltValue="3RyrjjhlOKt0tq1blx8Djg==" spinCount="100000" sheet="1" formatCells="0" formatColumns="0" formatRows="0" autoFilter="0"/>
  <autoFilter xmlns:etc="http://www.wps.cn/officeDocument/2017/etCustomData" ref="C15:C118" etc:filterBottomFollowUsedRange="0">
    <extLst/>
  </autoFilter>
  <mergeCells count="26">
    <mergeCell ref="H6:M6"/>
    <mergeCell ref="P6:T6"/>
    <mergeCell ref="AA6:AC6"/>
    <mergeCell ref="H7:T7"/>
    <mergeCell ref="AA7:AC7"/>
    <mergeCell ref="D9:G9"/>
    <mergeCell ref="H9:I9"/>
    <mergeCell ref="J9:M9"/>
    <mergeCell ref="N9:P9"/>
    <mergeCell ref="Q9:T9"/>
    <mergeCell ref="U9:AM9"/>
    <mergeCell ref="D10:G10"/>
    <mergeCell ref="H10:P10"/>
    <mergeCell ref="Q10:T10"/>
    <mergeCell ref="U10:AG10"/>
    <mergeCell ref="AH10:AI10"/>
    <mergeCell ref="D11:P11"/>
    <mergeCell ref="Q11:AC11"/>
    <mergeCell ref="AD11:AK11"/>
    <mergeCell ref="D12:P12"/>
    <mergeCell ref="Q12:AC12"/>
    <mergeCell ref="AD12:AK12"/>
    <mergeCell ref="B14:C14"/>
    <mergeCell ref="AL11:AL14"/>
    <mergeCell ref="AM11:AM14"/>
    <mergeCell ref="B9:C13"/>
  </mergeCells>
  <conditionalFormatting sqref="B8:AM8">
    <cfRule type="expression" dxfId="9" priority="68">
      <formula>$B$8="INCORRECT SHEET. Do not use this sheet to input data."</formula>
    </cfRule>
  </conditionalFormatting>
  <conditionalFormatting sqref="AD13:AF13">
    <cfRule type="expression" dxfId="10" priority="21">
      <formula>$AG$14&lt;&gt;""</formula>
    </cfRule>
  </conditionalFormatting>
  <conditionalFormatting sqref="AF13">
    <cfRule type="expression" dxfId="10" priority="20">
      <formula>$AG$14=""</formula>
    </cfRule>
  </conditionalFormatting>
  <conditionalFormatting sqref="C68:C117">
    <cfRule type="expression" dxfId="11" priority="7">
      <formula>$AM68&lt;75</formula>
    </cfRule>
  </conditionalFormatting>
  <conditionalFormatting sqref="AJ17:AJ66">
    <cfRule type="expression" dxfId="12" priority="4">
      <formula>$AJ17&lt;70</formula>
    </cfRule>
  </conditionalFormatting>
  <conditionalFormatting sqref="AJ68:AJ117">
    <cfRule type="expression" dxfId="12" priority="2">
      <formula>$AJ68&lt;70</formula>
    </cfRule>
  </conditionalFormatting>
  <conditionalFormatting sqref="AM68:AM118">
    <cfRule type="expression" dxfId="11" priority="1">
      <formula>$AM68&lt;75</formula>
    </cfRule>
  </conditionalFormatting>
  <conditionalFormatting sqref="B9:AM14">
    <cfRule type="expression" dxfId="13" priority="8">
      <formula>$B$8="INCORRECT SHEET. Do not use this sheet to input data."</formula>
    </cfRule>
  </conditionalFormatting>
  <conditionalFormatting sqref="AD11:AK14">
    <cfRule type="expression" dxfId="14" priority="6">
      <formula>$AD$12=0</formula>
    </cfRule>
  </conditionalFormatting>
  <conditionalFormatting sqref="AD13:AE14">
    <cfRule type="expression" dxfId="15" priority="19">
      <formula>$AG$14=""</formula>
    </cfRule>
  </conditionalFormatting>
  <conditionalFormatting sqref="AD13:AF14">
    <cfRule type="expression" dxfId="15" priority="12">
      <formula>$AD$14=0</formula>
    </cfRule>
  </conditionalFormatting>
  <conditionalFormatting sqref="C17:C66 AM17:AM66">
    <cfRule type="expression" dxfId="11" priority="14">
      <formula>$AM17&lt;75</formula>
    </cfRule>
  </conditionalFormatting>
  <conditionalFormatting sqref="D17:M66 D68:M117">
    <cfRule type="expression" dxfId="16" priority="18">
      <formula>D$14=""</formula>
    </cfRule>
  </conditionalFormatting>
  <conditionalFormatting sqref="N17:P66 N68:P117">
    <cfRule type="expression" dxfId="17" priority="16">
      <formula>$O17&lt;70</formula>
    </cfRule>
  </conditionalFormatting>
  <conditionalFormatting sqref="O17:O66 O68:O117">
    <cfRule type="expression" dxfId="12" priority="11">
      <formula>$O17&lt;70</formula>
    </cfRule>
  </conditionalFormatting>
  <conditionalFormatting sqref="Q17:Z66 Q68:Z117">
    <cfRule type="expression" dxfId="18" priority="17">
      <formula>Q$14=""</formula>
    </cfRule>
  </conditionalFormatting>
  <conditionalFormatting sqref="AA17:AC66 AA68:AC117">
    <cfRule type="expression" dxfId="17" priority="10">
      <formula>$AB17&lt;70</formula>
    </cfRule>
  </conditionalFormatting>
  <conditionalFormatting sqref="AB17:AB66 AB68:AB117">
    <cfRule type="expression" dxfId="12" priority="9">
      <formula>$AB17&lt;70</formula>
    </cfRule>
  </conditionalFormatting>
  <conditionalFormatting sqref="AD17:AF66 AD68:AF117">
    <cfRule type="expression" dxfId="18" priority="13">
      <formula>AD$14=""</formula>
    </cfRule>
  </conditionalFormatting>
  <conditionalFormatting sqref="AJ17:AK66">
    <cfRule type="expression" dxfId="17" priority="5">
      <formula>$AJ17&lt;70</formula>
    </cfRule>
  </conditionalFormatting>
  <conditionalFormatting sqref="AJ68:AK117">
    <cfRule type="expression" dxfId="17" priority="3">
      <formula>$AJ68&lt;70</formula>
    </cfRule>
  </conditionalFormatting>
  <dataValidations count="1">
    <dataValidation type="list" allowBlank="1" showInputMessage="1" showErrorMessage="1" sqref="D17:M117 Q17:Z117 AD17:AF117">
      <formula1>_xlfn.ANCHORARRAY(D$120)</formula1>
    </dataValidation>
  </dataValidation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0"/>
    <pageSetUpPr fitToPage="1"/>
  </sheetPr>
  <dimension ref="B1:L125"/>
  <sheetViews>
    <sheetView showGridLines="0" zoomScale="90" zoomScaleNormal="90" workbookViewId="0">
      <pane ySplit="15" topLeftCell="A16" activePane="bottomLeft" state="frozen"/>
      <selection/>
      <selection pane="bottomLeft" activeCell="D70" sqref="D70"/>
    </sheetView>
  </sheetViews>
  <sheetFormatPr defaultColWidth="0" defaultRowHeight="13.8" zeroHeight="1"/>
  <cols>
    <col min="1" max="1" width="3.62962962962963" style="2" customWidth="1"/>
    <col min="2" max="2" width="3.62962962962963" style="16" customWidth="1"/>
    <col min="3" max="3" width="15.6296296296296" style="2" customWidth="1"/>
    <col min="4" max="4" width="32.9074074074074" style="2" customWidth="1"/>
    <col min="5" max="9" width="15.6296296296296" style="2" customWidth="1"/>
    <col min="10" max="10" width="19.6296296296296" style="2" customWidth="1"/>
    <col min="11" max="11" width="3.62962962962963" style="2" customWidth="1"/>
    <col min="12" max="16384" width="9.17592592592593" style="2" hidden="1"/>
  </cols>
  <sheetData>
    <row r="1"/>
    <row r="2" ht="23.4" spans="2:10">
      <c r="B2" s="172" t="s">
        <v>191</v>
      </c>
      <c r="C2" s="173"/>
      <c r="D2" s="173"/>
      <c r="E2" s="173"/>
      <c r="F2" s="173"/>
      <c r="G2" s="173"/>
      <c r="H2" s="173"/>
      <c r="I2" s="173"/>
      <c r="J2" s="173"/>
    </row>
    <row r="3" ht="23.4" spans="2:10">
      <c r="B3" s="172" t="s">
        <v>170</v>
      </c>
      <c r="C3" s="173"/>
      <c r="D3" s="173"/>
      <c r="E3" s="173"/>
      <c r="F3" s="173"/>
      <c r="G3" s="173"/>
      <c r="H3" s="173"/>
      <c r="I3" s="173"/>
      <c r="J3" s="173"/>
    </row>
    <row r="4"/>
    <row r="5" spans="2:10">
      <c r="D5" s="174" t="s">
        <v>7</v>
      </c>
      <c r="E5" s="175" t="str">
        <f>UPPER('INPUT DATA'!F10)</f>
        <v>REGION IV-A </v>
      </c>
      <c r="F5" s="174" t="s">
        <v>10</v>
      </c>
      <c r="G5" s="176" t="str">
        <f>UPPER('INPUT DATA'!F11)</f>
        <v>CALAMBA CITY</v>
      </c>
      <c r="H5" s="174" t="s">
        <v>12</v>
      </c>
      <c r="I5" s="176">
        <f>IF('INPUT DATA'!F13="","",'INPUT DATA'!F13)</f>
        <v>301518</v>
      </c>
    </row>
    <row r="6" spans="2:10">
      <c r="D6" s="174" t="s">
        <v>14</v>
      </c>
      <c r="E6" s="177" t="str">
        <f>UPPER('INPUT DATA'!F14)</f>
        <v>EDUARDO BARRETTO SR. INTEGRATED SCHOOL</v>
      </c>
      <c r="F6" s="178"/>
      <c r="G6" s="179"/>
      <c r="H6" s="174" t="s">
        <v>16</v>
      </c>
      <c r="I6" s="176" t="str">
        <f>'INPUT DATA'!F16&amp;"    "&amp;'INPUT DATA'!G16</f>
        <v>2026    –    2027</v>
      </c>
    </row>
    <row r="7"/>
    <row r="8" ht="14.55" spans="2:10">
      <c r="B8" s="180"/>
      <c r="C8" s="181"/>
      <c r="D8" s="181"/>
      <c r="E8" s="181"/>
    </row>
    <row r="9" ht="18.75" customHeight="1" spans="2:10">
      <c r="B9" s="182"/>
      <c r="C9" s="183" t="s">
        <v>23</v>
      </c>
      <c r="D9" s="184">
        <f>'INPUT DATA'!F24</f>
        <v>11</v>
      </c>
      <c r="E9" s="185"/>
      <c r="F9" s="186" t="s">
        <v>32</v>
      </c>
      <c r="G9" s="187" t="str">
        <f>UPPER(HELPER!G10)</f>
        <v>GENERAL MATHEMATICS</v>
      </c>
      <c r="H9" s="187"/>
      <c r="I9" s="188"/>
      <c r="J9" s="189"/>
    </row>
    <row r="10" spans="2:10">
      <c r="B10" s="190"/>
      <c r="C10" s="191" t="s">
        <v>172</v>
      </c>
      <c r="D10" s="177" t="str">
        <f>UPPER('INPUT DATA'!F25)</f>
        <v>MILKY WAY</v>
      </c>
      <c r="E10" s="178"/>
      <c r="F10" s="192"/>
      <c r="G10" s="193"/>
      <c r="H10" s="193"/>
      <c r="I10" s="194"/>
      <c r="J10" s="195"/>
    </row>
    <row r="11" spans="2:10">
      <c r="B11" s="196"/>
      <c r="C11" s="197"/>
      <c r="D11" s="177"/>
      <c r="E11" s="178"/>
      <c r="F11" s="198" t="s">
        <v>30</v>
      </c>
      <c r="G11" s="175" t="str">
        <f>'INPUT DATA'!F29</f>
        <v>CORE</v>
      </c>
      <c r="H11" s="175"/>
      <c r="I11" s="199"/>
      <c r="J11" s="200"/>
    </row>
    <row r="12" ht="15" customHeight="1" spans="2:10">
      <c r="B12" s="190"/>
      <c r="C12" s="201" t="s">
        <v>21</v>
      </c>
      <c r="D12" s="202" t="str">
        <f>UPPER('INPUT DATA'!F22)</f>
        <v>KAREN P. GONZAGA</v>
      </c>
      <c r="E12" s="203"/>
      <c r="F12" s="204" t="s">
        <v>192</v>
      </c>
      <c r="G12" s="205" t="s">
        <v>193</v>
      </c>
      <c r="H12" s="205"/>
      <c r="I12" s="205" t="s">
        <v>38</v>
      </c>
      <c r="J12" s="206" t="s">
        <v>194</v>
      </c>
    </row>
    <row r="13" ht="27.75" customHeight="1" spans="2:10">
      <c r="B13" s="207"/>
      <c r="C13" s="208"/>
      <c r="D13" s="209"/>
      <c r="E13" s="210"/>
      <c r="F13" s="211">
        <f>HELPER!G22</f>
        <v>3</v>
      </c>
      <c r="G13" s="212" t="str">
        <f>IFERROR(IF(F13&lt;&gt;0,HELPER!G23,""),"")</f>
        <v>1ST, 2ND, 3RD</v>
      </c>
      <c r="H13" s="212"/>
      <c r="I13" s="213">
        <f>HELPER!G27</f>
        <v>2</v>
      </c>
      <c r="J13" s="214">
        <f>IFERROR(HELPER!G28,"")</f>
        <v>6</v>
      </c>
    </row>
    <row r="14" spans="2:10">
      <c r="B14" s="215" t="s">
        <v>43</v>
      </c>
      <c r="C14" s="216"/>
      <c r="D14" s="217"/>
      <c r="E14" s="215" t="s">
        <v>195</v>
      </c>
      <c r="F14" s="216"/>
      <c r="G14" s="218"/>
      <c r="H14" s="219" t="s">
        <v>196</v>
      </c>
      <c r="I14" s="220" t="s">
        <v>197</v>
      </c>
      <c r="J14" s="221" t="s">
        <v>198</v>
      </c>
    </row>
    <row r="15" ht="15" customHeight="1" spans="2:10">
      <c r="B15" s="211"/>
      <c r="C15" s="213"/>
      <c r="D15" s="222"/>
      <c r="E15" s="211" t="s">
        <v>199</v>
      </c>
      <c r="F15" s="213" t="s">
        <v>200</v>
      </c>
      <c r="G15" s="214" t="s">
        <v>201</v>
      </c>
      <c r="H15" s="223"/>
      <c r="I15" s="224"/>
      <c r="J15" s="225"/>
    </row>
    <row r="16" spans="2:10">
      <c r="B16" s="226" t="s">
        <v>202</v>
      </c>
      <c r="C16" s="227"/>
      <c r="D16" s="228"/>
      <c r="E16" s="229">
        <f>IF(COUNTIF('FINAL GRADES'!$G$13,"*1ST*"),1,0)</f>
        <v>1</v>
      </c>
      <c r="F16" s="230">
        <f>IF(COUNTIF('FINAL GRADES'!$G$13,"*2ND*"),1,0)</f>
        <v>1</v>
      </c>
      <c r="G16" s="231">
        <f>IF(COUNTIF('FINAL GRADES'!$G$13,"*3RD*"),1,0)</f>
        <v>1</v>
      </c>
      <c r="H16" s="232"/>
      <c r="I16" s="233"/>
      <c r="J16" s="233"/>
    </row>
    <row r="17" ht="15.6" spans="2:12">
      <c r="B17" s="234">
        <v>1</v>
      </c>
      <c r="C17" s="82" t="str">
        <f>UPPER(IF('INPUT DATA'!N11="","",'INPUT DATA'!N11))</f>
        <v>1234567891</v>
      </c>
      <c r="D17" s="235" t="str">
        <f>UPPER(IF('INPUT DATA'!O11="","",'INPUT DATA'!O11))</f>
        <v>CALICA, LJAY</v>
      </c>
      <c r="E17" s="236">
        <f>IF(E$16=1,IF(AND($C17&lt;&gt;"",'Term 1'!$AM17&lt;&gt;""),'Term 1'!$AM17,""),"")</f>
        <v>84</v>
      </c>
      <c r="F17" s="236" t="str">
        <f>IF(F$16=1,IF(AND($C17&lt;&gt;"",'Term 2'!$AM17&lt;&gt;""),'Term 2'!$AM17,""),"")</f>
        <v/>
      </c>
      <c r="G17" s="236" t="str">
        <f>IF(G$16=1,IF(AND($C17&lt;&gt;"",'Term 3'!$AM17&lt;&gt;""),'Term 3'!$AM17,""),"")</f>
        <v/>
      </c>
      <c r="H17" s="237" t="str">
        <f>IF(OR(C17="",COUNT(E17:G17)&lt;&gt;$F$13),"",ROUND((SUM(E17:G17)*$I$13)/$J$13,0))</f>
        <v/>
      </c>
      <c r="I17" s="238" t="str">
        <f>IF(H17="","",_xlfn.XLOOKUP(H17,HELPER!$AG$7:$AG$47,HELPER!$AH$7:$AH$47))</f>
        <v/>
      </c>
      <c r="J17" s="239" t="str">
        <f>IF(H17="","",IF(H17&gt;=75,"PASSED","FAILED"))</f>
        <v/>
      </c>
      <c r="L17" s="240"/>
    </row>
    <row r="18" ht="15.6" spans="2:12">
      <c r="B18" s="234">
        <v>2</v>
      </c>
      <c r="C18" s="82" t="str">
        <f>UPPER(IF('INPUT DATA'!N12="","",'INPUT DATA'!N12))</f>
        <v/>
      </c>
      <c r="D18" s="235" t="str">
        <f>UPPER(IF('INPUT DATA'!O12="","",'INPUT DATA'!O12))</f>
        <v/>
      </c>
      <c r="E18" s="236" t="str">
        <f>IF(E$16=1,IF(AND($C18&lt;&gt;"",'Term 1'!$AM18&lt;&gt;""),'Term 1'!$AM18,""),"")</f>
        <v/>
      </c>
      <c r="F18" s="236" t="str">
        <f>IF(F$16=1,IF(AND($C18&lt;&gt;"",'Term 2'!$AM18&lt;&gt;""),'Term 2'!$AM18,""),"")</f>
        <v/>
      </c>
      <c r="G18" s="236" t="str">
        <f>IF(G$16=1,IF(AND($C18&lt;&gt;"",'Term 3'!$AM18&lt;&gt;""),'Term 3'!$AM18,""),"")</f>
        <v/>
      </c>
      <c r="H18" s="237" t="str">
        <f t="shared" ref="H18:H66" si="0">IF(OR(C18="",COUNT(E18:G18)&lt;&gt;$F$13),"",ROUND((SUM(E18:G18)*$I$13)/$J$13,0))</f>
        <v/>
      </c>
      <c r="I18" s="238" t="str">
        <f>IF(H18="","",_xlfn.XLOOKUP(H18,HELPER!$AG$7:$AG$47,HELPER!$AH$7:$AH$47))</f>
        <v/>
      </c>
      <c r="J18" s="239" t="str">
        <f t="shared" ref="J18:J66" si="1">IF(H18="","",IF(H18&gt;=75,"PASSED","FAILED"))</f>
        <v/>
      </c>
    </row>
    <row r="19" ht="15.6" spans="2:12">
      <c r="B19" s="234">
        <v>3</v>
      </c>
      <c r="C19" s="82" t="str">
        <f>UPPER(IF('INPUT DATA'!N13="","",'INPUT DATA'!N13))</f>
        <v/>
      </c>
      <c r="D19" s="235" t="str">
        <f>UPPER(IF('INPUT DATA'!O13="","",'INPUT DATA'!O13))</f>
        <v/>
      </c>
      <c r="E19" s="236" t="str">
        <f>IF(E$16=1,IF(AND($C19&lt;&gt;"",'Term 1'!$AM19&lt;&gt;""),'Term 1'!$AM19,""),"")</f>
        <v/>
      </c>
      <c r="F19" s="236" t="str">
        <f>IF(F$16=1,IF(AND($C19&lt;&gt;"",'Term 2'!$AM19&lt;&gt;""),'Term 2'!$AM19,""),"")</f>
        <v/>
      </c>
      <c r="G19" s="236" t="str">
        <f>IF(G$16=1,IF(AND($C19&lt;&gt;"",'Term 3'!$AM19&lt;&gt;""),'Term 3'!$AM19,""),"")</f>
        <v/>
      </c>
      <c r="H19" s="237" t="str">
        <f t="shared" si="0"/>
        <v/>
      </c>
      <c r="I19" s="238" t="str">
        <f>IF(H19="","",_xlfn.XLOOKUP(H19,HELPER!$AG$7:$AG$47,HELPER!$AH$7:$AH$47))</f>
        <v/>
      </c>
      <c r="J19" s="239" t="str">
        <f t="shared" si="1"/>
        <v/>
      </c>
    </row>
    <row r="20" ht="15.6" spans="2:12">
      <c r="B20" s="234">
        <v>4</v>
      </c>
      <c r="C20" s="82" t="str">
        <f>UPPER(IF('INPUT DATA'!N14="","",'INPUT DATA'!N14))</f>
        <v/>
      </c>
      <c r="D20" s="235" t="str">
        <f>UPPER(IF('INPUT DATA'!O14="","",'INPUT DATA'!O14))</f>
        <v/>
      </c>
      <c r="E20" s="236" t="str">
        <f>IF(E$16=1,IF(AND($C20&lt;&gt;"",'Term 1'!$AM20&lt;&gt;""),'Term 1'!$AM20,""),"")</f>
        <v/>
      </c>
      <c r="F20" s="236" t="str">
        <f>IF(F$16=1,IF(AND($C20&lt;&gt;"",'Term 2'!$AM20&lt;&gt;""),'Term 2'!$AM20,""),"")</f>
        <v/>
      </c>
      <c r="G20" s="236" t="str">
        <f>IF(G$16=1,IF(AND($C20&lt;&gt;"",'Term 3'!$AM20&lt;&gt;""),'Term 3'!$AM20,""),"")</f>
        <v/>
      </c>
      <c r="H20" s="237" t="str">
        <f t="shared" si="0"/>
        <v/>
      </c>
      <c r="I20" s="238" t="str">
        <f>IF(H20="","",_xlfn.XLOOKUP(H20,HELPER!$AG$7:$AG$47,HELPER!$AH$7:$AH$47))</f>
        <v/>
      </c>
      <c r="J20" s="239" t="str">
        <f t="shared" si="1"/>
        <v/>
      </c>
    </row>
    <row r="21" ht="15.6" spans="2:12">
      <c r="B21" s="234">
        <v>5</v>
      </c>
      <c r="C21" s="82" t="str">
        <f>UPPER(IF('INPUT DATA'!N15="","",'INPUT DATA'!N15))</f>
        <v/>
      </c>
      <c r="D21" s="235" t="str">
        <f>UPPER(IF('INPUT DATA'!O15="","",'INPUT DATA'!O15))</f>
        <v/>
      </c>
      <c r="E21" s="236" t="str">
        <f>IF(E$16=1,IF(AND($C21&lt;&gt;"",'Term 1'!$AM21&lt;&gt;""),'Term 1'!$AM21,""),"")</f>
        <v/>
      </c>
      <c r="F21" s="236" t="str">
        <f>IF(F$16=1,IF(AND($C21&lt;&gt;"",'Term 2'!$AM21&lt;&gt;""),'Term 2'!$AM21,""),"")</f>
        <v/>
      </c>
      <c r="G21" s="236" t="str">
        <f>IF(G$16=1,IF(AND($C21&lt;&gt;"",'Term 3'!$AM21&lt;&gt;""),'Term 3'!$AM21,""),"")</f>
        <v/>
      </c>
      <c r="H21" s="237" t="str">
        <f t="shared" si="0"/>
        <v/>
      </c>
      <c r="I21" s="238" t="str">
        <f>IF(H21="","",_xlfn.XLOOKUP(H21,HELPER!$AG$7:$AG$47,HELPER!$AH$7:$AH$47))</f>
        <v/>
      </c>
      <c r="J21" s="239" t="str">
        <f t="shared" si="1"/>
        <v/>
      </c>
    </row>
    <row r="22" ht="15.6" spans="2:12">
      <c r="B22" s="234">
        <v>6</v>
      </c>
      <c r="C22" s="82" t="str">
        <f>UPPER(IF('INPUT DATA'!N16="","",'INPUT DATA'!N16))</f>
        <v/>
      </c>
      <c r="D22" s="235" t="str">
        <f>UPPER(IF('INPUT DATA'!O16="","",'INPUT DATA'!O16))</f>
        <v/>
      </c>
      <c r="E22" s="236" t="str">
        <f>IF(E$16=1,IF(AND($C22&lt;&gt;"",'Term 1'!$AM22&lt;&gt;""),'Term 1'!$AM22,""),"")</f>
        <v/>
      </c>
      <c r="F22" s="236" t="str">
        <f>IF(F$16=1,IF(AND($C22&lt;&gt;"",'Term 2'!$AM22&lt;&gt;""),'Term 2'!$AM22,""),"")</f>
        <v/>
      </c>
      <c r="G22" s="236" t="str">
        <f>IF(G$16=1,IF(AND($C22&lt;&gt;"",'Term 3'!$AM22&lt;&gt;""),'Term 3'!$AM22,""),"")</f>
        <v/>
      </c>
      <c r="H22" s="237" t="str">
        <f t="shared" si="0"/>
        <v/>
      </c>
      <c r="I22" s="238" t="str">
        <f>IF(H22="","",_xlfn.XLOOKUP(H22,HELPER!$AG$7:$AG$47,HELPER!$AH$7:$AH$47))</f>
        <v/>
      </c>
      <c r="J22" s="239" t="str">
        <f t="shared" si="1"/>
        <v/>
      </c>
    </row>
    <row r="23" ht="15.6" spans="2:12">
      <c r="B23" s="234">
        <v>7</v>
      </c>
      <c r="C23" s="82" t="str">
        <f>UPPER(IF('INPUT DATA'!N17="","",'INPUT DATA'!N17))</f>
        <v/>
      </c>
      <c r="D23" s="235" t="str">
        <f>UPPER(IF('INPUT DATA'!O17="","",'INPUT DATA'!O17))</f>
        <v/>
      </c>
      <c r="E23" s="236" t="str">
        <f>IF(E$16=1,IF(AND($C23&lt;&gt;"",'Term 1'!$AM23&lt;&gt;""),'Term 1'!$AM23,""),"")</f>
        <v/>
      </c>
      <c r="F23" s="236" t="str">
        <f>IF(F$16=1,IF(AND($C23&lt;&gt;"",'Term 2'!$AM23&lt;&gt;""),'Term 2'!$AM23,""),"")</f>
        <v/>
      </c>
      <c r="G23" s="236" t="str">
        <f>IF(G$16=1,IF(AND($C23&lt;&gt;"",'Term 3'!$AM23&lt;&gt;""),'Term 3'!$AM23,""),"")</f>
        <v/>
      </c>
      <c r="H23" s="237" t="str">
        <f t="shared" si="0"/>
        <v/>
      </c>
      <c r="I23" s="238" t="str">
        <f>IF(H23="","",_xlfn.XLOOKUP(H23,HELPER!$AG$7:$AG$47,HELPER!$AH$7:$AH$47))</f>
        <v/>
      </c>
      <c r="J23" s="239" t="str">
        <f t="shared" si="1"/>
        <v/>
      </c>
    </row>
    <row r="24" ht="15.6" spans="2:12">
      <c r="B24" s="234">
        <v>8</v>
      </c>
      <c r="C24" s="82" t="str">
        <f>UPPER(IF('INPUT DATA'!N18="","",'INPUT DATA'!N18))</f>
        <v/>
      </c>
      <c r="D24" s="235" t="str">
        <f>UPPER(IF('INPUT DATA'!O18="","",'INPUT DATA'!O18))</f>
        <v/>
      </c>
      <c r="E24" s="236" t="str">
        <f>IF(E$16=1,IF(AND($C24&lt;&gt;"",'Term 1'!$AM24&lt;&gt;""),'Term 1'!$AM24,""),"")</f>
        <v/>
      </c>
      <c r="F24" s="236" t="str">
        <f>IF(F$16=1,IF(AND($C24&lt;&gt;"",'Term 2'!$AM24&lt;&gt;""),'Term 2'!$AM24,""),"")</f>
        <v/>
      </c>
      <c r="G24" s="236" t="str">
        <f>IF(G$16=1,IF(AND($C24&lt;&gt;"",'Term 3'!$AM24&lt;&gt;""),'Term 3'!$AM24,""),"")</f>
        <v/>
      </c>
      <c r="H24" s="237" t="str">
        <f t="shared" si="0"/>
        <v/>
      </c>
      <c r="I24" s="238" t="str">
        <f>IF(H24="","",_xlfn.XLOOKUP(H24,HELPER!$AG$7:$AG$47,HELPER!$AH$7:$AH$47))</f>
        <v/>
      </c>
      <c r="J24" s="239" t="str">
        <f t="shared" si="1"/>
        <v/>
      </c>
    </row>
    <row r="25" ht="15.6" spans="2:12">
      <c r="B25" s="234">
        <v>9</v>
      </c>
      <c r="C25" s="82" t="str">
        <f>UPPER(IF('INPUT DATA'!N19="","",'INPUT DATA'!N19))</f>
        <v/>
      </c>
      <c r="D25" s="235" t="str">
        <f>UPPER(IF('INPUT DATA'!O19="","",'INPUT DATA'!O19))</f>
        <v/>
      </c>
      <c r="E25" s="236" t="str">
        <f>IF(E$16=1,IF(AND($C25&lt;&gt;"",'Term 1'!$AM25&lt;&gt;""),'Term 1'!$AM25,""),"")</f>
        <v/>
      </c>
      <c r="F25" s="236" t="str">
        <f>IF(F$16=1,IF(AND($C25&lt;&gt;"",'Term 2'!$AM25&lt;&gt;""),'Term 2'!$AM25,""),"")</f>
        <v/>
      </c>
      <c r="G25" s="236" t="str">
        <f>IF(G$16=1,IF(AND($C25&lt;&gt;"",'Term 3'!$AM25&lt;&gt;""),'Term 3'!$AM25,""),"")</f>
        <v/>
      </c>
      <c r="H25" s="237" t="str">
        <f t="shared" si="0"/>
        <v/>
      </c>
      <c r="I25" s="238" t="str">
        <f>IF(H25="","",_xlfn.XLOOKUP(H25,HELPER!$AG$7:$AG$47,HELPER!$AH$7:$AH$47))</f>
        <v/>
      </c>
      <c r="J25" s="239" t="str">
        <f t="shared" si="1"/>
        <v/>
      </c>
    </row>
    <row r="26" ht="15.6" hidden="1" spans="2:12">
      <c r="B26" s="234">
        <v>10</v>
      </c>
      <c r="C26" s="82" t="str">
        <f>UPPER(IF('INPUT DATA'!N20="","",'INPUT DATA'!N20))</f>
        <v/>
      </c>
      <c r="D26" s="235" t="str">
        <f>UPPER(IF('INPUT DATA'!O20="","",'INPUT DATA'!O20))</f>
        <v/>
      </c>
      <c r="E26" s="236" t="str">
        <f>IF(E$16=1,IF(AND($C26&lt;&gt;"",'Term 1'!$AM26&lt;&gt;""),'Term 1'!$AM26,""),"")</f>
        <v/>
      </c>
      <c r="F26" s="236" t="str">
        <f>IF(F$16=1,IF(AND($C26&lt;&gt;"",'Term 2'!$AM26&lt;&gt;""),'Term 2'!$AM26,""),"")</f>
        <v/>
      </c>
      <c r="G26" s="236" t="str">
        <f>IF(G$16=1,IF(AND($C26&lt;&gt;"",'Term 3'!$AM26&lt;&gt;""),'Term 3'!$AM26,""),"")</f>
        <v/>
      </c>
      <c r="H26" s="237" t="str">
        <f t="shared" si="0"/>
        <v/>
      </c>
      <c r="I26" s="238" t="str">
        <f>IF(H26="","",_xlfn.XLOOKUP(H26,HELPER!$AG$7:$AG$47,HELPER!$AH$7:$AH$47))</f>
        <v/>
      </c>
      <c r="J26" s="239" t="str">
        <f t="shared" si="1"/>
        <v/>
      </c>
    </row>
    <row r="27" ht="15.6" hidden="1" spans="2:12">
      <c r="B27" s="234">
        <v>11</v>
      </c>
      <c r="C27" s="82" t="str">
        <f>UPPER(IF('INPUT DATA'!N21="","",'INPUT DATA'!N21))</f>
        <v/>
      </c>
      <c r="D27" s="235" t="str">
        <f>UPPER(IF('INPUT DATA'!O21="","",'INPUT DATA'!O21))</f>
        <v/>
      </c>
      <c r="E27" s="236" t="str">
        <f>IF(E$16=1,IF(AND($C27&lt;&gt;"",'Term 1'!$AM27&lt;&gt;""),'Term 1'!$AM27,""),"")</f>
        <v/>
      </c>
      <c r="F27" s="236" t="str">
        <f>IF(F$16=1,IF(AND($C27&lt;&gt;"",'Term 2'!$AM27&lt;&gt;""),'Term 2'!$AM27,""),"")</f>
        <v/>
      </c>
      <c r="G27" s="236" t="str">
        <f>IF(G$16=1,IF(AND($C27&lt;&gt;"",'Term 3'!$AM27&lt;&gt;""),'Term 3'!$AM27,""),"")</f>
        <v/>
      </c>
      <c r="H27" s="237" t="str">
        <f t="shared" si="0"/>
        <v/>
      </c>
      <c r="I27" s="238" t="str">
        <f>IF(H27="","",_xlfn.XLOOKUP(H27,HELPER!$AG$7:$AG$47,HELPER!$AH$7:$AH$47))</f>
        <v/>
      </c>
      <c r="J27" s="239" t="str">
        <f t="shared" si="1"/>
        <v/>
      </c>
    </row>
    <row r="28" ht="15.6" hidden="1" spans="2:12">
      <c r="B28" s="234">
        <v>12</v>
      </c>
      <c r="C28" s="82" t="str">
        <f>UPPER(IF('INPUT DATA'!N22="","",'INPUT DATA'!N22))</f>
        <v/>
      </c>
      <c r="D28" s="235" t="str">
        <f>UPPER(IF('INPUT DATA'!O22="","",'INPUT DATA'!O22))</f>
        <v/>
      </c>
      <c r="E28" s="236" t="str">
        <f>IF(E$16=1,IF(AND($C28&lt;&gt;"",'Term 1'!$AM28&lt;&gt;""),'Term 1'!$AM28,""),"")</f>
        <v/>
      </c>
      <c r="F28" s="236" t="str">
        <f>IF(F$16=1,IF(AND($C28&lt;&gt;"",'Term 2'!$AM28&lt;&gt;""),'Term 2'!$AM28,""),"")</f>
        <v/>
      </c>
      <c r="G28" s="236" t="str">
        <f>IF(G$16=1,IF(AND($C28&lt;&gt;"",'Term 3'!$AM28&lt;&gt;""),'Term 3'!$AM28,""),"")</f>
        <v/>
      </c>
      <c r="H28" s="237" t="str">
        <f t="shared" si="0"/>
        <v/>
      </c>
      <c r="I28" s="238" t="str">
        <f>IF(H28="","",_xlfn.XLOOKUP(H28,HELPER!$AG$7:$AG$47,HELPER!$AH$7:$AH$47))</f>
        <v/>
      </c>
      <c r="J28" s="239" t="str">
        <f t="shared" si="1"/>
        <v/>
      </c>
    </row>
    <row r="29" ht="15.6" hidden="1" spans="2:12">
      <c r="B29" s="234">
        <v>13</v>
      </c>
      <c r="C29" s="82" t="str">
        <f>UPPER(IF('INPUT DATA'!N23="","",'INPUT DATA'!N23))</f>
        <v/>
      </c>
      <c r="D29" s="235" t="str">
        <f>UPPER(IF('INPUT DATA'!O23="","",'INPUT DATA'!O23))</f>
        <v/>
      </c>
      <c r="E29" s="236" t="str">
        <f>IF(E$16=1,IF(AND($C29&lt;&gt;"",'Term 1'!$AM29&lt;&gt;""),'Term 1'!$AM29,""),"")</f>
        <v/>
      </c>
      <c r="F29" s="236" t="str">
        <f>IF(F$16=1,IF(AND($C29&lt;&gt;"",'Term 2'!$AM29&lt;&gt;""),'Term 2'!$AM29,""),"")</f>
        <v/>
      </c>
      <c r="G29" s="236" t="str">
        <f>IF(G$16=1,IF(AND($C29&lt;&gt;"",'Term 3'!$AM29&lt;&gt;""),'Term 3'!$AM29,""),"")</f>
        <v/>
      </c>
      <c r="H29" s="237" t="str">
        <f t="shared" si="0"/>
        <v/>
      </c>
      <c r="I29" s="238" t="str">
        <f>IF(H29="","",_xlfn.XLOOKUP(H29,HELPER!$AG$7:$AG$47,HELPER!$AH$7:$AH$47))</f>
        <v/>
      </c>
      <c r="J29" s="239" t="str">
        <f t="shared" si="1"/>
        <v/>
      </c>
    </row>
    <row r="30" ht="15.6" hidden="1" spans="2:12">
      <c r="B30" s="234">
        <v>14</v>
      </c>
      <c r="C30" s="82" t="str">
        <f>UPPER(IF('INPUT DATA'!N24="","",'INPUT DATA'!N24))</f>
        <v/>
      </c>
      <c r="D30" s="235" t="str">
        <f>UPPER(IF('INPUT DATA'!O24="","",'INPUT DATA'!O24))</f>
        <v/>
      </c>
      <c r="E30" s="236" t="str">
        <f>IF(E$16=1,IF(AND($C30&lt;&gt;"",'Term 1'!$AM30&lt;&gt;""),'Term 1'!$AM30,""),"")</f>
        <v/>
      </c>
      <c r="F30" s="236" t="str">
        <f>IF(F$16=1,IF(AND($C30&lt;&gt;"",'Term 2'!$AM30&lt;&gt;""),'Term 2'!$AM30,""),"")</f>
        <v/>
      </c>
      <c r="G30" s="236" t="str">
        <f>IF(G$16=1,IF(AND($C30&lt;&gt;"",'Term 3'!$AM30&lt;&gt;""),'Term 3'!$AM30,""),"")</f>
        <v/>
      </c>
      <c r="H30" s="237" t="str">
        <f t="shared" si="0"/>
        <v/>
      </c>
      <c r="I30" s="238" t="str">
        <f>IF(H30="","",_xlfn.XLOOKUP(H30,HELPER!$AG$7:$AG$47,HELPER!$AH$7:$AH$47))</f>
        <v/>
      </c>
      <c r="J30" s="239" t="str">
        <f t="shared" si="1"/>
        <v/>
      </c>
    </row>
    <row r="31" ht="15.6" hidden="1" spans="2:12">
      <c r="B31" s="234">
        <v>15</v>
      </c>
      <c r="C31" s="82" t="str">
        <f>UPPER(IF('INPUT DATA'!N25="","",'INPUT DATA'!N25))</f>
        <v/>
      </c>
      <c r="D31" s="235" t="str">
        <f>UPPER(IF('INPUT DATA'!O25="","",'INPUT DATA'!O25))</f>
        <v/>
      </c>
      <c r="E31" s="236" t="str">
        <f>IF(E$16=1,IF(AND($C31&lt;&gt;"",'Term 1'!$AM31&lt;&gt;""),'Term 1'!$AM31,""),"")</f>
        <v/>
      </c>
      <c r="F31" s="236" t="str">
        <f>IF(F$16=1,IF(AND($C31&lt;&gt;"",'Term 2'!$AM31&lt;&gt;""),'Term 2'!$AM31,""),"")</f>
        <v/>
      </c>
      <c r="G31" s="236" t="str">
        <f>IF(G$16=1,IF(AND($C31&lt;&gt;"",'Term 3'!$AM31&lt;&gt;""),'Term 3'!$AM31,""),"")</f>
        <v/>
      </c>
      <c r="H31" s="237" t="str">
        <f t="shared" si="0"/>
        <v/>
      </c>
      <c r="I31" s="238" t="str">
        <f>IF(H31="","",_xlfn.XLOOKUP(H31,HELPER!$AG$7:$AG$47,HELPER!$AH$7:$AH$47))</f>
        <v/>
      </c>
      <c r="J31" s="239" t="str">
        <f t="shared" si="1"/>
        <v/>
      </c>
    </row>
    <row r="32" ht="15.6" hidden="1" spans="2:12">
      <c r="B32" s="234">
        <v>16</v>
      </c>
      <c r="C32" s="82" t="str">
        <f>UPPER(IF('INPUT DATA'!N26="","",'INPUT DATA'!N26))</f>
        <v/>
      </c>
      <c r="D32" s="235" t="str">
        <f>UPPER(IF('INPUT DATA'!O26="","",'INPUT DATA'!O26))</f>
        <v/>
      </c>
      <c r="E32" s="236" t="str">
        <f>IF(E$16=1,IF(AND($C32&lt;&gt;"",'Term 1'!$AM32&lt;&gt;""),'Term 1'!$AM32,""),"")</f>
        <v/>
      </c>
      <c r="F32" s="236" t="str">
        <f>IF(F$16=1,IF(AND($C32&lt;&gt;"",'Term 2'!$AM32&lt;&gt;""),'Term 2'!$AM32,""),"")</f>
        <v/>
      </c>
      <c r="G32" s="236" t="str">
        <f>IF(G$16=1,IF(AND($C32&lt;&gt;"",'Term 3'!$AM32&lt;&gt;""),'Term 3'!$AM32,""),"")</f>
        <v/>
      </c>
      <c r="H32" s="237" t="str">
        <f t="shared" si="0"/>
        <v/>
      </c>
      <c r="I32" s="238" t="str">
        <f>IF(H32="","",_xlfn.XLOOKUP(H32,HELPER!$AG$7:$AG$47,HELPER!$AH$7:$AH$47))</f>
        <v/>
      </c>
      <c r="J32" s="239" t="str">
        <f t="shared" si="1"/>
        <v/>
      </c>
    </row>
    <row r="33" ht="15.6" hidden="1" spans="2:10">
      <c r="B33" s="234">
        <v>17</v>
      </c>
      <c r="C33" s="82" t="str">
        <f>UPPER(IF('INPUT DATA'!N27="","",'INPUT DATA'!N27))</f>
        <v/>
      </c>
      <c r="D33" s="235" t="str">
        <f>UPPER(IF('INPUT DATA'!O27="","",'INPUT DATA'!O27))</f>
        <v/>
      </c>
      <c r="E33" s="236" t="str">
        <f>IF(E$16=1,IF(AND($C33&lt;&gt;"",'Term 1'!$AM33&lt;&gt;""),'Term 1'!$AM33,""),"")</f>
        <v/>
      </c>
      <c r="F33" s="236" t="str">
        <f>IF(F$16=1,IF(AND($C33&lt;&gt;"",'Term 2'!$AM33&lt;&gt;""),'Term 2'!$AM33,""),"")</f>
        <v/>
      </c>
      <c r="G33" s="236" t="str">
        <f>IF(G$16=1,IF(AND($C33&lt;&gt;"",'Term 3'!$AM33&lt;&gt;""),'Term 3'!$AM33,""),"")</f>
        <v/>
      </c>
      <c r="H33" s="237" t="str">
        <f t="shared" si="0"/>
        <v/>
      </c>
      <c r="I33" s="238" t="str">
        <f>IF(H33="","",_xlfn.XLOOKUP(H33,HELPER!$AG$7:$AG$47,HELPER!$AH$7:$AH$47))</f>
        <v/>
      </c>
      <c r="J33" s="239" t="str">
        <f t="shared" si="1"/>
        <v/>
      </c>
    </row>
    <row r="34" ht="15.6" hidden="1" spans="2:10">
      <c r="B34" s="234">
        <v>18</v>
      </c>
      <c r="C34" s="82" t="str">
        <f>UPPER(IF('INPUT DATA'!N28="","",'INPUT DATA'!N28))</f>
        <v/>
      </c>
      <c r="D34" s="235" t="str">
        <f>UPPER(IF('INPUT DATA'!O28="","",'INPUT DATA'!O28))</f>
        <v/>
      </c>
      <c r="E34" s="236" t="str">
        <f>IF(E$16=1,IF(AND($C34&lt;&gt;"",'Term 1'!$AM34&lt;&gt;""),'Term 1'!$AM34,""),"")</f>
        <v/>
      </c>
      <c r="F34" s="236" t="str">
        <f>IF(F$16=1,IF(AND($C34&lt;&gt;"",'Term 2'!$AM34&lt;&gt;""),'Term 2'!$AM34,""),"")</f>
        <v/>
      </c>
      <c r="G34" s="236" t="str">
        <f>IF(G$16=1,IF(AND($C34&lt;&gt;"",'Term 3'!$AM34&lt;&gt;""),'Term 3'!$AM34,""),"")</f>
        <v/>
      </c>
      <c r="H34" s="237" t="str">
        <f t="shared" si="0"/>
        <v/>
      </c>
      <c r="I34" s="238" t="str">
        <f>IF(H34="","",_xlfn.XLOOKUP(H34,HELPER!$AG$7:$AG$47,HELPER!$AH$7:$AH$47))</f>
        <v/>
      </c>
      <c r="J34" s="239" t="str">
        <f t="shared" si="1"/>
        <v/>
      </c>
    </row>
    <row r="35" ht="15.6" hidden="1" spans="2:10">
      <c r="B35" s="234">
        <v>19</v>
      </c>
      <c r="C35" s="82" t="str">
        <f>UPPER(IF('INPUT DATA'!N29="","",'INPUT DATA'!N29))</f>
        <v/>
      </c>
      <c r="D35" s="235" t="str">
        <f>UPPER(IF('INPUT DATA'!O29="","",'INPUT DATA'!O29))</f>
        <v/>
      </c>
      <c r="E35" s="236" t="str">
        <f>IF(E$16=1,IF(AND($C35&lt;&gt;"",'Term 1'!$AM35&lt;&gt;""),'Term 1'!$AM35,""),"")</f>
        <v/>
      </c>
      <c r="F35" s="236" t="str">
        <f>IF(F$16=1,IF(AND($C35&lt;&gt;"",'Term 2'!$AM35&lt;&gt;""),'Term 2'!$AM35,""),"")</f>
        <v/>
      </c>
      <c r="G35" s="236" t="str">
        <f>IF(G$16=1,IF(AND($C35&lt;&gt;"",'Term 3'!$AM35&lt;&gt;""),'Term 3'!$AM35,""),"")</f>
        <v/>
      </c>
      <c r="H35" s="237" t="str">
        <f t="shared" si="0"/>
        <v/>
      </c>
      <c r="I35" s="238" t="str">
        <f>IF(H35="","",_xlfn.XLOOKUP(H35,HELPER!$AG$7:$AG$47,HELPER!$AH$7:$AH$47))</f>
        <v/>
      </c>
      <c r="J35" s="239" t="str">
        <f t="shared" si="1"/>
        <v/>
      </c>
    </row>
    <row r="36" ht="15.6" hidden="1" spans="2:10">
      <c r="B36" s="234">
        <v>20</v>
      </c>
      <c r="C36" s="82" t="str">
        <f>UPPER(IF('INPUT DATA'!N30="","",'INPUT DATA'!N30))</f>
        <v/>
      </c>
      <c r="D36" s="235" t="str">
        <f>UPPER(IF('INPUT DATA'!O30="","",'INPUT DATA'!O30))</f>
        <v/>
      </c>
      <c r="E36" s="236" t="str">
        <f>IF(E$16=1,IF(AND($C36&lt;&gt;"",'Term 1'!$AM36&lt;&gt;""),'Term 1'!$AM36,""),"")</f>
        <v/>
      </c>
      <c r="F36" s="236" t="str">
        <f>IF(F$16=1,IF(AND($C36&lt;&gt;"",'Term 2'!$AM36&lt;&gt;""),'Term 2'!$AM36,""),"")</f>
        <v/>
      </c>
      <c r="G36" s="236" t="str">
        <f>IF(G$16=1,IF(AND($C36&lt;&gt;"",'Term 3'!$AM36&lt;&gt;""),'Term 3'!$AM36,""),"")</f>
        <v/>
      </c>
      <c r="H36" s="237" t="str">
        <f t="shared" si="0"/>
        <v/>
      </c>
      <c r="I36" s="238" t="str">
        <f>IF(H36="","",_xlfn.XLOOKUP(H36,HELPER!$AG$7:$AG$47,HELPER!$AH$7:$AH$47))</f>
        <v/>
      </c>
      <c r="J36" s="239" t="str">
        <f t="shared" si="1"/>
        <v/>
      </c>
    </row>
    <row r="37" ht="15.6" hidden="1" spans="2:10">
      <c r="B37" s="234">
        <v>21</v>
      </c>
      <c r="C37" s="82" t="str">
        <f>UPPER(IF('INPUT DATA'!N31="","",'INPUT DATA'!N31))</f>
        <v/>
      </c>
      <c r="D37" s="235" t="str">
        <f>UPPER(IF('INPUT DATA'!O31="","",'INPUT DATA'!O31))</f>
        <v/>
      </c>
      <c r="E37" s="236" t="str">
        <f>IF(E$16=1,IF(AND($C37&lt;&gt;"",'Term 1'!$AM37&lt;&gt;""),'Term 1'!$AM37,""),"")</f>
        <v/>
      </c>
      <c r="F37" s="236" t="str">
        <f>IF(F$16=1,IF(AND($C37&lt;&gt;"",'Term 2'!$AM37&lt;&gt;""),'Term 2'!$AM37,""),"")</f>
        <v/>
      </c>
      <c r="G37" s="236" t="str">
        <f>IF(G$16=1,IF(AND($C37&lt;&gt;"",'Term 3'!$AM37&lt;&gt;""),'Term 3'!$AM37,""),"")</f>
        <v/>
      </c>
      <c r="H37" s="237" t="str">
        <f t="shared" si="0"/>
        <v/>
      </c>
      <c r="I37" s="238" t="str">
        <f>IF(H37="","",_xlfn.XLOOKUP(H37,HELPER!$AG$7:$AG$47,HELPER!$AH$7:$AH$47))</f>
        <v/>
      </c>
      <c r="J37" s="239" t="str">
        <f t="shared" si="1"/>
        <v/>
      </c>
    </row>
    <row r="38" ht="15.6" hidden="1" spans="2:10">
      <c r="B38" s="234">
        <v>22</v>
      </c>
      <c r="C38" s="82" t="str">
        <f>UPPER(IF('INPUT DATA'!N32="","",'INPUT DATA'!N32))</f>
        <v/>
      </c>
      <c r="D38" s="235" t="str">
        <f>UPPER(IF('INPUT DATA'!O32="","",'INPUT DATA'!O32))</f>
        <v/>
      </c>
      <c r="E38" s="236" t="str">
        <f>IF(E$16=1,IF(AND($C38&lt;&gt;"",'Term 1'!$AM38&lt;&gt;""),'Term 1'!$AM38,""),"")</f>
        <v/>
      </c>
      <c r="F38" s="236" t="str">
        <f>IF(F$16=1,IF(AND($C38&lt;&gt;"",'Term 2'!$AM38&lt;&gt;""),'Term 2'!$AM38,""),"")</f>
        <v/>
      </c>
      <c r="G38" s="236" t="str">
        <f>IF(G$16=1,IF(AND($C38&lt;&gt;"",'Term 3'!$AM38&lt;&gt;""),'Term 3'!$AM38,""),"")</f>
        <v/>
      </c>
      <c r="H38" s="237" t="str">
        <f t="shared" si="0"/>
        <v/>
      </c>
      <c r="I38" s="238" t="str">
        <f>IF(H38="","",_xlfn.XLOOKUP(H38,HELPER!$AG$7:$AG$47,HELPER!$AH$7:$AH$47))</f>
        <v/>
      </c>
      <c r="J38" s="239" t="str">
        <f t="shared" si="1"/>
        <v/>
      </c>
    </row>
    <row r="39" ht="15.6" hidden="1" spans="2:10">
      <c r="B39" s="234">
        <v>23</v>
      </c>
      <c r="C39" s="82" t="str">
        <f>UPPER(IF('INPUT DATA'!N33="","",'INPUT DATA'!N33))</f>
        <v/>
      </c>
      <c r="D39" s="235" t="str">
        <f>UPPER(IF('INPUT DATA'!O33="","",'INPUT DATA'!O33))</f>
        <v/>
      </c>
      <c r="E39" s="236" t="str">
        <f>IF(E$16=1,IF(AND($C39&lt;&gt;"",'Term 1'!$AM39&lt;&gt;""),'Term 1'!$AM39,""),"")</f>
        <v/>
      </c>
      <c r="F39" s="236" t="str">
        <f>IF(F$16=1,IF(AND($C39&lt;&gt;"",'Term 2'!$AM39&lt;&gt;""),'Term 2'!$AM39,""),"")</f>
        <v/>
      </c>
      <c r="G39" s="236" t="str">
        <f>IF(G$16=1,IF(AND($C39&lt;&gt;"",'Term 3'!$AM39&lt;&gt;""),'Term 3'!$AM39,""),"")</f>
        <v/>
      </c>
      <c r="H39" s="237" t="str">
        <f t="shared" si="0"/>
        <v/>
      </c>
      <c r="I39" s="238" t="str">
        <f>IF(H39="","",_xlfn.XLOOKUP(H39,HELPER!$AG$7:$AG$47,HELPER!$AH$7:$AH$47))</f>
        <v/>
      </c>
      <c r="J39" s="239" t="str">
        <f t="shared" si="1"/>
        <v/>
      </c>
    </row>
    <row r="40" ht="15.6" hidden="1" spans="2:10">
      <c r="B40" s="234">
        <v>24</v>
      </c>
      <c r="C40" s="82" t="str">
        <f>UPPER(IF('INPUT DATA'!N34="","",'INPUT DATA'!N34))</f>
        <v/>
      </c>
      <c r="D40" s="235" t="str">
        <f>UPPER(IF('INPUT DATA'!O34="","",'INPUT DATA'!O34))</f>
        <v/>
      </c>
      <c r="E40" s="236" t="str">
        <f>IF(E$16=1,IF(AND($C40&lt;&gt;"",'Term 1'!$AM40&lt;&gt;""),'Term 1'!$AM40,""),"")</f>
        <v/>
      </c>
      <c r="F40" s="236" t="str">
        <f>IF(F$16=1,IF(AND($C40&lt;&gt;"",'Term 2'!$AM40&lt;&gt;""),'Term 2'!$AM40,""),"")</f>
        <v/>
      </c>
      <c r="G40" s="236" t="str">
        <f>IF(G$16=1,IF(AND($C40&lt;&gt;"",'Term 3'!$AM40&lt;&gt;""),'Term 3'!$AM40,""),"")</f>
        <v/>
      </c>
      <c r="H40" s="237" t="str">
        <f t="shared" si="0"/>
        <v/>
      </c>
      <c r="I40" s="238" t="str">
        <f>IF(H40="","",_xlfn.XLOOKUP(H40,HELPER!$AG$7:$AG$47,HELPER!$AH$7:$AH$47))</f>
        <v/>
      </c>
      <c r="J40" s="239" t="str">
        <f t="shared" si="1"/>
        <v/>
      </c>
    </row>
    <row r="41" ht="15.6" hidden="1" spans="2:10">
      <c r="B41" s="234">
        <v>25</v>
      </c>
      <c r="C41" s="82" t="str">
        <f>UPPER(IF('INPUT DATA'!N35="","",'INPUT DATA'!N35))</f>
        <v/>
      </c>
      <c r="D41" s="235" t="str">
        <f>UPPER(IF('INPUT DATA'!O35="","",'INPUT DATA'!O35))</f>
        <v/>
      </c>
      <c r="E41" s="236" t="str">
        <f>IF(E$16=1,IF(AND($C41&lt;&gt;"",'Term 1'!$AM41&lt;&gt;""),'Term 1'!$AM41,""),"")</f>
        <v/>
      </c>
      <c r="F41" s="236" t="str">
        <f>IF(F$16=1,IF(AND($C41&lt;&gt;"",'Term 2'!$AM41&lt;&gt;""),'Term 2'!$AM41,""),"")</f>
        <v/>
      </c>
      <c r="G41" s="236" t="str">
        <f>IF(G$16=1,IF(AND($C41&lt;&gt;"",'Term 3'!$AM41&lt;&gt;""),'Term 3'!$AM41,""),"")</f>
        <v/>
      </c>
      <c r="H41" s="237" t="str">
        <f t="shared" si="0"/>
        <v/>
      </c>
      <c r="I41" s="238" t="str">
        <f>IF(H41="","",_xlfn.XLOOKUP(H41,HELPER!$AG$7:$AG$47,HELPER!$AH$7:$AH$47))</f>
        <v/>
      </c>
      <c r="J41" s="239" t="str">
        <f t="shared" si="1"/>
        <v/>
      </c>
    </row>
    <row r="42" ht="15.6" hidden="1" spans="2:10">
      <c r="B42" s="234">
        <v>26</v>
      </c>
      <c r="C42" s="82" t="str">
        <f>UPPER(IF('INPUT DATA'!N36="","",'INPUT DATA'!N36))</f>
        <v/>
      </c>
      <c r="D42" s="235" t="str">
        <f>UPPER(IF('INPUT DATA'!O36="","",'INPUT DATA'!O36))</f>
        <v/>
      </c>
      <c r="E42" s="236" t="str">
        <f>IF(E$16=1,IF(AND($C42&lt;&gt;"",'Term 1'!$AM42&lt;&gt;""),'Term 1'!$AM42,""),"")</f>
        <v/>
      </c>
      <c r="F42" s="236" t="str">
        <f>IF(F$16=1,IF(AND($C42&lt;&gt;"",'Term 2'!$AM42&lt;&gt;""),'Term 2'!$AM42,""),"")</f>
        <v/>
      </c>
      <c r="G42" s="236" t="str">
        <f>IF(G$16=1,IF(AND($C42&lt;&gt;"",'Term 3'!$AM42&lt;&gt;""),'Term 3'!$AM42,""),"")</f>
        <v/>
      </c>
      <c r="H42" s="237" t="str">
        <f t="shared" si="0"/>
        <v/>
      </c>
      <c r="I42" s="238" t="str">
        <f>IF(H42="","",_xlfn.XLOOKUP(H42,HELPER!$AG$7:$AG$47,HELPER!$AH$7:$AH$47))</f>
        <v/>
      </c>
      <c r="J42" s="239" t="str">
        <f t="shared" si="1"/>
        <v/>
      </c>
    </row>
    <row r="43" ht="15.6" hidden="1" spans="2:10">
      <c r="B43" s="234">
        <v>27</v>
      </c>
      <c r="C43" s="82" t="str">
        <f>UPPER(IF('INPUT DATA'!N37="","",'INPUT DATA'!N37))</f>
        <v/>
      </c>
      <c r="D43" s="235" t="str">
        <f>UPPER(IF('INPUT DATA'!O37="","",'INPUT DATA'!O37))</f>
        <v/>
      </c>
      <c r="E43" s="236" t="str">
        <f>IF(E$16=1,IF(AND($C43&lt;&gt;"",'Term 1'!$AM43&lt;&gt;""),'Term 1'!$AM43,""),"")</f>
        <v/>
      </c>
      <c r="F43" s="236" t="str">
        <f>IF(F$16=1,IF(AND($C43&lt;&gt;"",'Term 2'!$AM43&lt;&gt;""),'Term 2'!$AM43,""),"")</f>
        <v/>
      </c>
      <c r="G43" s="236" t="str">
        <f>IF(G$16=1,IF(AND($C43&lt;&gt;"",'Term 3'!$AM43&lt;&gt;""),'Term 3'!$AM43,""),"")</f>
        <v/>
      </c>
      <c r="H43" s="237" t="str">
        <f t="shared" si="0"/>
        <v/>
      </c>
      <c r="I43" s="238" t="str">
        <f>IF(H43="","",_xlfn.XLOOKUP(H43,HELPER!$AG$7:$AG$47,HELPER!$AH$7:$AH$47))</f>
        <v/>
      </c>
      <c r="J43" s="239" t="str">
        <f t="shared" si="1"/>
        <v/>
      </c>
    </row>
    <row r="44" ht="15.6" hidden="1" spans="2:10">
      <c r="B44" s="234">
        <v>28</v>
      </c>
      <c r="C44" s="82" t="str">
        <f>UPPER(IF('INPUT DATA'!N38="","",'INPUT DATA'!N38))</f>
        <v/>
      </c>
      <c r="D44" s="235" t="str">
        <f>UPPER(IF('INPUT DATA'!O38="","",'INPUT DATA'!O38))</f>
        <v/>
      </c>
      <c r="E44" s="236" t="str">
        <f>IF(E$16=1,IF(AND($C44&lt;&gt;"",'Term 1'!$AM44&lt;&gt;""),'Term 1'!$AM44,""),"")</f>
        <v/>
      </c>
      <c r="F44" s="236" t="str">
        <f>IF(F$16=1,IF(AND($C44&lt;&gt;"",'Term 2'!$AM44&lt;&gt;""),'Term 2'!$AM44,""),"")</f>
        <v/>
      </c>
      <c r="G44" s="236" t="str">
        <f>IF(G$16=1,IF(AND($C44&lt;&gt;"",'Term 3'!$AM44&lt;&gt;""),'Term 3'!$AM44,""),"")</f>
        <v/>
      </c>
      <c r="H44" s="237" t="str">
        <f t="shared" si="0"/>
        <v/>
      </c>
      <c r="I44" s="238" t="str">
        <f>IF(H44="","",_xlfn.XLOOKUP(H44,HELPER!$AG$7:$AG$47,HELPER!$AH$7:$AH$47))</f>
        <v/>
      </c>
      <c r="J44" s="239" t="str">
        <f t="shared" si="1"/>
        <v/>
      </c>
    </row>
    <row r="45" ht="15.6" hidden="1" spans="2:10">
      <c r="B45" s="234">
        <v>29</v>
      </c>
      <c r="C45" s="82" t="str">
        <f>UPPER(IF('INPUT DATA'!N39="","",'INPUT DATA'!N39))</f>
        <v/>
      </c>
      <c r="D45" s="235" t="str">
        <f>UPPER(IF('INPUT DATA'!O39="","",'INPUT DATA'!O39))</f>
        <v/>
      </c>
      <c r="E45" s="236" t="str">
        <f>IF(E$16=1,IF(AND($C45&lt;&gt;"",'Term 1'!$AM45&lt;&gt;""),'Term 1'!$AM45,""),"")</f>
        <v/>
      </c>
      <c r="F45" s="236" t="str">
        <f>IF(F$16=1,IF(AND($C45&lt;&gt;"",'Term 2'!$AM45&lt;&gt;""),'Term 2'!$AM45,""),"")</f>
        <v/>
      </c>
      <c r="G45" s="236" t="str">
        <f>IF(G$16=1,IF(AND($C45&lt;&gt;"",'Term 3'!$AM45&lt;&gt;""),'Term 3'!$AM45,""),"")</f>
        <v/>
      </c>
      <c r="H45" s="237" t="str">
        <f t="shared" si="0"/>
        <v/>
      </c>
      <c r="I45" s="238" t="str">
        <f>IF(H45="","",_xlfn.XLOOKUP(H45,HELPER!$AG$7:$AG$47,HELPER!$AH$7:$AH$47))</f>
        <v/>
      </c>
      <c r="J45" s="239" t="str">
        <f t="shared" si="1"/>
        <v/>
      </c>
    </row>
    <row r="46" ht="15.6" hidden="1" spans="2:10">
      <c r="B46" s="234">
        <v>30</v>
      </c>
      <c r="C46" s="82" t="str">
        <f>UPPER(IF('INPUT DATA'!N40="","",'INPUT DATA'!N40))</f>
        <v/>
      </c>
      <c r="D46" s="235" t="str">
        <f>UPPER(IF('INPUT DATA'!O40="","",'INPUT DATA'!O40))</f>
        <v/>
      </c>
      <c r="E46" s="236" t="str">
        <f>IF(E$16=1,IF(AND($C46&lt;&gt;"",'Term 1'!$AM46&lt;&gt;""),'Term 1'!$AM46,""),"")</f>
        <v/>
      </c>
      <c r="F46" s="236" t="str">
        <f>IF(F$16=1,IF(AND($C46&lt;&gt;"",'Term 2'!$AM46&lt;&gt;""),'Term 2'!$AM46,""),"")</f>
        <v/>
      </c>
      <c r="G46" s="236" t="str">
        <f>IF(G$16=1,IF(AND($C46&lt;&gt;"",'Term 3'!$AM46&lt;&gt;""),'Term 3'!$AM46,""),"")</f>
        <v/>
      </c>
      <c r="H46" s="237" t="str">
        <f t="shared" si="0"/>
        <v/>
      </c>
      <c r="I46" s="238" t="str">
        <f>IF(H46="","",_xlfn.XLOOKUP(H46,HELPER!$AG$7:$AG$47,HELPER!$AH$7:$AH$47))</f>
        <v/>
      </c>
      <c r="J46" s="239" t="str">
        <f t="shared" si="1"/>
        <v/>
      </c>
    </row>
    <row r="47" ht="15.6" hidden="1" spans="2:10">
      <c r="B47" s="234">
        <v>31</v>
      </c>
      <c r="C47" s="82" t="str">
        <f>UPPER(IF('INPUT DATA'!N41="","",'INPUT DATA'!N41))</f>
        <v/>
      </c>
      <c r="D47" s="235" t="str">
        <f>UPPER(IF('INPUT DATA'!O41="","",'INPUT DATA'!O41))</f>
        <v/>
      </c>
      <c r="E47" s="236" t="str">
        <f>IF(E$16=1,IF(AND($C47&lt;&gt;"",'Term 1'!$AM47&lt;&gt;""),'Term 1'!$AM47,""),"")</f>
        <v/>
      </c>
      <c r="F47" s="236" t="str">
        <f>IF(F$16=1,IF(AND($C47&lt;&gt;"",'Term 2'!$AM47&lt;&gt;""),'Term 2'!$AM47,""),"")</f>
        <v/>
      </c>
      <c r="G47" s="236" t="str">
        <f>IF(G$16=1,IF(AND($C47&lt;&gt;"",'Term 3'!$AM47&lt;&gt;""),'Term 3'!$AM47,""),"")</f>
        <v/>
      </c>
      <c r="H47" s="237" t="str">
        <f t="shared" si="0"/>
        <v/>
      </c>
      <c r="I47" s="238" t="str">
        <f>IF(H47="","",_xlfn.XLOOKUP(H47,HELPER!$AG$7:$AG$47,HELPER!$AH$7:$AH$47))</f>
        <v/>
      </c>
      <c r="J47" s="239" t="str">
        <f t="shared" si="1"/>
        <v/>
      </c>
    </row>
    <row r="48" ht="15.6" hidden="1" spans="2:10">
      <c r="B48" s="234">
        <v>32</v>
      </c>
      <c r="C48" s="82" t="str">
        <f>UPPER(IF('INPUT DATA'!N42="","",'INPUT DATA'!N42))</f>
        <v/>
      </c>
      <c r="D48" s="235" t="str">
        <f>UPPER(IF('INPUT DATA'!O42="","",'INPUT DATA'!O42))</f>
        <v/>
      </c>
      <c r="E48" s="236" t="str">
        <f>IF(E$16=1,IF(AND($C48&lt;&gt;"",'Term 1'!$AM48&lt;&gt;""),'Term 1'!$AM48,""),"")</f>
        <v/>
      </c>
      <c r="F48" s="236" t="str">
        <f>IF(F$16=1,IF(AND($C48&lt;&gt;"",'Term 2'!$AM48&lt;&gt;""),'Term 2'!$AM48,""),"")</f>
        <v/>
      </c>
      <c r="G48" s="236" t="str">
        <f>IF(G$16=1,IF(AND($C48&lt;&gt;"",'Term 3'!$AM48&lt;&gt;""),'Term 3'!$AM48,""),"")</f>
        <v/>
      </c>
      <c r="H48" s="237" t="str">
        <f t="shared" si="0"/>
        <v/>
      </c>
      <c r="I48" s="238" t="str">
        <f>IF(H48="","",_xlfn.XLOOKUP(H48,HELPER!$AG$7:$AG$47,HELPER!$AH$7:$AH$47))</f>
        <v/>
      </c>
      <c r="J48" s="239" t="str">
        <f t="shared" si="1"/>
        <v/>
      </c>
    </row>
    <row r="49" ht="15.6" hidden="1" spans="2:10">
      <c r="B49" s="234">
        <v>33</v>
      </c>
      <c r="C49" s="82" t="str">
        <f>UPPER(IF('INPUT DATA'!N43="","",'INPUT DATA'!N43))</f>
        <v/>
      </c>
      <c r="D49" s="235" t="str">
        <f>UPPER(IF('INPUT DATA'!O43="","",'INPUT DATA'!O43))</f>
        <v/>
      </c>
      <c r="E49" s="236" t="str">
        <f>IF(E$16=1,IF(AND($C49&lt;&gt;"",'Term 1'!$AM49&lt;&gt;""),'Term 1'!$AM49,""),"")</f>
        <v/>
      </c>
      <c r="F49" s="236" t="str">
        <f>IF(F$16=1,IF(AND($C49&lt;&gt;"",'Term 2'!$AM49&lt;&gt;""),'Term 2'!$AM49,""),"")</f>
        <v/>
      </c>
      <c r="G49" s="236" t="str">
        <f>IF(G$16=1,IF(AND($C49&lt;&gt;"",'Term 3'!$AM49&lt;&gt;""),'Term 3'!$AM49,""),"")</f>
        <v/>
      </c>
      <c r="H49" s="237" t="str">
        <f t="shared" si="0"/>
        <v/>
      </c>
      <c r="I49" s="238" t="str">
        <f>IF(H49="","",_xlfn.XLOOKUP(H49,HELPER!$AG$7:$AG$47,HELPER!$AH$7:$AH$47))</f>
        <v/>
      </c>
      <c r="J49" s="239" t="str">
        <f t="shared" si="1"/>
        <v/>
      </c>
    </row>
    <row r="50" ht="15.6" hidden="1" spans="2:10">
      <c r="B50" s="234">
        <v>34</v>
      </c>
      <c r="C50" s="82" t="str">
        <f>UPPER(IF('INPUT DATA'!N44="","",'INPUT DATA'!N44))</f>
        <v/>
      </c>
      <c r="D50" s="235" t="str">
        <f>UPPER(IF('INPUT DATA'!O44="","",'INPUT DATA'!O44))</f>
        <v/>
      </c>
      <c r="E50" s="236" t="str">
        <f>IF(E$16=1,IF(AND($C50&lt;&gt;"",'Term 1'!$AM50&lt;&gt;""),'Term 1'!$AM50,""),"")</f>
        <v/>
      </c>
      <c r="F50" s="236" t="str">
        <f>IF(F$16=1,IF(AND($C50&lt;&gt;"",'Term 2'!$AM50&lt;&gt;""),'Term 2'!$AM50,""),"")</f>
        <v/>
      </c>
      <c r="G50" s="236" t="str">
        <f>IF(G$16=1,IF(AND($C50&lt;&gt;"",'Term 3'!$AM50&lt;&gt;""),'Term 3'!$AM50,""),"")</f>
        <v/>
      </c>
      <c r="H50" s="237" t="str">
        <f t="shared" si="0"/>
        <v/>
      </c>
      <c r="I50" s="238" t="str">
        <f>IF(H50="","",_xlfn.XLOOKUP(H50,HELPER!$AG$7:$AG$47,HELPER!$AH$7:$AH$47))</f>
        <v/>
      </c>
      <c r="J50" s="239" t="str">
        <f t="shared" si="1"/>
        <v/>
      </c>
    </row>
    <row r="51" ht="15.6" hidden="1" spans="2:10">
      <c r="B51" s="234">
        <v>35</v>
      </c>
      <c r="C51" s="82" t="str">
        <f>UPPER(IF('INPUT DATA'!N45="","",'INPUT DATA'!N45))</f>
        <v/>
      </c>
      <c r="D51" s="235" t="str">
        <f>UPPER(IF('INPUT DATA'!O45="","",'INPUT DATA'!O45))</f>
        <v/>
      </c>
      <c r="E51" s="236" t="str">
        <f>IF(E$16=1,IF(AND($C51&lt;&gt;"",'Term 1'!$AM51&lt;&gt;""),'Term 1'!$AM51,""),"")</f>
        <v/>
      </c>
      <c r="F51" s="236" t="str">
        <f>IF(F$16=1,IF(AND($C51&lt;&gt;"",'Term 2'!$AM51&lt;&gt;""),'Term 2'!$AM51,""),"")</f>
        <v/>
      </c>
      <c r="G51" s="236" t="str">
        <f>IF(G$16=1,IF(AND($C51&lt;&gt;"",'Term 3'!$AM51&lt;&gt;""),'Term 3'!$AM51,""),"")</f>
        <v/>
      </c>
      <c r="H51" s="237" t="str">
        <f t="shared" si="0"/>
        <v/>
      </c>
      <c r="I51" s="238" t="str">
        <f>IF(H51="","",_xlfn.XLOOKUP(H51,HELPER!$AG$7:$AG$47,HELPER!$AH$7:$AH$47))</f>
        <v/>
      </c>
      <c r="J51" s="239" t="str">
        <f t="shared" si="1"/>
        <v/>
      </c>
    </row>
    <row r="52" ht="15.6" hidden="1" spans="2:10">
      <c r="B52" s="234">
        <v>36</v>
      </c>
      <c r="C52" s="82" t="str">
        <f>UPPER(IF('INPUT DATA'!N46="","",'INPUT DATA'!N46))</f>
        <v/>
      </c>
      <c r="D52" s="235" t="str">
        <f>UPPER(IF('INPUT DATA'!O46="","",'INPUT DATA'!O46))</f>
        <v/>
      </c>
      <c r="E52" s="236" t="str">
        <f>IF(E$16=1,IF(AND($C52&lt;&gt;"",'Term 1'!$AM52&lt;&gt;""),'Term 1'!$AM52,""),"")</f>
        <v/>
      </c>
      <c r="F52" s="236" t="str">
        <f>IF(F$16=1,IF(AND($C52&lt;&gt;"",'Term 2'!$AM52&lt;&gt;""),'Term 2'!$AM52,""),"")</f>
        <v/>
      </c>
      <c r="G52" s="236" t="str">
        <f>IF(G$16=1,IF(AND($C52&lt;&gt;"",'Term 3'!$AM52&lt;&gt;""),'Term 3'!$AM52,""),"")</f>
        <v/>
      </c>
      <c r="H52" s="237" t="str">
        <f t="shared" si="0"/>
        <v/>
      </c>
      <c r="I52" s="238" t="str">
        <f>IF(H52="","",_xlfn.XLOOKUP(H52,HELPER!$AG$7:$AG$47,HELPER!$AH$7:$AH$47))</f>
        <v/>
      </c>
      <c r="J52" s="239" t="str">
        <f t="shared" si="1"/>
        <v/>
      </c>
    </row>
    <row r="53" ht="15.6" hidden="1" spans="2:10">
      <c r="B53" s="234">
        <v>37</v>
      </c>
      <c r="C53" s="82" t="str">
        <f>UPPER(IF('INPUT DATA'!N47="","",'INPUT DATA'!N47))</f>
        <v/>
      </c>
      <c r="D53" s="235" t="str">
        <f>UPPER(IF('INPUT DATA'!O47="","",'INPUT DATA'!O47))</f>
        <v/>
      </c>
      <c r="E53" s="236" t="str">
        <f>IF(E$16=1,IF(AND($C53&lt;&gt;"",'Term 1'!$AM53&lt;&gt;""),'Term 1'!$AM53,""),"")</f>
        <v/>
      </c>
      <c r="F53" s="236" t="str">
        <f>IF(F$16=1,IF(AND($C53&lt;&gt;"",'Term 2'!$AM53&lt;&gt;""),'Term 2'!$AM53,""),"")</f>
        <v/>
      </c>
      <c r="G53" s="236" t="str">
        <f>IF(G$16=1,IF(AND($C53&lt;&gt;"",'Term 3'!$AM53&lt;&gt;""),'Term 3'!$AM53,""),"")</f>
        <v/>
      </c>
      <c r="H53" s="237" t="str">
        <f t="shared" si="0"/>
        <v/>
      </c>
      <c r="I53" s="238" t="str">
        <f>IF(H53="","",_xlfn.XLOOKUP(H53,HELPER!$AG$7:$AG$47,HELPER!$AH$7:$AH$47))</f>
        <v/>
      </c>
      <c r="J53" s="239" t="str">
        <f t="shared" si="1"/>
        <v/>
      </c>
    </row>
    <row r="54" ht="15.6" hidden="1" spans="2:10">
      <c r="B54" s="234">
        <v>38</v>
      </c>
      <c r="C54" s="82" t="str">
        <f>UPPER(IF('INPUT DATA'!N48="","",'INPUT DATA'!N48))</f>
        <v/>
      </c>
      <c r="D54" s="235" t="str">
        <f>UPPER(IF('INPUT DATA'!O48="","",'INPUT DATA'!O48))</f>
        <v/>
      </c>
      <c r="E54" s="236" t="str">
        <f>IF(E$16=1,IF(AND($C54&lt;&gt;"",'Term 1'!$AM54&lt;&gt;""),'Term 1'!$AM54,""),"")</f>
        <v/>
      </c>
      <c r="F54" s="236" t="str">
        <f>IF(F$16=1,IF(AND($C54&lt;&gt;"",'Term 2'!$AM54&lt;&gt;""),'Term 2'!$AM54,""),"")</f>
        <v/>
      </c>
      <c r="G54" s="236" t="str">
        <f>IF(G$16=1,IF(AND($C54&lt;&gt;"",'Term 3'!$AM54&lt;&gt;""),'Term 3'!$AM54,""),"")</f>
        <v/>
      </c>
      <c r="H54" s="237" t="str">
        <f t="shared" si="0"/>
        <v/>
      </c>
      <c r="I54" s="238" t="str">
        <f>IF(H54="","",_xlfn.XLOOKUP(H54,HELPER!$AG$7:$AG$47,HELPER!$AH$7:$AH$47))</f>
        <v/>
      </c>
      <c r="J54" s="239" t="str">
        <f t="shared" si="1"/>
        <v/>
      </c>
    </row>
    <row r="55" ht="15.6" hidden="1" spans="2:10">
      <c r="B55" s="234">
        <v>39</v>
      </c>
      <c r="C55" s="82" t="str">
        <f>UPPER(IF('INPUT DATA'!N49="","",'INPUT DATA'!N49))</f>
        <v/>
      </c>
      <c r="D55" s="235" t="str">
        <f>UPPER(IF('INPUT DATA'!O49="","",'INPUT DATA'!O49))</f>
        <v/>
      </c>
      <c r="E55" s="236" t="str">
        <f>IF(E$16=1,IF(AND($C55&lt;&gt;"",'Term 1'!$AM55&lt;&gt;""),'Term 1'!$AM55,""),"")</f>
        <v/>
      </c>
      <c r="F55" s="236" t="str">
        <f>IF(F$16=1,IF(AND($C55&lt;&gt;"",'Term 2'!$AM55&lt;&gt;""),'Term 2'!$AM55,""),"")</f>
        <v/>
      </c>
      <c r="G55" s="236" t="str">
        <f>IF(G$16=1,IF(AND($C55&lt;&gt;"",'Term 3'!$AM55&lt;&gt;""),'Term 3'!$AM55,""),"")</f>
        <v/>
      </c>
      <c r="H55" s="237" t="str">
        <f t="shared" si="0"/>
        <v/>
      </c>
      <c r="I55" s="238" t="str">
        <f>IF(H55="","",_xlfn.XLOOKUP(H55,HELPER!$AG$7:$AG$47,HELPER!$AH$7:$AH$47))</f>
        <v/>
      </c>
      <c r="J55" s="239" t="str">
        <f t="shared" si="1"/>
        <v/>
      </c>
    </row>
    <row r="56" ht="15.6" hidden="1" spans="2:10">
      <c r="B56" s="234">
        <v>40</v>
      </c>
      <c r="C56" s="82" t="str">
        <f>UPPER(IF('INPUT DATA'!N50="","",'INPUT DATA'!N50))</f>
        <v/>
      </c>
      <c r="D56" s="235" t="str">
        <f>UPPER(IF('INPUT DATA'!O50="","",'INPUT DATA'!O50))</f>
        <v/>
      </c>
      <c r="E56" s="236" t="str">
        <f>IF(E$16=1,IF(AND($C56&lt;&gt;"",'Term 1'!$AM56&lt;&gt;""),'Term 1'!$AM56,""),"")</f>
        <v/>
      </c>
      <c r="F56" s="236" t="str">
        <f>IF(F$16=1,IF(AND($C56&lt;&gt;"",'Term 2'!$AM56&lt;&gt;""),'Term 2'!$AM56,""),"")</f>
        <v/>
      </c>
      <c r="G56" s="236" t="str">
        <f>IF(G$16=1,IF(AND($C56&lt;&gt;"",'Term 3'!$AM56&lt;&gt;""),'Term 3'!$AM56,""),"")</f>
        <v/>
      </c>
      <c r="H56" s="237" t="str">
        <f t="shared" si="0"/>
        <v/>
      </c>
      <c r="I56" s="238" t="str">
        <f>IF(H56="","",_xlfn.XLOOKUP(H56,HELPER!$AG$7:$AG$47,HELPER!$AH$7:$AH$47))</f>
        <v/>
      </c>
      <c r="J56" s="239" t="str">
        <f t="shared" si="1"/>
        <v/>
      </c>
    </row>
    <row r="57" ht="15.6" hidden="1" spans="2:10">
      <c r="B57" s="234">
        <v>41</v>
      </c>
      <c r="C57" s="82" t="str">
        <f>UPPER(IF('INPUT DATA'!N51="","",'INPUT DATA'!N51))</f>
        <v/>
      </c>
      <c r="D57" s="235" t="str">
        <f>UPPER(IF('INPUT DATA'!O51="","",'INPUT DATA'!O51))</f>
        <v/>
      </c>
      <c r="E57" s="236" t="str">
        <f>IF(E$16=1,IF(AND($C57&lt;&gt;"",'Term 1'!$AM57&lt;&gt;""),'Term 1'!$AM57,""),"")</f>
        <v/>
      </c>
      <c r="F57" s="236" t="str">
        <f>IF(F$16=1,IF(AND($C57&lt;&gt;"",'Term 2'!$AM57&lt;&gt;""),'Term 2'!$AM57,""),"")</f>
        <v/>
      </c>
      <c r="G57" s="236" t="str">
        <f>IF(G$16=1,IF(AND($C57&lt;&gt;"",'Term 3'!$AM57&lt;&gt;""),'Term 3'!$AM57,""),"")</f>
        <v/>
      </c>
      <c r="H57" s="237" t="str">
        <f t="shared" si="0"/>
        <v/>
      </c>
      <c r="I57" s="238" t="str">
        <f>IF(H57="","",_xlfn.XLOOKUP(H57,HELPER!$AG$7:$AG$47,HELPER!$AH$7:$AH$47))</f>
        <v/>
      </c>
      <c r="J57" s="239" t="str">
        <f t="shared" si="1"/>
        <v/>
      </c>
    </row>
    <row r="58" ht="15.6" hidden="1" spans="2:10">
      <c r="B58" s="234">
        <v>42</v>
      </c>
      <c r="C58" s="82" t="str">
        <f>UPPER(IF('INPUT DATA'!N52="","",'INPUT DATA'!N52))</f>
        <v/>
      </c>
      <c r="D58" s="235" t="str">
        <f>UPPER(IF('INPUT DATA'!O52="","",'INPUT DATA'!O52))</f>
        <v/>
      </c>
      <c r="E58" s="236" t="str">
        <f>IF(E$16=1,IF(AND($C58&lt;&gt;"",'Term 1'!$AM58&lt;&gt;""),'Term 1'!$AM58,""),"")</f>
        <v/>
      </c>
      <c r="F58" s="236" t="str">
        <f>IF(F$16=1,IF(AND($C58&lt;&gt;"",'Term 2'!$AM58&lt;&gt;""),'Term 2'!$AM58,""),"")</f>
        <v/>
      </c>
      <c r="G58" s="236" t="str">
        <f>IF(G$16=1,IF(AND($C58&lt;&gt;"",'Term 3'!$AM58&lt;&gt;""),'Term 3'!$AM58,""),"")</f>
        <v/>
      </c>
      <c r="H58" s="237" t="str">
        <f t="shared" si="0"/>
        <v/>
      </c>
      <c r="I58" s="238" t="str">
        <f>IF(H58="","",_xlfn.XLOOKUP(H58,HELPER!$AG$7:$AG$47,HELPER!$AH$7:$AH$47))</f>
        <v/>
      </c>
      <c r="J58" s="239" t="str">
        <f t="shared" si="1"/>
        <v/>
      </c>
    </row>
    <row r="59" ht="15.6" hidden="1" spans="2:10">
      <c r="B59" s="234">
        <v>43</v>
      </c>
      <c r="C59" s="82" t="str">
        <f>UPPER(IF('INPUT DATA'!N53="","",'INPUT DATA'!N53))</f>
        <v/>
      </c>
      <c r="D59" s="235" t="str">
        <f>UPPER(IF('INPUT DATA'!O53="","",'INPUT DATA'!O53))</f>
        <v/>
      </c>
      <c r="E59" s="236" t="str">
        <f>IF(E$16=1,IF(AND($C59&lt;&gt;"",'Term 1'!$AM59&lt;&gt;""),'Term 1'!$AM59,""),"")</f>
        <v/>
      </c>
      <c r="F59" s="236" t="str">
        <f>IF(F$16=1,IF(AND($C59&lt;&gt;"",'Term 2'!$AM59&lt;&gt;""),'Term 2'!$AM59,""),"")</f>
        <v/>
      </c>
      <c r="G59" s="236" t="str">
        <f>IF(G$16=1,IF(AND($C59&lt;&gt;"",'Term 3'!$AM59&lt;&gt;""),'Term 3'!$AM59,""),"")</f>
        <v/>
      </c>
      <c r="H59" s="237" t="str">
        <f t="shared" si="0"/>
        <v/>
      </c>
      <c r="I59" s="238" t="str">
        <f>IF(H59="","",_xlfn.XLOOKUP(H59,HELPER!$AG$7:$AG$47,HELPER!$AH$7:$AH$47))</f>
        <v/>
      </c>
      <c r="J59" s="239" t="str">
        <f t="shared" si="1"/>
        <v/>
      </c>
    </row>
    <row r="60" ht="15.6" hidden="1" spans="2:10">
      <c r="B60" s="234">
        <v>44</v>
      </c>
      <c r="C60" s="82" t="str">
        <f>UPPER(IF('INPUT DATA'!N54="","",'INPUT DATA'!N54))</f>
        <v/>
      </c>
      <c r="D60" s="235" t="str">
        <f>UPPER(IF('INPUT DATA'!O54="","",'INPUT DATA'!O54))</f>
        <v/>
      </c>
      <c r="E60" s="236" t="str">
        <f>IF(E$16=1,IF(AND($C60&lt;&gt;"",'Term 1'!$AM60&lt;&gt;""),'Term 1'!$AM60,""),"")</f>
        <v/>
      </c>
      <c r="F60" s="236" t="str">
        <f>IF(F$16=1,IF(AND($C60&lt;&gt;"",'Term 2'!$AM60&lt;&gt;""),'Term 2'!$AM60,""),"")</f>
        <v/>
      </c>
      <c r="G60" s="236" t="str">
        <f>IF(G$16=1,IF(AND($C60&lt;&gt;"",'Term 3'!$AM60&lt;&gt;""),'Term 3'!$AM60,""),"")</f>
        <v/>
      </c>
      <c r="H60" s="237" t="str">
        <f t="shared" si="0"/>
        <v/>
      </c>
      <c r="I60" s="238" t="str">
        <f>IF(H60="","",_xlfn.XLOOKUP(H60,HELPER!$AG$7:$AG$47,HELPER!$AH$7:$AH$47))</f>
        <v/>
      </c>
      <c r="J60" s="239" t="str">
        <f t="shared" si="1"/>
        <v/>
      </c>
    </row>
    <row r="61" ht="15.6" hidden="1" spans="2:10">
      <c r="B61" s="234">
        <v>45</v>
      </c>
      <c r="C61" s="82" t="str">
        <f>UPPER(IF('INPUT DATA'!N55="","",'INPUT DATA'!N55))</f>
        <v/>
      </c>
      <c r="D61" s="235" t="str">
        <f>UPPER(IF('INPUT DATA'!O55="","",'INPUT DATA'!O55))</f>
        <v/>
      </c>
      <c r="E61" s="236" t="str">
        <f>IF(E$16=1,IF(AND($C61&lt;&gt;"",'Term 1'!$AM61&lt;&gt;""),'Term 1'!$AM61,""),"")</f>
        <v/>
      </c>
      <c r="F61" s="236" t="str">
        <f>IF(F$16=1,IF(AND($C61&lt;&gt;"",'Term 2'!$AM61&lt;&gt;""),'Term 2'!$AM61,""),"")</f>
        <v/>
      </c>
      <c r="G61" s="236" t="str">
        <f>IF(G$16=1,IF(AND($C61&lt;&gt;"",'Term 3'!$AM61&lt;&gt;""),'Term 3'!$AM61,""),"")</f>
        <v/>
      </c>
      <c r="H61" s="237" t="str">
        <f t="shared" si="0"/>
        <v/>
      </c>
      <c r="I61" s="238" t="str">
        <f>IF(H61="","",_xlfn.XLOOKUP(H61,HELPER!$AG$7:$AG$47,HELPER!$AH$7:$AH$47))</f>
        <v/>
      </c>
      <c r="J61" s="239" t="str">
        <f t="shared" si="1"/>
        <v/>
      </c>
    </row>
    <row r="62" ht="15.6" hidden="1" spans="2:10">
      <c r="B62" s="234">
        <v>46</v>
      </c>
      <c r="C62" s="82" t="str">
        <f>UPPER(IF('INPUT DATA'!N56="","",'INPUT DATA'!N56))</f>
        <v/>
      </c>
      <c r="D62" s="235" t="str">
        <f>UPPER(IF('INPUT DATA'!O56="","",'INPUT DATA'!O56))</f>
        <v/>
      </c>
      <c r="E62" s="236" t="str">
        <f>IF(E$16=1,IF(AND($C62&lt;&gt;"",'Term 1'!$AM62&lt;&gt;""),'Term 1'!$AM62,""),"")</f>
        <v/>
      </c>
      <c r="F62" s="236" t="str">
        <f>IF(F$16=1,IF(AND($C62&lt;&gt;"",'Term 2'!$AM62&lt;&gt;""),'Term 2'!$AM62,""),"")</f>
        <v/>
      </c>
      <c r="G62" s="236" t="str">
        <f>IF(G$16=1,IF(AND($C62&lt;&gt;"",'Term 3'!$AM62&lt;&gt;""),'Term 3'!$AM62,""),"")</f>
        <v/>
      </c>
      <c r="H62" s="237" t="str">
        <f t="shared" si="0"/>
        <v/>
      </c>
      <c r="I62" s="238" t="str">
        <f>IF(H62="","",_xlfn.XLOOKUP(H62,HELPER!$AG$7:$AG$47,HELPER!$AH$7:$AH$47))</f>
        <v/>
      </c>
      <c r="J62" s="239" t="str">
        <f t="shared" si="1"/>
        <v/>
      </c>
    </row>
    <row r="63" ht="15.6" hidden="1" spans="2:10">
      <c r="B63" s="234">
        <v>47</v>
      </c>
      <c r="C63" s="82" t="str">
        <f>UPPER(IF('INPUT DATA'!N57="","",'INPUT DATA'!N57))</f>
        <v/>
      </c>
      <c r="D63" s="235" t="str">
        <f>UPPER(IF('INPUT DATA'!O57="","",'INPUT DATA'!O57))</f>
        <v/>
      </c>
      <c r="E63" s="236" t="str">
        <f>IF(E$16=1,IF(AND($C63&lt;&gt;"",'Term 1'!$AM63&lt;&gt;""),'Term 1'!$AM63,""),"")</f>
        <v/>
      </c>
      <c r="F63" s="236" t="str">
        <f>IF(F$16=1,IF(AND($C63&lt;&gt;"",'Term 2'!$AM63&lt;&gt;""),'Term 2'!$AM63,""),"")</f>
        <v/>
      </c>
      <c r="G63" s="236" t="str">
        <f>IF(G$16=1,IF(AND($C63&lt;&gt;"",'Term 3'!$AM63&lt;&gt;""),'Term 3'!$AM63,""),"")</f>
        <v/>
      </c>
      <c r="H63" s="237" t="str">
        <f t="shared" si="0"/>
        <v/>
      </c>
      <c r="I63" s="238" t="str">
        <f>IF(H63="","",_xlfn.XLOOKUP(H63,HELPER!$AG$7:$AG$47,HELPER!$AH$7:$AH$47))</f>
        <v/>
      </c>
      <c r="J63" s="239" t="str">
        <f t="shared" si="1"/>
        <v/>
      </c>
    </row>
    <row r="64" ht="15.6" hidden="1" spans="2:10">
      <c r="B64" s="234">
        <v>48</v>
      </c>
      <c r="C64" s="82" t="str">
        <f>UPPER(IF('INPUT DATA'!N58="","",'INPUT DATA'!N58))</f>
        <v/>
      </c>
      <c r="D64" s="235" t="str">
        <f>UPPER(IF('INPUT DATA'!O58="","",'INPUT DATA'!O58))</f>
        <v/>
      </c>
      <c r="E64" s="236" t="str">
        <f>IF(E$16=1,IF(AND($C64&lt;&gt;"",'Term 1'!$AM64&lt;&gt;""),'Term 1'!$AM64,""),"")</f>
        <v/>
      </c>
      <c r="F64" s="236" t="str">
        <f>IF(F$16=1,IF(AND($C64&lt;&gt;"",'Term 2'!$AM64&lt;&gt;""),'Term 2'!$AM64,""),"")</f>
        <v/>
      </c>
      <c r="G64" s="236" t="str">
        <f>IF(G$16=1,IF(AND($C64&lt;&gt;"",'Term 3'!$AM64&lt;&gt;""),'Term 3'!$AM64,""),"")</f>
        <v/>
      </c>
      <c r="H64" s="237" t="str">
        <f t="shared" si="0"/>
        <v/>
      </c>
      <c r="I64" s="238" t="str">
        <f>IF(H64="","",_xlfn.XLOOKUP(H64,HELPER!$AG$7:$AG$47,HELPER!$AH$7:$AH$47))</f>
        <v/>
      </c>
      <c r="J64" s="239" t="str">
        <f t="shared" si="1"/>
        <v/>
      </c>
    </row>
    <row r="65" ht="15.6" hidden="1" spans="2:10">
      <c r="B65" s="234">
        <v>49</v>
      </c>
      <c r="C65" s="82" t="str">
        <f>UPPER(IF('INPUT DATA'!N59="","",'INPUT DATA'!N59))</f>
        <v/>
      </c>
      <c r="D65" s="235" t="str">
        <f>UPPER(IF('INPUT DATA'!O59="","",'INPUT DATA'!O59))</f>
        <v/>
      </c>
      <c r="E65" s="236" t="str">
        <f>IF(E$16=1,IF(AND($C65&lt;&gt;"",'Term 1'!$AM65&lt;&gt;""),'Term 1'!$AM65,""),"")</f>
        <v/>
      </c>
      <c r="F65" s="236" t="str">
        <f>IF(F$16=1,IF(AND($C65&lt;&gt;"",'Term 2'!$AM65&lt;&gt;""),'Term 2'!$AM65,""),"")</f>
        <v/>
      </c>
      <c r="G65" s="236" t="str">
        <f>IF(G$16=1,IF(AND($C65&lt;&gt;"",'Term 3'!$AM65&lt;&gt;""),'Term 3'!$AM65,""),"")</f>
        <v/>
      </c>
      <c r="H65" s="237" t="str">
        <f t="shared" si="0"/>
        <v/>
      </c>
      <c r="I65" s="238" t="str">
        <f>IF(H65="","",_xlfn.XLOOKUP(H65,HELPER!$AG$7:$AG$47,HELPER!$AH$7:$AH$47))</f>
        <v/>
      </c>
      <c r="J65" s="239" t="str">
        <f t="shared" si="1"/>
        <v/>
      </c>
    </row>
    <row r="66" ht="15.6" hidden="1" spans="2:10">
      <c r="B66" s="234">
        <v>50</v>
      </c>
      <c r="C66" s="82" t="str">
        <f>UPPER(IF('INPUT DATA'!N60="","",'INPUT DATA'!N60))</f>
        <v/>
      </c>
      <c r="D66" s="235" t="str">
        <f>UPPER(IF('INPUT DATA'!O60="","",'INPUT DATA'!O60))</f>
        <v/>
      </c>
      <c r="E66" s="236" t="str">
        <f>IF(E$16=1,IF(AND($C66&lt;&gt;"",'Term 1'!$AM66&lt;&gt;""),'Term 1'!$AM66,""),"")</f>
        <v/>
      </c>
      <c r="F66" s="236" t="str">
        <f>IF(F$16=1,IF(AND($C66&lt;&gt;"",'Term 2'!$AM66&lt;&gt;""),'Term 2'!$AM66,""),"")</f>
        <v/>
      </c>
      <c r="G66" s="236" t="str">
        <f>IF(G$16=1,IF(AND($C66&lt;&gt;"",'Term 3'!$AM66&lt;&gt;""),'Term 3'!$AM66,""),"")</f>
        <v/>
      </c>
      <c r="H66" s="237" t="str">
        <f t="shared" si="0"/>
        <v/>
      </c>
      <c r="I66" s="238" t="str">
        <f>IF(H66="","",_xlfn.XLOOKUP(H66,HELPER!$AG$7:$AG$47,HELPER!$AH$7:$AH$47))</f>
        <v/>
      </c>
      <c r="J66" s="239" t="str">
        <f t="shared" si="1"/>
        <v/>
      </c>
    </row>
    <row r="67" ht="15.6" spans="2:10">
      <c r="B67" s="241" t="s">
        <v>203</v>
      </c>
      <c r="C67" s="242"/>
      <c r="D67" s="243"/>
      <c r="E67" s="244"/>
      <c r="F67" s="245"/>
      <c r="G67" s="246"/>
      <c r="H67" s="247"/>
      <c r="I67" s="248"/>
      <c r="J67" s="249"/>
    </row>
    <row r="68" ht="15.6" spans="2:10">
      <c r="B68" s="234">
        <v>1</v>
      </c>
      <c r="C68" s="82" t="str">
        <f>UPPER(IF('INPUT DATA'!R11="","",'INPUT DATA'!R11))</f>
        <v/>
      </c>
      <c r="D68" s="250" t="str">
        <f>UPPER(IF('INPUT DATA'!S11="","",'INPUT DATA'!S11))</f>
        <v/>
      </c>
      <c r="E68" s="236" t="str">
        <f>IF(E$16=1,IF(AND($C68&lt;&gt;"",'Term 1'!$AM68&lt;&gt;""),'Term 1'!$AM68,""),"")</f>
        <v/>
      </c>
      <c r="F68" s="236" t="str">
        <f>IF(F$16=1,IF(AND($C68&lt;&gt;"",'Term 2'!$AM68&lt;&gt;""),'Term 2'!$AM68,""),"")</f>
        <v/>
      </c>
      <c r="G68" s="236" t="str">
        <f>IF(G$16=1,IF(AND($C68&lt;&gt;"",'Term 3'!$AM68&lt;&gt;""),'Term 3'!$AM68,""),"")</f>
        <v/>
      </c>
      <c r="H68" s="237" t="str">
        <f>IF(OR(C68="",COUNT(E68:G68)&lt;&gt;$F$13),"",ROUND((SUM(E68:G68)*$I$13)/$J$13,0))</f>
        <v/>
      </c>
      <c r="I68" s="238" t="str">
        <f>IF(H68="","",_xlfn.XLOOKUP(H68,HELPER!$AG$7:$AG$47,HELPER!$AH$7:$AH$47))</f>
        <v/>
      </c>
      <c r="J68" s="239" t="str">
        <f>IF(H68="","",IF(H68&gt;=75,"PASSED","FAILED"))</f>
        <v/>
      </c>
    </row>
    <row r="69" ht="15.6" spans="2:10">
      <c r="B69" s="234">
        <v>2</v>
      </c>
      <c r="C69" s="82" t="str">
        <f>UPPER(IF('INPUT DATA'!R12="","",'INPUT DATA'!R12))</f>
        <v/>
      </c>
      <c r="D69" s="250" t="str">
        <f>UPPER(IF('INPUT DATA'!S12="","",'INPUT DATA'!S12))</f>
        <v/>
      </c>
      <c r="E69" s="236" t="str">
        <f>IF(E$16=1,IF(AND($C69&lt;&gt;"",'Term 1'!$AM69&lt;&gt;""),'Term 1'!$AM69,""),"")</f>
        <v/>
      </c>
      <c r="F69" s="236" t="str">
        <f>IF(F$16=1,IF(AND($C69&lt;&gt;"",'Term 2'!$AM69&lt;&gt;""),'Term 2'!$AM69,""),"")</f>
        <v/>
      </c>
      <c r="G69" s="236" t="str">
        <f>IF(G$16=1,IF(AND($C69&lt;&gt;"",'Term 3'!$AM69&lt;&gt;""),'Term 3'!$AM69,""),"")</f>
        <v/>
      </c>
      <c r="H69" s="237" t="str">
        <f t="shared" ref="H69:H117" si="2">IF(OR(C69="",COUNT(E69:G69)&lt;&gt;$F$13),"",ROUND((SUM(E69:G69)*$I$13)/$J$13,0))</f>
        <v/>
      </c>
      <c r="I69" s="238" t="str">
        <f>IF(H69="","",_xlfn.XLOOKUP(H69,HELPER!$AG$7:$AG$47,HELPER!$AH$7:$AH$47))</f>
        <v/>
      </c>
      <c r="J69" s="239" t="str">
        <f t="shared" ref="J69:J117" si="3">IF(H69="","",IF(H69&gt;=75,"PASSED","FAILED"))</f>
        <v/>
      </c>
    </row>
    <row r="70" ht="15.6" spans="2:10">
      <c r="B70" s="234">
        <v>3</v>
      </c>
      <c r="C70" s="82" t="str">
        <f>UPPER(IF('INPUT DATA'!R13="","",'INPUT DATA'!R13))</f>
        <v/>
      </c>
      <c r="D70" s="250" t="str">
        <f>UPPER(IF('INPUT DATA'!S13="","",'INPUT DATA'!S13))</f>
        <v/>
      </c>
      <c r="E70" s="236" t="str">
        <f>IF(E$16=1,IF(AND($C70&lt;&gt;"",'Term 1'!$AM70&lt;&gt;""),'Term 1'!$AM70,""),"")</f>
        <v/>
      </c>
      <c r="F70" s="236" t="str">
        <f>IF(F$16=1,IF(AND($C70&lt;&gt;"",'Term 2'!$AM70&lt;&gt;""),'Term 2'!$AM70,""),"")</f>
        <v/>
      </c>
      <c r="G70" s="236" t="str">
        <f>IF(G$16=1,IF(AND($C70&lt;&gt;"",'Term 3'!$AM70&lt;&gt;""),'Term 3'!$AM70,""),"")</f>
        <v/>
      </c>
      <c r="H70" s="237" t="str">
        <f t="shared" si="2"/>
        <v/>
      </c>
      <c r="I70" s="238" t="str">
        <f>IF(H70="","",_xlfn.XLOOKUP(H70,HELPER!$AG$7:$AG$47,HELPER!$AH$7:$AH$47))</f>
        <v/>
      </c>
      <c r="J70" s="239" t="str">
        <f t="shared" si="3"/>
        <v/>
      </c>
    </row>
    <row r="71" ht="15.6" spans="2:10">
      <c r="B71" s="234">
        <v>4</v>
      </c>
      <c r="C71" s="82" t="str">
        <f>UPPER(IF('INPUT DATA'!R14="","",'INPUT DATA'!R14))</f>
        <v/>
      </c>
      <c r="D71" s="250" t="str">
        <f>UPPER(IF('INPUT DATA'!S14="","",'INPUT DATA'!S14))</f>
        <v/>
      </c>
      <c r="E71" s="236" t="str">
        <f>IF(E$16=1,IF(AND($C71&lt;&gt;"",'Term 1'!$AM71&lt;&gt;""),'Term 1'!$AM71,""),"")</f>
        <v/>
      </c>
      <c r="F71" s="236" t="str">
        <f>IF(F$16=1,IF(AND($C71&lt;&gt;"",'Term 2'!$AM71&lt;&gt;""),'Term 2'!$AM71,""),"")</f>
        <v/>
      </c>
      <c r="G71" s="236" t="str">
        <f>IF(G$16=1,IF(AND($C71&lt;&gt;"",'Term 3'!$AM71&lt;&gt;""),'Term 3'!$AM71,""),"")</f>
        <v/>
      </c>
      <c r="H71" s="237" t="str">
        <f t="shared" si="2"/>
        <v/>
      </c>
      <c r="I71" s="238" t="str">
        <f>IF(H71="","",_xlfn.XLOOKUP(H71,HELPER!$AG$7:$AG$47,HELPER!$AH$7:$AH$47))</f>
        <v/>
      </c>
      <c r="J71" s="239" t="str">
        <f t="shared" si="3"/>
        <v/>
      </c>
    </row>
    <row r="72" ht="15.6" spans="2:10">
      <c r="B72" s="234">
        <v>5</v>
      </c>
      <c r="C72" s="82" t="str">
        <f>UPPER(IF('INPUT DATA'!R15="","",'INPUT DATA'!R15))</f>
        <v/>
      </c>
      <c r="D72" s="250" t="str">
        <f>UPPER(IF('INPUT DATA'!S15="","",'INPUT DATA'!S15))</f>
        <v/>
      </c>
      <c r="E72" s="236" t="str">
        <f>IF(E$16=1,IF(AND($C72&lt;&gt;"",'Term 1'!$AM72&lt;&gt;""),'Term 1'!$AM72,""),"")</f>
        <v/>
      </c>
      <c r="F72" s="236" t="str">
        <f>IF(F$16=1,IF(AND($C72&lt;&gt;"",'Term 2'!$AM72&lt;&gt;""),'Term 2'!$AM72,""),"")</f>
        <v/>
      </c>
      <c r="G72" s="236" t="str">
        <f>IF(G$16=1,IF(AND($C72&lt;&gt;"",'Term 3'!$AM72&lt;&gt;""),'Term 3'!$AM72,""),"")</f>
        <v/>
      </c>
      <c r="H72" s="237" t="str">
        <f t="shared" si="2"/>
        <v/>
      </c>
      <c r="I72" s="238" t="str">
        <f>IF(H72="","",_xlfn.XLOOKUP(H72,HELPER!$AG$7:$AG$47,HELPER!$AH$7:$AH$47))</f>
        <v/>
      </c>
      <c r="J72" s="239" t="str">
        <f t="shared" si="3"/>
        <v/>
      </c>
    </row>
    <row r="73" ht="15.6" spans="2:10">
      <c r="B73" s="234">
        <v>6</v>
      </c>
      <c r="C73" s="82" t="str">
        <f>UPPER(IF('INPUT DATA'!R16="","",'INPUT DATA'!R16))</f>
        <v/>
      </c>
      <c r="D73" s="250" t="str">
        <f>UPPER(IF('INPUT DATA'!S16="","",'INPUT DATA'!S16))</f>
        <v/>
      </c>
      <c r="E73" s="236" t="str">
        <f>IF(E$16=1,IF(AND($C73&lt;&gt;"",'Term 1'!$AM73&lt;&gt;""),'Term 1'!$AM73,""),"")</f>
        <v/>
      </c>
      <c r="F73" s="236" t="str">
        <f>IF(F$16=1,IF(AND($C73&lt;&gt;"",'Term 2'!$AM73&lt;&gt;""),'Term 2'!$AM73,""),"")</f>
        <v/>
      </c>
      <c r="G73" s="236" t="str">
        <f>IF(G$16=1,IF(AND($C73&lt;&gt;"",'Term 3'!$AM73&lt;&gt;""),'Term 3'!$AM73,""),"")</f>
        <v/>
      </c>
      <c r="H73" s="237" t="str">
        <f t="shared" si="2"/>
        <v/>
      </c>
      <c r="I73" s="238" t="str">
        <f>IF(H73="","",_xlfn.XLOOKUP(H73,HELPER!$AG$7:$AG$47,HELPER!$AH$7:$AH$47))</f>
        <v/>
      </c>
      <c r="J73" s="239" t="str">
        <f t="shared" si="3"/>
        <v/>
      </c>
    </row>
    <row r="74" ht="15.6" spans="2:10">
      <c r="B74" s="234">
        <v>7</v>
      </c>
      <c r="C74" s="82" t="str">
        <f>UPPER(IF('INPUT DATA'!R17="","",'INPUT DATA'!R17))</f>
        <v/>
      </c>
      <c r="D74" s="250" t="str">
        <f>UPPER(IF('INPUT DATA'!S17="","",'INPUT DATA'!S17))</f>
        <v/>
      </c>
      <c r="E74" s="236" t="str">
        <f>IF(E$16=1,IF(AND($C74&lt;&gt;"",'Term 1'!$AM74&lt;&gt;""),'Term 1'!$AM74,""),"")</f>
        <v/>
      </c>
      <c r="F74" s="236" t="str">
        <f>IF(F$16=1,IF(AND($C74&lt;&gt;"",'Term 2'!$AM74&lt;&gt;""),'Term 2'!$AM74,""),"")</f>
        <v/>
      </c>
      <c r="G74" s="236" t="str">
        <f>IF(G$16=1,IF(AND($C74&lt;&gt;"",'Term 3'!$AM74&lt;&gt;""),'Term 3'!$AM74,""),"")</f>
        <v/>
      </c>
      <c r="H74" s="237" t="str">
        <f t="shared" si="2"/>
        <v/>
      </c>
      <c r="I74" s="238" t="str">
        <f>IF(H74="","",_xlfn.XLOOKUP(H74,HELPER!$AG$7:$AG$47,HELPER!$AH$7:$AH$47))</f>
        <v/>
      </c>
      <c r="J74" s="239" t="str">
        <f t="shared" si="3"/>
        <v/>
      </c>
    </row>
    <row r="75" ht="15.6" spans="2:10">
      <c r="B75" s="234">
        <v>8</v>
      </c>
      <c r="C75" s="82" t="str">
        <f>UPPER(IF('INPUT DATA'!R18="","",'INPUT DATA'!R18))</f>
        <v/>
      </c>
      <c r="D75" s="250" t="str">
        <f>UPPER(IF('INPUT DATA'!S18="","",'INPUT DATA'!S18))</f>
        <v/>
      </c>
      <c r="E75" s="236" t="str">
        <f>IF(E$16=1,IF(AND($C75&lt;&gt;"",'Term 1'!$AM75&lt;&gt;""),'Term 1'!$AM75,""),"")</f>
        <v/>
      </c>
      <c r="F75" s="236" t="str">
        <f>IF(F$16=1,IF(AND($C75&lt;&gt;"",'Term 2'!$AM75&lt;&gt;""),'Term 2'!$AM75,""),"")</f>
        <v/>
      </c>
      <c r="G75" s="236" t="str">
        <f>IF(G$16=1,IF(AND($C75&lt;&gt;"",'Term 3'!$AM75&lt;&gt;""),'Term 3'!$AM75,""),"")</f>
        <v/>
      </c>
      <c r="H75" s="237" t="str">
        <f t="shared" si="2"/>
        <v/>
      </c>
      <c r="I75" s="238" t="str">
        <f>IF(H75="","",_xlfn.XLOOKUP(H75,HELPER!$AG$7:$AG$47,HELPER!$AH$7:$AH$47))</f>
        <v/>
      </c>
      <c r="J75" s="239" t="str">
        <f t="shared" si="3"/>
        <v/>
      </c>
    </row>
    <row r="76" ht="15.6" spans="2:10">
      <c r="B76" s="234">
        <v>9</v>
      </c>
      <c r="C76" s="82" t="str">
        <f>UPPER(IF('INPUT DATA'!R19="","",'INPUT DATA'!R19))</f>
        <v/>
      </c>
      <c r="D76" s="250" t="str">
        <f>UPPER(IF('INPUT DATA'!S19="","",'INPUT DATA'!S19))</f>
        <v/>
      </c>
      <c r="E76" s="236" t="str">
        <f>IF(E$16=1,IF(AND($C76&lt;&gt;"",'Term 1'!$AM76&lt;&gt;""),'Term 1'!$AM76,""),"")</f>
        <v/>
      </c>
      <c r="F76" s="236" t="str">
        <f>IF(F$16=1,IF(AND($C76&lt;&gt;"",'Term 2'!$AM76&lt;&gt;""),'Term 2'!$AM76,""),"")</f>
        <v/>
      </c>
      <c r="G76" s="236" t="str">
        <f>IF(G$16=1,IF(AND($C76&lt;&gt;"",'Term 3'!$AM76&lt;&gt;""),'Term 3'!$AM76,""),"")</f>
        <v/>
      </c>
      <c r="H76" s="237" t="str">
        <f t="shared" si="2"/>
        <v/>
      </c>
      <c r="I76" s="238" t="str">
        <f>IF(H76="","",_xlfn.XLOOKUP(H76,HELPER!$AG$7:$AG$47,HELPER!$AH$7:$AH$47))</f>
        <v/>
      </c>
      <c r="J76" s="239" t="str">
        <f t="shared" si="3"/>
        <v/>
      </c>
    </row>
    <row r="77" ht="15.6" spans="2:10">
      <c r="B77" s="234">
        <v>10</v>
      </c>
      <c r="C77" s="82" t="str">
        <f>UPPER(IF('INPUT DATA'!R20="","",'INPUT DATA'!R20))</f>
        <v/>
      </c>
      <c r="D77" s="250" t="str">
        <f>UPPER(IF('INPUT DATA'!S20="","",'INPUT DATA'!S20))</f>
        <v/>
      </c>
      <c r="E77" s="236" t="str">
        <f>IF(E$16=1,IF(AND($C77&lt;&gt;"",'Term 1'!$AM77&lt;&gt;""),'Term 1'!$AM77,""),"")</f>
        <v/>
      </c>
      <c r="F77" s="236" t="str">
        <f>IF(F$16=1,IF(AND($C77&lt;&gt;"",'Term 2'!$AM77&lt;&gt;""),'Term 2'!$AM77,""),"")</f>
        <v/>
      </c>
      <c r="G77" s="236" t="str">
        <f>IF(G$16=1,IF(AND($C77&lt;&gt;"",'Term 3'!$AM77&lt;&gt;""),'Term 3'!$AM77,""),"")</f>
        <v/>
      </c>
      <c r="H77" s="237" t="str">
        <f t="shared" si="2"/>
        <v/>
      </c>
      <c r="I77" s="238" t="str">
        <f>IF(H77="","",_xlfn.XLOOKUP(H77,HELPER!$AG$7:$AG$47,HELPER!$AH$7:$AH$47))</f>
        <v/>
      </c>
      <c r="J77" s="239" t="str">
        <f t="shared" si="3"/>
        <v/>
      </c>
    </row>
    <row r="78" ht="15.6" spans="2:10">
      <c r="B78" s="234">
        <v>11</v>
      </c>
      <c r="C78" s="82" t="str">
        <f>UPPER(IF('INPUT DATA'!R21="","",'INPUT DATA'!R21))</f>
        <v/>
      </c>
      <c r="D78" s="250" t="str">
        <f>UPPER(IF('INPUT DATA'!S21="","",'INPUT DATA'!S21))</f>
        <v/>
      </c>
      <c r="E78" s="236" t="str">
        <f>IF(E$16=1,IF(AND($C78&lt;&gt;"",'Term 1'!$AM78&lt;&gt;""),'Term 1'!$AM78,""),"")</f>
        <v/>
      </c>
      <c r="F78" s="236" t="str">
        <f>IF(F$16=1,IF(AND($C78&lt;&gt;"",'Term 2'!$AM78&lt;&gt;""),'Term 2'!$AM78,""),"")</f>
        <v/>
      </c>
      <c r="G78" s="236" t="str">
        <f>IF(G$16=1,IF(AND($C78&lt;&gt;"",'Term 3'!$AM78&lt;&gt;""),'Term 3'!$AM78,""),"")</f>
        <v/>
      </c>
      <c r="H78" s="237" t="str">
        <f t="shared" si="2"/>
        <v/>
      </c>
      <c r="I78" s="238" t="str">
        <f>IF(H78="","",_xlfn.XLOOKUP(H78,HELPER!$AG$7:$AG$47,HELPER!$AH$7:$AH$47))</f>
        <v/>
      </c>
      <c r="J78" s="239" t="str">
        <f t="shared" si="3"/>
        <v/>
      </c>
    </row>
    <row r="79" ht="15.6" spans="2:10">
      <c r="B79" s="234">
        <v>12</v>
      </c>
      <c r="C79" s="82" t="str">
        <f>UPPER(IF('INPUT DATA'!R22="","",'INPUT DATA'!R22))</f>
        <v/>
      </c>
      <c r="D79" s="250" t="str">
        <f>UPPER(IF('INPUT DATA'!S22="","",'INPUT DATA'!S22))</f>
        <v/>
      </c>
      <c r="E79" s="236" t="str">
        <f>IF(E$16=1,IF(AND($C79&lt;&gt;"",'Term 1'!$AM79&lt;&gt;""),'Term 1'!$AM79,""),"")</f>
        <v/>
      </c>
      <c r="F79" s="236" t="str">
        <f>IF(F$16=1,IF(AND($C79&lt;&gt;"",'Term 2'!$AM79&lt;&gt;""),'Term 2'!$AM79,""),"")</f>
        <v/>
      </c>
      <c r="G79" s="236" t="str">
        <f>IF(G$16=1,IF(AND($C79&lt;&gt;"",'Term 3'!$AM79&lt;&gt;""),'Term 3'!$AM79,""),"")</f>
        <v/>
      </c>
      <c r="H79" s="237" t="str">
        <f t="shared" si="2"/>
        <v/>
      </c>
      <c r="I79" s="238" t="str">
        <f>IF(H79="","",_xlfn.XLOOKUP(H79,HELPER!$AG$7:$AG$47,HELPER!$AH$7:$AH$47))</f>
        <v/>
      </c>
      <c r="J79" s="239" t="str">
        <f t="shared" si="3"/>
        <v/>
      </c>
    </row>
    <row r="80" ht="15.6" spans="2:10">
      <c r="B80" s="234">
        <v>13</v>
      </c>
      <c r="C80" s="82" t="str">
        <f>UPPER(IF('INPUT DATA'!R23="","",'INPUT DATA'!R23))</f>
        <v/>
      </c>
      <c r="D80" s="250" t="str">
        <f>UPPER(IF('INPUT DATA'!S23="","",'INPUT DATA'!S23))</f>
        <v/>
      </c>
      <c r="E80" s="236" t="str">
        <f>IF(E$16=1,IF(AND($C80&lt;&gt;"",'Term 1'!$AM80&lt;&gt;""),'Term 1'!$AM80,""),"")</f>
        <v/>
      </c>
      <c r="F80" s="236" t="str">
        <f>IF(F$16=1,IF(AND($C80&lt;&gt;"",'Term 2'!$AM80&lt;&gt;""),'Term 2'!$AM80,""),"")</f>
        <v/>
      </c>
      <c r="G80" s="236" t="str">
        <f>IF(G$16=1,IF(AND($C80&lt;&gt;"",'Term 3'!$AM80&lt;&gt;""),'Term 3'!$AM80,""),"")</f>
        <v/>
      </c>
      <c r="H80" s="237" t="str">
        <f t="shared" si="2"/>
        <v/>
      </c>
      <c r="I80" s="238" t="str">
        <f>IF(H80="","",_xlfn.XLOOKUP(H80,HELPER!$AG$7:$AG$47,HELPER!$AH$7:$AH$47))</f>
        <v/>
      </c>
      <c r="J80" s="239" t="str">
        <f t="shared" si="3"/>
        <v/>
      </c>
    </row>
    <row r="81" ht="15.6" spans="2:10">
      <c r="B81" s="234">
        <v>14</v>
      </c>
      <c r="C81" s="82" t="str">
        <f>UPPER(IF('INPUT DATA'!R24="","",'INPUT DATA'!R24))</f>
        <v/>
      </c>
      <c r="D81" s="250" t="str">
        <f>UPPER(IF('INPUT DATA'!S24="","",'INPUT DATA'!S24))</f>
        <v/>
      </c>
      <c r="E81" s="236" t="str">
        <f>IF(E$16=1,IF(AND($C81&lt;&gt;"",'Term 1'!$AM81&lt;&gt;""),'Term 1'!$AM81,""),"")</f>
        <v/>
      </c>
      <c r="F81" s="236" t="str">
        <f>IF(F$16=1,IF(AND($C81&lt;&gt;"",'Term 2'!$AM81&lt;&gt;""),'Term 2'!$AM81,""),"")</f>
        <v/>
      </c>
      <c r="G81" s="236" t="str">
        <f>IF(G$16=1,IF(AND($C81&lt;&gt;"",'Term 3'!$AM81&lt;&gt;""),'Term 3'!$AM81,""),"")</f>
        <v/>
      </c>
      <c r="H81" s="237" t="str">
        <f t="shared" si="2"/>
        <v/>
      </c>
      <c r="I81" s="238" t="str">
        <f>IF(H81="","",_xlfn.XLOOKUP(H81,HELPER!$AG$7:$AG$47,HELPER!$AH$7:$AH$47))</f>
        <v/>
      </c>
      <c r="J81" s="239" t="str">
        <f t="shared" si="3"/>
        <v/>
      </c>
    </row>
    <row r="82" ht="15.6" spans="2:10">
      <c r="B82" s="234">
        <v>15</v>
      </c>
      <c r="C82" s="82" t="str">
        <f>UPPER(IF('INPUT DATA'!R25="","",'INPUT DATA'!R25))</f>
        <v/>
      </c>
      <c r="D82" s="250" t="str">
        <f>UPPER(IF('INPUT DATA'!S25="","",'INPUT DATA'!S25))</f>
        <v/>
      </c>
      <c r="E82" s="236" t="str">
        <f>IF(E$16=1,IF(AND($C82&lt;&gt;"",'Term 1'!$AM82&lt;&gt;""),'Term 1'!$AM82,""),"")</f>
        <v/>
      </c>
      <c r="F82" s="236" t="str">
        <f>IF(F$16=1,IF(AND($C82&lt;&gt;"",'Term 2'!$AM82&lt;&gt;""),'Term 2'!$AM82,""),"")</f>
        <v/>
      </c>
      <c r="G82" s="236" t="str">
        <f>IF(G$16=1,IF(AND($C82&lt;&gt;"",'Term 3'!$AM82&lt;&gt;""),'Term 3'!$AM82,""),"")</f>
        <v/>
      </c>
      <c r="H82" s="237" t="str">
        <f t="shared" si="2"/>
        <v/>
      </c>
      <c r="I82" s="238" t="str">
        <f>IF(H82="","",_xlfn.XLOOKUP(H82,HELPER!$AG$7:$AG$47,HELPER!$AH$7:$AH$47))</f>
        <v/>
      </c>
      <c r="J82" s="239" t="str">
        <f t="shared" si="3"/>
        <v/>
      </c>
    </row>
    <row r="83" ht="15.6" hidden="1" spans="2:10">
      <c r="B83" s="234">
        <v>16</v>
      </c>
      <c r="C83" s="82" t="str">
        <f>UPPER(IF('INPUT DATA'!R26="","",'INPUT DATA'!R26))</f>
        <v/>
      </c>
      <c r="D83" s="250" t="str">
        <f>UPPER(IF('INPUT DATA'!S26="","",'INPUT DATA'!S26))</f>
        <v/>
      </c>
      <c r="E83" s="236" t="str">
        <f>IF(E$16=1,IF(AND($C83&lt;&gt;"",'Term 1'!$AM83&lt;&gt;""),'Term 1'!$AM83,""),"")</f>
        <v/>
      </c>
      <c r="F83" s="236" t="str">
        <f>IF(F$16=1,IF(AND($C83&lt;&gt;"",'Term 2'!$AM83&lt;&gt;""),'Term 2'!$AM83,""),"")</f>
        <v/>
      </c>
      <c r="G83" s="236" t="str">
        <f>IF(G$16=1,IF(AND($C83&lt;&gt;"",'Term 3'!$AM83&lt;&gt;""),'Term 3'!$AM83,""),"")</f>
        <v/>
      </c>
      <c r="H83" s="237" t="str">
        <f t="shared" si="2"/>
        <v/>
      </c>
      <c r="I83" s="238" t="str">
        <f>IF(H83="","",_xlfn.XLOOKUP(H83,HELPER!$AG$7:$AG$47,HELPER!$AH$7:$AH$47))</f>
        <v/>
      </c>
      <c r="J83" s="239" t="str">
        <f t="shared" si="3"/>
        <v/>
      </c>
    </row>
    <row r="84" ht="15.6" hidden="1" spans="2:10">
      <c r="B84" s="234">
        <v>17</v>
      </c>
      <c r="C84" s="82" t="str">
        <f>UPPER(IF('INPUT DATA'!R27="","",'INPUT DATA'!R27))</f>
        <v/>
      </c>
      <c r="D84" s="250" t="str">
        <f>UPPER(IF('INPUT DATA'!S27="","",'INPUT DATA'!S27))</f>
        <v/>
      </c>
      <c r="E84" s="236" t="str">
        <f>IF(E$16=1,IF(AND($C84&lt;&gt;"",'Term 1'!$AM84&lt;&gt;""),'Term 1'!$AM84,""),"")</f>
        <v/>
      </c>
      <c r="F84" s="236" t="str">
        <f>IF(F$16=1,IF(AND($C84&lt;&gt;"",'Term 2'!$AM84&lt;&gt;""),'Term 2'!$AM84,""),"")</f>
        <v/>
      </c>
      <c r="G84" s="236" t="str">
        <f>IF(G$16=1,IF(AND($C84&lt;&gt;"",'Term 3'!$AM84&lt;&gt;""),'Term 3'!$AM84,""),"")</f>
        <v/>
      </c>
      <c r="H84" s="237" t="str">
        <f t="shared" si="2"/>
        <v/>
      </c>
      <c r="I84" s="238" t="str">
        <f>IF(H84="","",_xlfn.XLOOKUP(H84,HELPER!$AG$7:$AG$47,HELPER!$AH$7:$AH$47))</f>
        <v/>
      </c>
      <c r="J84" s="239" t="str">
        <f t="shared" si="3"/>
        <v/>
      </c>
    </row>
    <row r="85" ht="15.6" hidden="1" spans="2:10">
      <c r="B85" s="234">
        <v>18</v>
      </c>
      <c r="C85" s="82" t="str">
        <f>UPPER(IF('INPUT DATA'!R28="","",'INPUT DATA'!R28))</f>
        <v/>
      </c>
      <c r="D85" s="250" t="str">
        <f>UPPER(IF('INPUT DATA'!S28="","",'INPUT DATA'!S28))</f>
        <v/>
      </c>
      <c r="E85" s="236" t="str">
        <f>IF(E$16=1,IF(AND($C85&lt;&gt;"",'Term 1'!$AM85&lt;&gt;""),'Term 1'!$AM85,""),"")</f>
        <v/>
      </c>
      <c r="F85" s="236" t="str">
        <f>IF(F$16=1,IF(AND($C85&lt;&gt;"",'Term 2'!$AM85&lt;&gt;""),'Term 2'!$AM85,""),"")</f>
        <v/>
      </c>
      <c r="G85" s="236" t="str">
        <f>IF(G$16=1,IF(AND($C85&lt;&gt;"",'Term 3'!$AM85&lt;&gt;""),'Term 3'!$AM85,""),"")</f>
        <v/>
      </c>
      <c r="H85" s="237" t="str">
        <f t="shared" si="2"/>
        <v/>
      </c>
      <c r="I85" s="238" t="str">
        <f>IF(H85="","",_xlfn.XLOOKUP(H85,HELPER!$AG$7:$AG$47,HELPER!$AH$7:$AH$47))</f>
        <v/>
      </c>
      <c r="J85" s="239" t="str">
        <f t="shared" si="3"/>
        <v/>
      </c>
    </row>
    <row r="86" ht="15.6" hidden="1" spans="2:10">
      <c r="B86" s="234">
        <v>19</v>
      </c>
      <c r="C86" s="82" t="str">
        <f>UPPER(IF('INPUT DATA'!R29="","",'INPUT DATA'!R29))</f>
        <v/>
      </c>
      <c r="D86" s="250" t="str">
        <f>UPPER(IF('INPUT DATA'!S29="","",'INPUT DATA'!S29))</f>
        <v/>
      </c>
      <c r="E86" s="236" t="str">
        <f>IF(E$16=1,IF(AND($C86&lt;&gt;"",'Term 1'!$AM86&lt;&gt;""),'Term 1'!$AM86,""),"")</f>
        <v/>
      </c>
      <c r="F86" s="236" t="str">
        <f>IF(F$16=1,IF(AND($C86&lt;&gt;"",'Term 2'!$AM86&lt;&gt;""),'Term 2'!$AM86,""),"")</f>
        <v/>
      </c>
      <c r="G86" s="236" t="str">
        <f>IF(G$16=1,IF(AND($C86&lt;&gt;"",'Term 3'!$AM86&lt;&gt;""),'Term 3'!$AM86,""),"")</f>
        <v/>
      </c>
      <c r="H86" s="237" t="str">
        <f t="shared" si="2"/>
        <v/>
      </c>
      <c r="I86" s="238" t="str">
        <f>IF(H86="","",_xlfn.XLOOKUP(H86,HELPER!$AG$7:$AG$47,HELPER!$AH$7:$AH$47))</f>
        <v/>
      </c>
      <c r="J86" s="239" t="str">
        <f t="shared" si="3"/>
        <v/>
      </c>
    </row>
    <row r="87" ht="15.6" hidden="1" spans="2:10">
      <c r="B87" s="234">
        <v>20</v>
      </c>
      <c r="C87" s="82" t="str">
        <f>UPPER(IF('INPUT DATA'!R30="","",'INPUT DATA'!R30))</f>
        <v/>
      </c>
      <c r="D87" s="250" t="str">
        <f>UPPER(IF('INPUT DATA'!S30="","",'INPUT DATA'!S30))</f>
        <v/>
      </c>
      <c r="E87" s="236" t="str">
        <f>IF(E$16=1,IF(AND($C87&lt;&gt;"",'Term 1'!$AM87&lt;&gt;""),'Term 1'!$AM87,""),"")</f>
        <v/>
      </c>
      <c r="F87" s="236" t="str">
        <f>IF(F$16=1,IF(AND($C87&lt;&gt;"",'Term 2'!$AM87&lt;&gt;""),'Term 2'!$AM87,""),"")</f>
        <v/>
      </c>
      <c r="G87" s="236" t="str">
        <f>IF(G$16=1,IF(AND($C87&lt;&gt;"",'Term 3'!$AM87&lt;&gt;""),'Term 3'!$AM87,""),"")</f>
        <v/>
      </c>
      <c r="H87" s="237" t="str">
        <f t="shared" si="2"/>
        <v/>
      </c>
      <c r="I87" s="238" t="str">
        <f>IF(H87="","",_xlfn.XLOOKUP(H87,HELPER!$AG$7:$AG$47,HELPER!$AH$7:$AH$47))</f>
        <v/>
      </c>
      <c r="J87" s="239" t="str">
        <f t="shared" si="3"/>
        <v/>
      </c>
    </row>
    <row r="88" ht="15.6" hidden="1" spans="2:10">
      <c r="B88" s="234">
        <v>21</v>
      </c>
      <c r="C88" s="82" t="str">
        <f>UPPER(IF('INPUT DATA'!R31="","",'INPUT DATA'!R31))</f>
        <v/>
      </c>
      <c r="D88" s="250" t="str">
        <f>UPPER(IF('INPUT DATA'!S31="","",'INPUT DATA'!S31))</f>
        <v/>
      </c>
      <c r="E88" s="236" t="str">
        <f>IF(E$16=1,IF(AND($C88&lt;&gt;"",'Term 1'!$AM88&lt;&gt;""),'Term 1'!$AM88,""),"")</f>
        <v/>
      </c>
      <c r="F88" s="236" t="str">
        <f>IF(F$16=1,IF(AND($C88&lt;&gt;"",'Term 2'!$AM88&lt;&gt;""),'Term 2'!$AM88,""),"")</f>
        <v/>
      </c>
      <c r="G88" s="236" t="str">
        <f>IF(G$16=1,IF(AND($C88&lt;&gt;"",'Term 3'!$AM88&lt;&gt;""),'Term 3'!$AM88,""),"")</f>
        <v/>
      </c>
      <c r="H88" s="237" t="str">
        <f t="shared" si="2"/>
        <v/>
      </c>
      <c r="I88" s="238" t="str">
        <f>IF(H88="","",_xlfn.XLOOKUP(H88,HELPER!$AG$7:$AG$47,HELPER!$AH$7:$AH$47))</f>
        <v/>
      </c>
      <c r="J88" s="239" t="str">
        <f t="shared" si="3"/>
        <v/>
      </c>
    </row>
    <row r="89" ht="15.6" hidden="1" spans="2:10">
      <c r="B89" s="234">
        <v>22</v>
      </c>
      <c r="C89" s="82" t="str">
        <f>UPPER(IF('INPUT DATA'!R32="","",'INPUT DATA'!R32))</f>
        <v/>
      </c>
      <c r="D89" s="250" t="str">
        <f>UPPER(IF('INPUT DATA'!S32="","",'INPUT DATA'!S32))</f>
        <v/>
      </c>
      <c r="E89" s="236" t="str">
        <f>IF(E$16=1,IF(AND($C89&lt;&gt;"",'Term 1'!$AM89&lt;&gt;""),'Term 1'!$AM89,""),"")</f>
        <v/>
      </c>
      <c r="F89" s="236" t="str">
        <f>IF(F$16=1,IF(AND($C89&lt;&gt;"",'Term 2'!$AM89&lt;&gt;""),'Term 2'!$AM89,""),"")</f>
        <v/>
      </c>
      <c r="G89" s="236" t="str">
        <f>IF(G$16=1,IF(AND($C89&lt;&gt;"",'Term 3'!$AM89&lt;&gt;""),'Term 3'!$AM89,""),"")</f>
        <v/>
      </c>
      <c r="H89" s="237" t="str">
        <f t="shared" si="2"/>
        <v/>
      </c>
      <c r="I89" s="238" t="str">
        <f>IF(H89="","",_xlfn.XLOOKUP(H89,HELPER!$AG$7:$AG$47,HELPER!$AH$7:$AH$47))</f>
        <v/>
      </c>
      <c r="J89" s="239" t="str">
        <f t="shared" si="3"/>
        <v/>
      </c>
    </row>
    <row r="90" ht="15.6" hidden="1" spans="2:10">
      <c r="B90" s="234">
        <v>23</v>
      </c>
      <c r="C90" s="82" t="str">
        <f>UPPER(IF('INPUT DATA'!R33="","",'INPUT DATA'!R33))</f>
        <v/>
      </c>
      <c r="D90" s="250" t="str">
        <f>UPPER(IF('INPUT DATA'!S33="","",'INPUT DATA'!S33))</f>
        <v/>
      </c>
      <c r="E90" s="236" t="str">
        <f>IF(E$16=1,IF(AND($C90&lt;&gt;"",'Term 1'!$AM90&lt;&gt;""),'Term 1'!$AM90,""),"")</f>
        <v/>
      </c>
      <c r="F90" s="236" t="str">
        <f>IF(F$16=1,IF(AND($C90&lt;&gt;"",'Term 2'!$AM90&lt;&gt;""),'Term 2'!$AM90,""),"")</f>
        <v/>
      </c>
      <c r="G90" s="236" t="str">
        <f>IF(G$16=1,IF(AND($C90&lt;&gt;"",'Term 3'!$AM90&lt;&gt;""),'Term 3'!$AM90,""),"")</f>
        <v/>
      </c>
      <c r="H90" s="237" t="str">
        <f t="shared" si="2"/>
        <v/>
      </c>
      <c r="I90" s="238" t="str">
        <f>IF(H90="","",_xlfn.XLOOKUP(H90,HELPER!$AG$7:$AG$47,HELPER!$AH$7:$AH$47))</f>
        <v/>
      </c>
      <c r="J90" s="239" t="str">
        <f t="shared" si="3"/>
        <v/>
      </c>
    </row>
    <row r="91" ht="15.6" hidden="1" spans="2:10">
      <c r="B91" s="234">
        <v>24</v>
      </c>
      <c r="C91" s="82" t="str">
        <f>UPPER(IF('INPUT DATA'!R34="","",'INPUT DATA'!R34))</f>
        <v/>
      </c>
      <c r="D91" s="250" t="str">
        <f>UPPER(IF('INPUT DATA'!S34="","",'INPUT DATA'!S34))</f>
        <v/>
      </c>
      <c r="E91" s="236" t="str">
        <f>IF(E$16=1,IF(AND($C91&lt;&gt;"",'Term 1'!$AM91&lt;&gt;""),'Term 1'!$AM91,""),"")</f>
        <v/>
      </c>
      <c r="F91" s="236" t="str">
        <f>IF(F$16=1,IF(AND($C91&lt;&gt;"",'Term 2'!$AM91&lt;&gt;""),'Term 2'!$AM91,""),"")</f>
        <v/>
      </c>
      <c r="G91" s="236" t="str">
        <f>IF(G$16=1,IF(AND($C91&lt;&gt;"",'Term 3'!$AM91&lt;&gt;""),'Term 3'!$AM91,""),"")</f>
        <v/>
      </c>
      <c r="H91" s="237" t="str">
        <f t="shared" si="2"/>
        <v/>
      </c>
      <c r="I91" s="238" t="str">
        <f>IF(H91="","",_xlfn.XLOOKUP(H91,HELPER!$AG$7:$AG$47,HELPER!$AH$7:$AH$47))</f>
        <v/>
      </c>
      <c r="J91" s="239" t="str">
        <f t="shared" si="3"/>
        <v/>
      </c>
    </row>
    <row r="92" ht="15.6" hidden="1" spans="2:10">
      <c r="B92" s="234">
        <v>25</v>
      </c>
      <c r="C92" s="82" t="str">
        <f>UPPER(IF('INPUT DATA'!R35="","",'INPUT DATA'!R35))</f>
        <v/>
      </c>
      <c r="D92" s="250" t="str">
        <f>UPPER(IF('INPUT DATA'!S35="","",'INPUT DATA'!S35))</f>
        <v/>
      </c>
      <c r="E92" s="236" t="str">
        <f>IF(E$16=1,IF(AND($C92&lt;&gt;"",'Term 1'!$AM92&lt;&gt;""),'Term 1'!$AM92,""),"")</f>
        <v/>
      </c>
      <c r="F92" s="236" t="str">
        <f>IF(F$16=1,IF(AND($C92&lt;&gt;"",'Term 2'!$AM92&lt;&gt;""),'Term 2'!$AM92,""),"")</f>
        <v/>
      </c>
      <c r="G92" s="236" t="str">
        <f>IF(G$16=1,IF(AND($C92&lt;&gt;"",'Term 3'!$AM92&lt;&gt;""),'Term 3'!$AM92,""),"")</f>
        <v/>
      </c>
      <c r="H92" s="237" t="str">
        <f t="shared" si="2"/>
        <v/>
      </c>
      <c r="I92" s="238" t="str">
        <f>IF(H92="","",_xlfn.XLOOKUP(H92,HELPER!$AG$7:$AG$47,HELPER!$AH$7:$AH$47))</f>
        <v/>
      </c>
      <c r="J92" s="239" t="str">
        <f t="shared" si="3"/>
        <v/>
      </c>
    </row>
    <row r="93" ht="15.6" hidden="1" spans="2:10">
      <c r="B93" s="234">
        <v>26</v>
      </c>
      <c r="C93" s="82" t="str">
        <f>UPPER(IF('INPUT DATA'!R36="","",'INPUT DATA'!R36))</f>
        <v/>
      </c>
      <c r="D93" s="250" t="str">
        <f>UPPER(IF('INPUT DATA'!S36="","",'INPUT DATA'!S36))</f>
        <v/>
      </c>
      <c r="E93" s="236" t="str">
        <f>IF(E$16=1,IF(AND($C93&lt;&gt;"",'Term 1'!$AM93&lt;&gt;""),'Term 1'!$AM93,""),"")</f>
        <v/>
      </c>
      <c r="F93" s="236" t="str">
        <f>IF(F$16=1,IF(AND($C93&lt;&gt;"",'Term 2'!$AM93&lt;&gt;""),'Term 2'!$AM93,""),"")</f>
        <v/>
      </c>
      <c r="G93" s="236" t="str">
        <f>IF(G$16=1,IF(AND($C93&lt;&gt;"",'Term 3'!$AM93&lt;&gt;""),'Term 3'!$AM93,""),"")</f>
        <v/>
      </c>
      <c r="H93" s="237" t="str">
        <f t="shared" si="2"/>
        <v/>
      </c>
      <c r="I93" s="238" t="str">
        <f>IF(H93="","",_xlfn.XLOOKUP(H93,HELPER!$AG$7:$AG$47,HELPER!$AH$7:$AH$47))</f>
        <v/>
      </c>
      <c r="J93" s="239" t="str">
        <f t="shared" si="3"/>
        <v/>
      </c>
    </row>
    <row r="94" ht="15.6" hidden="1" spans="2:10">
      <c r="B94" s="234">
        <v>27</v>
      </c>
      <c r="C94" s="82" t="str">
        <f>UPPER(IF('INPUT DATA'!R37="","",'INPUT DATA'!R37))</f>
        <v/>
      </c>
      <c r="D94" s="250" t="str">
        <f>UPPER(IF('INPUT DATA'!S37="","",'INPUT DATA'!S37))</f>
        <v/>
      </c>
      <c r="E94" s="236" t="str">
        <f>IF(E$16=1,IF(AND($C94&lt;&gt;"",'Term 1'!$AM94&lt;&gt;""),'Term 1'!$AM94,""),"")</f>
        <v/>
      </c>
      <c r="F94" s="236" t="str">
        <f>IF(F$16=1,IF(AND($C94&lt;&gt;"",'Term 2'!$AM94&lt;&gt;""),'Term 2'!$AM94,""),"")</f>
        <v/>
      </c>
      <c r="G94" s="236" t="str">
        <f>IF(G$16=1,IF(AND($C94&lt;&gt;"",'Term 3'!$AM94&lt;&gt;""),'Term 3'!$AM94,""),"")</f>
        <v/>
      </c>
      <c r="H94" s="237" t="str">
        <f t="shared" si="2"/>
        <v/>
      </c>
      <c r="I94" s="238" t="str">
        <f>IF(H94="","",_xlfn.XLOOKUP(H94,HELPER!$AG$7:$AG$47,HELPER!$AH$7:$AH$47))</f>
        <v/>
      </c>
      <c r="J94" s="239" t="str">
        <f t="shared" si="3"/>
        <v/>
      </c>
    </row>
    <row r="95" ht="15.6" hidden="1" spans="2:10">
      <c r="B95" s="234">
        <v>28</v>
      </c>
      <c r="C95" s="82" t="str">
        <f>UPPER(IF('INPUT DATA'!R38="","",'INPUT DATA'!R38))</f>
        <v/>
      </c>
      <c r="D95" s="250" t="str">
        <f>UPPER(IF('INPUT DATA'!S38="","",'INPUT DATA'!S38))</f>
        <v/>
      </c>
      <c r="E95" s="236" t="str">
        <f>IF(E$16=1,IF(AND($C95&lt;&gt;"",'Term 1'!$AM95&lt;&gt;""),'Term 1'!$AM95,""),"")</f>
        <v/>
      </c>
      <c r="F95" s="236" t="str">
        <f>IF(F$16=1,IF(AND($C95&lt;&gt;"",'Term 2'!$AM95&lt;&gt;""),'Term 2'!$AM95,""),"")</f>
        <v/>
      </c>
      <c r="G95" s="236" t="str">
        <f>IF(G$16=1,IF(AND($C95&lt;&gt;"",'Term 3'!$AM95&lt;&gt;""),'Term 3'!$AM95,""),"")</f>
        <v/>
      </c>
      <c r="H95" s="237" t="str">
        <f t="shared" si="2"/>
        <v/>
      </c>
      <c r="I95" s="238" t="str">
        <f>IF(H95="","",_xlfn.XLOOKUP(H95,HELPER!$AG$7:$AG$47,HELPER!$AH$7:$AH$47))</f>
        <v/>
      </c>
      <c r="J95" s="239" t="str">
        <f t="shared" si="3"/>
        <v/>
      </c>
    </row>
    <row r="96" ht="15.6" hidden="1" spans="2:10">
      <c r="B96" s="234">
        <v>29</v>
      </c>
      <c r="C96" s="82" t="str">
        <f>UPPER(IF('INPUT DATA'!R39="","",'INPUT DATA'!R39))</f>
        <v/>
      </c>
      <c r="D96" s="250" t="str">
        <f>UPPER(IF('INPUT DATA'!S39="","",'INPUT DATA'!S39))</f>
        <v/>
      </c>
      <c r="E96" s="236" t="str">
        <f>IF(E$16=1,IF(AND($C96&lt;&gt;"",'Term 1'!$AM96&lt;&gt;""),'Term 1'!$AM96,""),"")</f>
        <v/>
      </c>
      <c r="F96" s="236" t="str">
        <f>IF(F$16=1,IF(AND($C96&lt;&gt;"",'Term 2'!$AM96&lt;&gt;""),'Term 2'!$AM96,""),"")</f>
        <v/>
      </c>
      <c r="G96" s="236" t="str">
        <f>IF(G$16=1,IF(AND($C96&lt;&gt;"",'Term 3'!$AM96&lt;&gt;""),'Term 3'!$AM96,""),"")</f>
        <v/>
      </c>
      <c r="H96" s="237" t="str">
        <f t="shared" si="2"/>
        <v/>
      </c>
      <c r="I96" s="238" t="str">
        <f>IF(H96="","",_xlfn.XLOOKUP(H96,HELPER!$AG$7:$AG$47,HELPER!$AH$7:$AH$47))</f>
        <v/>
      </c>
      <c r="J96" s="239" t="str">
        <f t="shared" si="3"/>
        <v/>
      </c>
    </row>
    <row r="97" ht="15.6" hidden="1" spans="2:10">
      <c r="B97" s="234">
        <v>30</v>
      </c>
      <c r="C97" s="82" t="str">
        <f>UPPER(IF('INPUT DATA'!R40="","",'INPUT DATA'!R40))</f>
        <v/>
      </c>
      <c r="D97" s="250" t="str">
        <f>UPPER(IF('INPUT DATA'!S40="","",'INPUT DATA'!S40))</f>
        <v/>
      </c>
      <c r="E97" s="236" t="str">
        <f>IF(E$16=1,IF(AND($C97&lt;&gt;"",'Term 1'!$AM97&lt;&gt;""),'Term 1'!$AM97,""),"")</f>
        <v/>
      </c>
      <c r="F97" s="236" t="str">
        <f>IF(F$16=1,IF(AND($C97&lt;&gt;"",'Term 2'!$AM97&lt;&gt;""),'Term 2'!$AM97,""),"")</f>
        <v/>
      </c>
      <c r="G97" s="236" t="str">
        <f>IF(G$16=1,IF(AND($C97&lt;&gt;"",'Term 3'!$AM97&lt;&gt;""),'Term 3'!$AM97,""),"")</f>
        <v/>
      </c>
      <c r="H97" s="237" t="str">
        <f t="shared" si="2"/>
        <v/>
      </c>
      <c r="I97" s="238" t="str">
        <f>IF(H97="","",_xlfn.XLOOKUP(H97,HELPER!$AG$7:$AG$47,HELPER!$AH$7:$AH$47))</f>
        <v/>
      </c>
      <c r="J97" s="239" t="str">
        <f t="shared" si="3"/>
        <v/>
      </c>
    </row>
    <row r="98" ht="15.6" hidden="1" spans="2:10">
      <c r="B98" s="234">
        <v>31</v>
      </c>
      <c r="C98" s="82" t="str">
        <f>UPPER(IF('INPUT DATA'!R41="","",'INPUT DATA'!R41))</f>
        <v/>
      </c>
      <c r="D98" s="250" t="str">
        <f>UPPER(IF('INPUT DATA'!S41="","",'INPUT DATA'!S41))</f>
        <v/>
      </c>
      <c r="E98" s="236" t="str">
        <f>IF(E$16=1,IF(AND($C98&lt;&gt;"",'Term 1'!$AM98&lt;&gt;""),'Term 1'!$AM98,""),"")</f>
        <v/>
      </c>
      <c r="F98" s="236" t="str">
        <f>IF(F$16=1,IF(AND($C98&lt;&gt;"",'Term 2'!$AM98&lt;&gt;""),'Term 2'!$AM98,""),"")</f>
        <v/>
      </c>
      <c r="G98" s="236" t="str">
        <f>IF(G$16=1,IF(AND($C98&lt;&gt;"",'Term 3'!$AM98&lt;&gt;""),'Term 3'!$AM98,""),"")</f>
        <v/>
      </c>
      <c r="H98" s="237" t="str">
        <f t="shared" si="2"/>
        <v/>
      </c>
      <c r="I98" s="238" t="str">
        <f>IF(H98="","",_xlfn.XLOOKUP(H98,HELPER!$AG$7:$AG$47,HELPER!$AH$7:$AH$47))</f>
        <v/>
      </c>
      <c r="J98" s="239" t="str">
        <f t="shared" si="3"/>
        <v/>
      </c>
    </row>
    <row r="99" ht="15.6" hidden="1" spans="2:10">
      <c r="B99" s="234">
        <v>32</v>
      </c>
      <c r="C99" s="82" t="str">
        <f>UPPER(IF('INPUT DATA'!R42="","",'INPUT DATA'!R42))</f>
        <v/>
      </c>
      <c r="D99" s="250" t="str">
        <f>UPPER(IF('INPUT DATA'!S42="","",'INPUT DATA'!S42))</f>
        <v/>
      </c>
      <c r="E99" s="236" t="str">
        <f>IF(E$16=1,IF(AND($C99&lt;&gt;"",'Term 1'!$AM99&lt;&gt;""),'Term 1'!$AM99,""),"")</f>
        <v/>
      </c>
      <c r="F99" s="236" t="str">
        <f>IF(F$16=1,IF(AND($C99&lt;&gt;"",'Term 2'!$AM99&lt;&gt;""),'Term 2'!$AM99,""),"")</f>
        <v/>
      </c>
      <c r="G99" s="236" t="str">
        <f>IF(G$16=1,IF(AND($C99&lt;&gt;"",'Term 3'!$AM99&lt;&gt;""),'Term 3'!$AM99,""),"")</f>
        <v/>
      </c>
      <c r="H99" s="237" t="str">
        <f t="shared" si="2"/>
        <v/>
      </c>
      <c r="I99" s="238" t="str">
        <f>IF(H99="","",_xlfn.XLOOKUP(H99,HELPER!$AG$7:$AG$47,HELPER!$AH$7:$AH$47))</f>
        <v/>
      </c>
      <c r="J99" s="239" t="str">
        <f t="shared" si="3"/>
        <v/>
      </c>
    </row>
    <row r="100" ht="15.6" hidden="1" spans="2:10">
      <c r="B100" s="234">
        <v>33</v>
      </c>
      <c r="C100" s="82" t="str">
        <f>UPPER(IF('INPUT DATA'!R43="","",'INPUT DATA'!R43))</f>
        <v/>
      </c>
      <c r="D100" s="250" t="str">
        <f>UPPER(IF('INPUT DATA'!S43="","",'INPUT DATA'!S43))</f>
        <v/>
      </c>
      <c r="E100" s="236" t="str">
        <f>IF(E$16=1,IF(AND($C100&lt;&gt;"",'Term 1'!$AM100&lt;&gt;""),'Term 1'!$AM100,""),"")</f>
        <v/>
      </c>
      <c r="F100" s="236" t="str">
        <f>IF(F$16=1,IF(AND($C100&lt;&gt;"",'Term 2'!$AM100&lt;&gt;""),'Term 2'!$AM100,""),"")</f>
        <v/>
      </c>
      <c r="G100" s="236" t="str">
        <f>IF(G$16=1,IF(AND($C100&lt;&gt;"",'Term 3'!$AM100&lt;&gt;""),'Term 3'!$AM100,""),"")</f>
        <v/>
      </c>
      <c r="H100" s="237" t="str">
        <f t="shared" si="2"/>
        <v/>
      </c>
      <c r="I100" s="238" t="str">
        <f>IF(H100="","",_xlfn.XLOOKUP(H100,HELPER!$AG$7:$AG$47,HELPER!$AH$7:$AH$47))</f>
        <v/>
      </c>
      <c r="J100" s="239" t="str">
        <f t="shared" si="3"/>
        <v/>
      </c>
    </row>
    <row r="101" ht="15.6" hidden="1" spans="2:10">
      <c r="B101" s="234">
        <v>34</v>
      </c>
      <c r="C101" s="82" t="str">
        <f>UPPER(IF('INPUT DATA'!R44="","",'INPUT DATA'!R44))</f>
        <v/>
      </c>
      <c r="D101" s="250" t="str">
        <f>UPPER(IF('INPUT DATA'!S44="","",'INPUT DATA'!S44))</f>
        <v/>
      </c>
      <c r="E101" s="236" t="str">
        <f>IF(E$16=1,IF(AND($C101&lt;&gt;"",'Term 1'!$AM101&lt;&gt;""),'Term 1'!$AM101,""),"")</f>
        <v/>
      </c>
      <c r="F101" s="236" t="str">
        <f>IF(F$16=1,IF(AND($C101&lt;&gt;"",'Term 2'!$AM101&lt;&gt;""),'Term 2'!$AM101,""),"")</f>
        <v/>
      </c>
      <c r="G101" s="236" t="str">
        <f>IF(G$16=1,IF(AND($C101&lt;&gt;"",'Term 3'!$AM101&lt;&gt;""),'Term 3'!$AM101,""),"")</f>
        <v/>
      </c>
      <c r="H101" s="237" t="str">
        <f t="shared" si="2"/>
        <v/>
      </c>
      <c r="I101" s="238" t="str">
        <f>IF(H101="","",_xlfn.XLOOKUP(H101,HELPER!$AG$7:$AG$47,HELPER!$AH$7:$AH$47))</f>
        <v/>
      </c>
      <c r="J101" s="239" t="str">
        <f t="shared" si="3"/>
        <v/>
      </c>
    </row>
    <row r="102" ht="15.6" hidden="1" spans="2:10">
      <c r="B102" s="234">
        <v>35</v>
      </c>
      <c r="C102" s="82" t="str">
        <f>UPPER(IF('INPUT DATA'!R45="","",'INPUT DATA'!R45))</f>
        <v/>
      </c>
      <c r="D102" s="250" t="str">
        <f>UPPER(IF('INPUT DATA'!S45="","",'INPUT DATA'!S45))</f>
        <v/>
      </c>
      <c r="E102" s="236" t="str">
        <f>IF(E$16=1,IF(AND($C102&lt;&gt;"",'Term 1'!$AM102&lt;&gt;""),'Term 1'!$AM102,""),"")</f>
        <v/>
      </c>
      <c r="F102" s="236" t="str">
        <f>IF(F$16=1,IF(AND($C102&lt;&gt;"",'Term 2'!$AM102&lt;&gt;""),'Term 2'!$AM102,""),"")</f>
        <v/>
      </c>
      <c r="G102" s="236" t="str">
        <f>IF(G$16=1,IF(AND($C102&lt;&gt;"",'Term 3'!$AM102&lt;&gt;""),'Term 3'!$AM102,""),"")</f>
        <v/>
      </c>
      <c r="H102" s="237" t="str">
        <f t="shared" si="2"/>
        <v/>
      </c>
      <c r="I102" s="238" t="str">
        <f>IF(H102="","",_xlfn.XLOOKUP(H102,HELPER!$AG$7:$AG$47,HELPER!$AH$7:$AH$47))</f>
        <v/>
      </c>
      <c r="J102" s="239" t="str">
        <f t="shared" si="3"/>
        <v/>
      </c>
    </row>
    <row r="103" ht="15.6" hidden="1" spans="2:10">
      <c r="B103" s="234">
        <v>36</v>
      </c>
      <c r="C103" s="82" t="str">
        <f>UPPER(IF('INPUT DATA'!R46="","",'INPUT DATA'!R46))</f>
        <v/>
      </c>
      <c r="D103" s="250" t="str">
        <f>UPPER(IF('INPUT DATA'!S46="","",'INPUT DATA'!S46))</f>
        <v/>
      </c>
      <c r="E103" s="236" t="str">
        <f>IF(E$16=1,IF(AND($C103&lt;&gt;"",'Term 1'!$AM103&lt;&gt;""),'Term 1'!$AM103,""),"")</f>
        <v/>
      </c>
      <c r="F103" s="236" t="str">
        <f>IF(F$16=1,IF(AND($C103&lt;&gt;"",'Term 2'!$AM103&lt;&gt;""),'Term 2'!$AM103,""),"")</f>
        <v/>
      </c>
      <c r="G103" s="236" t="str">
        <f>IF(G$16=1,IF(AND($C103&lt;&gt;"",'Term 3'!$AM103&lt;&gt;""),'Term 3'!$AM103,""),"")</f>
        <v/>
      </c>
      <c r="H103" s="237" t="str">
        <f t="shared" si="2"/>
        <v/>
      </c>
      <c r="I103" s="238" t="str">
        <f>IF(H103="","",_xlfn.XLOOKUP(H103,HELPER!$AG$7:$AG$47,HELPER!$AH$7:$AH$47))</f>
        <v/>
      </c>
      <c r="J103" s="239" t="str">
        <f t="shared" si="3"/>
        <v/>
      </c>
    </row>
    <row r="104" ht="15.6" hidden="1" spans="2:10">
      <c r="B104" s="234">
        <v>37</v>
      </c>
      <c r="C104" s="82" t="str">
        <f>UPPER(IF('INPUT DATA'!R47="","",'INPUT DATA'!R47))</f>
        <v/>
      </c>
      <c r="D104" s="250" t="str">
        <f>UPPER(IF('INPUT DATA'!S47="","",'INPUT DATA'!S47))</f>
        <v/>
      </c>
      <c r="E104" s="236" t="str">
        <f>IF(E$16=1,IF(AND($C104&lt;&gt;"",'Term 1'!$AM104&lt;&gt;""),'Term 1'!$AM104,""),"")</f>
        <v/>
      </c>
      <c r="F104" s="236" t="str">
        <f>IF(F$16=1,IF(AND($C104&lt;&gt;"",'Term 2'!$AM104&lt;&gt;""),'Term 2'!$AM104,""),"")</f>
        <v/>
      </c>
      <c r="G104" s="236" t="str">
        <f>IF(G$16=1,IF(AND($C104&lt;&gt;"",'Term 3'!$AM104&lt;&gt;""),'Term 3'!$AM104,""),"")</f>
        <v/>
      </c>
      <c r="H104" s="237" t="str">
        <f t="shared" si="2"/>
        <v/>
      </c>
      <c r="I104" s="238" t="str">
        <f>IF(H104="","",_xlfn.XLOOKUP(H104,HELPER!$AG$7:$AG$47,HELPER!$AH$7:$AH$47))</f>
        <v/>
      </c>
      <c r="J104" s="239" t="str">
        <f t="shared" si="3"/>
        <v/>
      </c>
    </row>
    <row r="105" ht="15.6" hidden="1" spans="2:10">
      <c r="B105" s="234">
        <v>38</v>
      </c>
      <c r="C105" s="82" t="str">
        <f>UPPER(IF('INPUT DATA'!R48="","",'INPUT DATA'!R48))</f>
        <v/>
      </c>
      <c r="D105" s="250" t="str">
        <f>UPPER(IF('INPUT DATA'!S48="","",'INPUT DATA'!S48))</f>
        <v/>
      </c>
      <c r="E105" s="236" t="str">
        <f>IF(E$16=1,IF(AND($C105&lt;&gt;"",'Term 1'!$AM105&lt;&gt;""),'Term 1'!$AM105,""),"")</f>
        <v/>
      </c>
      <c r="F105" s="236" t="str">
        <f>IF(F$16=1,IF(AND($C105&lt;&gt;"",'Term 2'!$AM105&lt;&gt;""),'Term 2'!$AM105,""),"")</f>
        <v/>
      </c>
      <c r="G105" s="236" t="str">
        <f>IF(G$16=1,IF(AND($C105&lt;&gt;"",'Term 3'!$AM105&lt;&gt;""),'Term 3'!$AM105,""),"")</f>
        <v/>
      </c>
      <c r="H105" s="237" t="str">
        <f t="shared" si="2"/>
        <v/>
      </c>
      <c r="I105" s="238" t="str">
        <f>IF(H105="","",_xlfn.XLOOKUP(H105,HELPER!$AG$7:$AG$47,HELPER!$AH$7:$AH$47))</f>
        <v/>
      </c>
      <c r="J105" s="239" t="str">
        <f t="shared" si="3"/>
        <v/>
      </c>
    </row>
    <row r="106" ht="15.6" hidden="1" spans="2:10">
      <c r="B106" s="234">
        <v>39</v>
      </c>
      <c r="C106" s="82" t="str">
        <f>UPPER(IF('INPUT DATA'!R49="","",'INPUT DATA'!R49))</f>
        <v/>
      </c>
      <c r="D106" s="250" t="str">
        <f>UPPER(IF('INPUT DATA'!S49="","",'INPUT DATA'!S49))</f>
        <v/>
      </c>
      <c r="E106" s="236" t="str">
        <f>IF(E$16=1,IF(AND($C106&lt;&gt;"",'Term 1'!$AM106&lt;&gt;""),'Term 1'!$AM106,""),"")</f>
        <v/>
      </c>
      <c r="F106" s="236" t="str">
        <f>IF(F$16=1,IF(AND($C106&lt;&gt;"",'Term 2'!$AM106&lt;&gt;""),'Term 2'!$AM106,""),"")</f>
        <v/>
      </c>
      <c r="G106" s="236" t="str">
        <f>IF(G$16=1,IF(AND($C106&lt;&gt;"",'Term 3'!$AM106&lt;&gt;""),'Term 3'!$AM106,""),"")</f>
        <v/>
      </c>
      <c r="H106" s="237" t="str">
        <f t="shared" si="2"/>
        <v/>
      </c>
      <c r="I106" s="238" t="str">
        <f>IF(H106="","",_xlfn.XLOOKUP(H106,HELPER!$AG$7:$AG$47,HELPER!$AH$7:$AH$47))</f>
        <v/>
      </c>
      <c r="J106" s="239" t="str">
        <f t="shared" si="3"/>
        <v/>
      </c>
    </row>
    <row r="107" ht="15.6" hidden="1" spans="2:10">
      <c r="B107" s="234">
        <v>40</v>
      </c>
      <c r="C107" s="82" t="str">
        <f>UPPER(IF('INPUT DATA'!R50="","",'INPUT DATA'!R50))</f>
        <v/>
      </c>
      <c r="D107" s="250" t="str">
        <f>UPPER(IF('INPUT DATA'!S50="","",'INPUT DATA'!S50))</f>
        <v/>
      </c>
      <c r="E107" s="236" t="str">
        <f>IF(E$16=1,IF(AND($C107&lt;&gt;"",'Term 1'!$AM107&lt;&gt;""),'Term 1'!$AM107,""),"")</f>
        <v/>
      </c>
      <c r="F107" s="236" t="str">
        <f>IF(F$16=1,IF(AND($C107&lt;&gt;"",'Term 2'!$AM107&lt;&gt;""),'Term 2'!$AM107,""),"")</f>
        <v/>
      </c>
      <c r="G107" s="236" t="str">
        <f>IF(G$16=1,IF(AND($C107&lt;&gt;"",'Term 3'!$AM107&lt;&gt;""),'Term 3'!$AM107,""),"")</f>
        <v/>
      </c>
      <c r="H107" s="237" t="str">
        <f t="shared" si="2"/>
        <v/>
      </c>
      <c r="I107" s="238" t="str">
        <f>IF(H107="","",_xlfn.XLOOKUP(H107,HELPER!$AG$7:$AG$47,HELPER!$AH$7:$AH$47))</f>
        <v/>
      </c>
      <c r="J107" s="239" t="str">
        <f t="shared" si="3"/>
        <v/>
      </c>
    </row>
    <row r="108" ht="15.6" hidden="1" spans="2:10">
      <c r="B108" s="234">
        <v>41</v>
      </c>
      <c r="C108" s="82" t="str">
        <f>UPPER(IF('INPUT DATA'!R51="","",'INPUT DATA'!R51))</f>
        <v/>
      </c>
      <c r="D108" s="250" t="str">
        <f>UPPER(IF('INPUT DATA'!S51="","",'INPUT DATA'!S51))</f>
        <v/>
      </c>
      <c r="E108" s="236" t="str">
        <f>IF(E$16=1,IF(AND($C108&lt;&gt;"",'Term 1'!$AM108&lt;&gt;""),'Term 1'!$AM108,""),"")</f>
        <v/>
      </c>
      <c r="F108" s="236" t="str">
        <f>IF(F$16=1,IF(AND($C108&lt;&gt;"",'Term 2'!$AM108&lt;&gt;""),'Term 2'!$AM108,""),"")</f>
        <v/>
      </c>
      <c r="G108" s="236" t="str">
        <f>IF(G$16=1,IF(AND($C108&lt;&gt;"",'Term 3'!$AM108&lt;&gt;""),'Term 3'!$AM108,""),"")</f>
        <v/>
      </c>
      <c r="H108" s="237" t="str">
        <f t="shared" si="2"/>
        <v/>
      </c>
      <c r="I108" s="238" t="str">
        <f>IF(H108="","",_xlfn.XLOOKUP(H108,HELPER!$AG$7:$AG$47,HELPER!$AH$7:$AH$47))</f>
        <v/>
      </c>
      <c r="J108" s="239" t="str">
        <f t="shared" si="3"/>
        <v/>
      </c>
    </row>
    <row r="109" ht="15.6" hidden="1" spans="2:10">
      <c r="B109" s="234">
        <v>42</v>
      </c>
      <c r="C109" s="82" t="str">
        <f>UPPER(IF('INPUT DATA'!R52="","",'INPUT DATA'!R52))</f>
        <v/>
      </c>
      <c r="D109" s="250" t="str">
        <f>UPPER(IF('INPUT DATA'!S52="","",'INPUT DATA'!S52))</f>
        <v/>
      </c>
      <c r="E109" s="236" t="str">
        <f>IF(E$16=1,IF(AND($C109&lt;&gt;"",'Term 1'!$AM109&lt;&gt;""),'Term 1'!$AM109,""),"")</f>
        <v/>
      </c>
      <c r="F109" s="236" t="str">
        <f>IF(F$16=1,IF(AND($C109&lt;&gt;"",'Term 2'!$AM109&lt;&gt;""),'Term 2'!$AM109,""),"")</f>
        <v/>
      </c>
      <c r="G109" s="236" t="str">
        <f>IF(G$16=1,IF(AND($C109&lt;&gt;"",'Term 3'!$AM109&lt;&gt;""),'Term 3'!$AM109,""),"")</f>
        <v/>
      </c>
      <c r="H109" s="237" t="str">
        <f t="shared" si="2"/>
        <v/>
      </c>
      <c r="I109" s="238" t="str">
        <f>IF(H109="","",_xlfn.XLOOKUP(H109,HELPER!$AG$7:$AG$47,HELPER!$AH$7:$AH$47))</f>
        <v/>
      </c>
      <c r="J109" s="239" t="str">
        <f t="shared" si="3"/>
        <v/>
      </c>
    </row>
    <row r="110" ht="15.6" hidden="1" spans="2:10">
      <c r="B110" s="234">
        <v>43</v>
      </c>
      <c r="C110" s="82" t="str">
        <f>UPPER(IF('INPUT DATA'!R53="","",'INPUT DATA'!R53))</f>
        <v/>
      </c>
      <c r="D110" s="250" t="str">
        <f>UPPER(IF('INPUT DATA'!S53="","",'INPUT DATA'!S53))</f>
        <v/>
      </c>
      <c r="E110" s="236" t="str">
        <f>IF(E$16=1,IF(AND($C110&lt;&gt;"",'Term 1'!$AM110&lt;&gt;""),'Term 1'!$AM110,""),"")</f>
        <v/>
      </c>
      <c r="F110" s="236" t="str">
        <f>IF(F$16=1,IF(AND($C110&lt;&gt;"",'Term 2'!$AM110&lt;&gt;""),'Term 2'!$AM110,""),"")</f>
        <v/>
      </c>
      <c r="G110" s="236" t="str">
        <f>IF(G$16=1,IF(AND($C110&lt;&gt;"",'Term 3'!$AM110&lt;&gt;""),'Term 3'!$AM110,""),"")</f>
        <v/>
      </c>
      <c r="H110" s="237" t="str">
        <f t="shared" si="2"/>
        <v/>
      </c>
      <c r="I110" s="238" t="str">
        <f>IF(H110="","",_xlfn.XLOOKUP(H110,HELPER!$AG$7:$AG$47,HELPER!$AH$7:$AH$47))</f>
        <v/>
      </c>
      <c r="J110" s="239" t="str">
        <f t="shared" si="3"/>
        <v/>
      </c>
    </row>
    <row r="111" ht="15.6" hidden="1" spans="2:10">
      <c r="B111" s="234">
        <v>44</v>
      </c>
      <c r="C111" s="82" t="str">
        <f>UPPER(IF('INPUT DATA'!R54="","",'INPUT DATA'!R54))</f>
        <v/>
      </c>
      <c r="D111" s="250" t="str">
        <f>UPPER(IF('INPUT DATA'!S54="","",'INPUT DATA'!S54))</f>
        <v/>
      </c>
      <c r="E111" s="236" t="str">
        <f>IF(E$16=1,IF(AND($C111&lt;&gt;"",'Term 1'!$AM111&lt;&gt;""),'Term 1'!$AM111,""),"")</f>
        <v/>
      </c>
      <c r="F111" s="236" t="str">
        <f>IF(F$16=1,IF(AND($C111&lt;&gt;"",'Term 2'!$AM111&lt;&gt;""),'Term 2'!$AM111,""),"")</f>
        <v/>
      </c>
      <c r="G111" s="236" t="str">
        <f>IF(G$16=1,IF(AND($C111&lt;&gt;"",'Term 3'!$AM111&lt;&gt;""),'Term 3'!$AM111,""),"")</f>
        <v/>
      </c>
      <c r="H111" s="237" t="str">
        <f t="shared" si="2"/>
        <v/>
      </c>
      <c r="I111" s="238" t="str">
        <f>IF(H111="","",_xlfn.XLOOKUP(H111,HELPER!$AG$7:$AG$47,HELPER!$AH$7:$AH$47))</f>
        <v/>
      </c>
      <c r="J111" s="239" t="str">
        <f t="shared" si="3"/>
        <v/>
      </c>
    </row>
    <row r="112" ht="15.6" hidden="1" spans="2:10">
      <c r="B112" s="234">
        <v>45</v>
      </c>
      <c r="C112" s="82" t="str">
        <f>UPPER(IF('INPUT DATA'!R55="","",'INPUT DATA'!R55))</f>
        <v/>
      </c>
      <c r="D112" s="250" t="str">
        <f>UPPER(IF('INPUT DATA'!S55="","",'INPUT DATA'!S55))</f>
        <v/>
      </c>
      <c r="E112" s="236" t="str">
        <f>IF(E$16=1,IF(AND($C112&lt;&gt;"",'Term 1'!$AM112&lt;&gt;""),'Term 1'!$AM112,""),"")</f>
        <v/>
      </c>
      <c r="F112" s="236" t="str">
        <f>IF(F$16=1,IF(AND($C112&lt;&gt;"",'Term 2'!$AM112&lt;&gt;""),'Term 2'!$AM112,""),"")</f>
        <v/>
      </c>
      <c r="G112" s="236" t="str">
        <f>IF(G$16=1,IF(AND($C112&lt;&gt;"",'Term 3'!$AM112&lt;&gt;""),'Term 3'!$AM112,""),"")</f>
        <v/>
      </c>
      <c r="H112" s="237" t="str">
        <f t="shared" si="2"/>
        <v/>
      </c>
      <c r="I112" s="238" t="str">
        <f>IF(H112="","",_xlfn.XLOOKUP(H112,HELPER!$AG$7:$AG$47,HELPER!$AH$7:$AH$47))</f>
        <v/>
      </c>
      <c r="J112" s="239" t="str">
        <f t="shared" si="3"/>
        <v/>
      </c>
    </row>
    <row r="113" ht="15.6" hidden="1" spans="2:10">
      <c r="B113" s="234">
        <v>46</v>
      </c>
      <c r="C113" s="82" t="str">
        <f>UPPER(IF('INPUT DATA'!R56="","",'INPUT DATA'!R56))</f>
        <v/>
      </c>
      <c r="D113" s="250" t="str">
        <f>UPPER(IF('INPUT DATA'!S56="","",'INPUT DATA'!S56))</f>
        <v/>
      </c>
      <c r="E113" s="236" t="str">
        <f>IF(E$16=1,IF(AND($C113&lt;&gt;"",'Term 1'!$AM113&lt;&gt;""),'Term 1'!$AM113,""),"")</f>
        <v/>
      </c>
      <c r="F113" s="236" t="str">
        <f>IF(F$16=1,IF(AND($C113&lt;&gt;"",'Term 2'!$AM113&lt;&gt;""),'Term 2'!$AM113,""),"")</f>
        <v/>
      </c>
      <c r="G113" s="236" t="str">
        <f>IF(G$16=1,IF(AND($C113&lt;&gt;"",'Term 3'!$AM113&lt;&gt;""),'Term 3'!$AM113,""),"")</f>
        <v/>
      </c>
      <c r="H113" s="237" t="str">
        <f t="shared" si="2"/>
        <v/>
      </c>
      <c r="I113" s="238" t="str">
        <f>IF(H113="","",_xlfn.XLOOKUP(H113,HELPER!$AG$7:$AG$47,HELPER!$AH$7:$AH$47))</f>
        <v/>
      </c>
      <c r="J113" s="239" t="str">
        <f t="shared" si="3"/>
        <v/>
      </c>
    </row>
    <row r="114" ht="15.6" hidden="1" spans="2:10">
      <c r="B114" s="234">
        <v>47</v>
      </c>
      <c r="C114" s="82" t="str">
        <f>UPPER(IF('INPUT DATA'!R57="","",'INPUT DATA'!R57))</f>
        <v/>
      </c>
      <c r="D114" s="250" t="str">
        <f>UPPER(IF('INPUT DATA'!S57="","",'INPUT DATA'!S57))</f>
        <v/>
      </c>
      <c r="E114" s="236" t="str">
        <f>IF(E$16=1,IF(AND($C114&lt;&gt;"",'Term 1'!$AM114&lt;&gt;""),'Term 1'!$AM114,""),"")</f>
        <v/>
      </c>
      <c r="F114" s="236" t="str">
        <f>IF(F$16=1,IF(AND($C114&lt;&gt;"",'Term 2'!$AM114&lt;&gt;""),'Term 2'!$AM114,""),"")</f>
        <v/>
      </c>
      <c r="G114" s="236" t="str">
        <f>IF(G$16=1,IF(AND($C114&lt;&gt;"",'Term 3'!$AM114&lt;&gt;""),'Term 3'!$AM114,""),"")</f>
        <v/>
      </c>
      <c r="H114" s="237" t="str">
        <f t="shared" si="2"/>
        <v/>
      </c>
      <c r="I114" s="238" t="str">
        <f>IF(H114="","",_xlfn.XLOOKUP(H114,HELPER!$AG$7:$AG$47,HELPER!$AH$7:$AH$47))</f>
        <v/>
      </c>
      <c r="J114" s="239" t="str">
        <f t="shared" si="3"/>
        <v/>
      </c>
    </row>
    <row r="115" ht="15.6" hidden="1" spans="2:10">
      <c r="B115" s="234">
        <v>48</v>
      </c>
      <c r="C115" s="82" t="str">
        <f>UPPER(IF('INPUT DATA'!R58="","",'INPUT DATA'!R58))</f>
        <v/>
      </c>
      <c r="D115" s="250" t="str">
        <f>UPPER(IF('INPUT DATA'!S58="","",'INPUT DATA'!S58))</f>
        <v/>
      </c>
      <c r="E115" s="236" t="str">
        <f>IF(E$16=1,IF(AND($C115&lt;&gt;"",'Term 1'!$AM115&lt;&gt;""),'Term 1'!$AM115,""),"")</f>
        <v/>
      </c>
      <c r="F115" s="236" t="str">
        <f>IF(F$16=1,IF(AND($C115&lt;&gt;"",'Term 2'!$AM115&lt;&gt;""),'Term 2'!$AM115,""),"")</f>
        <v/>
      </c>
      <c r="G115" s="236" t="str">
        <f>IF(G$16=1,IF(AND($C115&lt;&gt;"",'Term 3'!$AM115&lt;&gt;""),'Term 3'!$AM115,""),"")</f>
        <v/>
      </c>
      <c r="H115" s="237" t="str">
        <f t="shared" si="2"/>
        <v/>
      </c>
      <c r="I115" s="238" t="str">
        <f>IF(H115="","",_xlfn.XLOOKUP(H115,HELPER!$AG$7:$AG$47,HELPER!$AH$7:$AH$47))</f>
        <v/>
      </c>
      <c r="J115" s="239" t="str">
        <f t="shared" si="3"/>
        <v/>
      </c>
    </row>
    <row r="116" ht="15.6" hidden="1" spans="2:10">
      <c r="B116" s="234">
        <v>49</v>
      </c>
      <c r="C116" s="82" t="str">
        <f>UPPER(IF('INPUT DATA'!R59="","",'INPUT DATA'!R59))</f>
        <v/>
      </c>
      <c r="D116" s="250" t="str">
        <f>UPPER(IF('INPUT DATA'!S59="","",'INPUT DATA'!S59))</f>
        <v/>
      </c>
      <c r="E116" s="236" t="str">
        <f>IF(E$16=1,IF(AND($C116&lt;&gt;"",'Term 1'!$AM116&lt;&gt;""),'Term 1'!$AM116,""),"")</f>
        <v/>
      </c>
      <c r="F116" s="236" t="str">
        <f>IF(F$16=1,IF(AND($C116&lt;&gt;"",'Term 2'!$AM116&lt;&gt;""),'Term 2'!$AM116,""),"")</f>
        <v/>
      </c>
      <c r="G116" s="236" t="str">
        <f>IF(G$16=1,IF(AND($C116&lt;&gt;"",'Term 3'!$AM116&lt;&gt;""),'Term 3'!$AM116,""),"")</f>
        <v/>
      </c>
      <c r="H116" s="237" t="str">
        <f t="shared" si="2"/>
        <v/>
      </c>
      <c r="I116" s="238" t="str">
        <f>IF(H116="","",_xlfn.XLOOKUP(H116,HELPER!$AG$7:$AG$47,HELPER!$AH$7:$AH$47))</f>
        <v/>
      </c>
      <c r="J116" s="239" t="str">
        <f t="shared" si="3"/>
        <v/>
      </c>
    </row>
    <row r="117" ht="16.35" hidden="1" spans="2:10">
      <c r="B117" s="251">
        <v>50</v>
      </c>
      <c r="C117" s="82" t="str">
        <f>UPPER(IF('INPUT DATA'!R60="","",'INPUT DATA'!R60))</f>
        <v/>
      </c>
      <c r="D117" s="250" t="str">
        <f>UPPER(IF('INPUT DATA'!S60="","",'INPUT DATA'!S60))</f>
        <v/>
      </c>
      <c r="E117" s="236" t="str">
        <f>IF(E$16=1,IF(AND($C117&lt;&gt;"",'Term 1'!$AM117&lt;&gt;""),'Term 1'!$AM117,""),"")</f>
        <v/>
      </c>
      <c r="F117" s="236" t="str">
        <f>IF(F$16=1,IF(AND($C117&lt;&gt;"",'Term 2'!$AM117&lt;&gt;""),'Term 2'!$AM117,""),"")</f>
        <v/>
      </c>
      <c r="G117" s="236" t="str">
        <f>IF(G$16=1,IF(AND($C117&lt;&gt;"",'Term 3'!$AM117&lt;&gt;""),'Term 3'!$AM117,""),"")</f>
        <v/>
      </c>
      <c r="H117" s="237" t="str">
        <f t="shared" si="2"/>
        <v/>
      </c>
      <c r="I117" s="238" t="str">
        <f>IF(H117="","",_xlfn.XLOOKUP(H117,HELPER!$AG$7:$AG$47,HELPER!$AH$7:$AH$47))</f>
        <v/>
      </c>
      <c r="J117" s="239" t="str">
        <f t="shared" si="3"/>
        <v/>
      </c>
    </row>
    <row r="118"/>
    <row r="119" spans="2:10">
      <c r="B119" s="252"/>
      <c r="C119" s="253" t="s">
        <v>204</v>
      </c>
      <c r="D119" s="254" t="s">
        <v>205</v>
      </c>
      <c r="E119" s="254" t="s">
        <v>206</v>
      </c>
      <c r="F119" s="254"/>
      <c r="G119" s="255"/>
      <c r="H119" s="255"/>
      <c r="I119" s="255"/>
      <c r="J119" s="256"/>
    </row>
    <row r="120" spans="2:10">
      <c r="B120" s="257"/>
      <c r="C120" s="4" t="s">
        <v>207</v>
      </c>
      <c r="D120" s="258" t="s">
        <v>208</v>
      </c>
      <c r="E120" s="258" t="s">
        <v>209</v>
      </c>
      <c r="F120" s="258"/>
      <c r="G120" s="258"/>
      <c r="H120" s="258"/>
      <c r="I120" s="258"/>
      <c r="J120" s="259"/>
    </row>
    <row r="121" spans="2:10">
      <c r="B121" s="257"/>
      <c r="C121" s="4" t="s">
        <v>210</v>
      </c>
      <c r="D121" s="258" t="s">
        <v>211</v>
      </c>
      <c r="E121" s="258" t="s">
        <v>212</v>
      </c>
      <c r="F121" s="258"/>
      <c r="G121" s="258"/>
      <c r="H121" s="258"/>
      <c r="I121" s="258"/>
      <c r="J121" s="259"/>
    </row>
    <row r="122" spans="2:10">
      <c r="B122" s="257"/>
      <c r="C122" s="4" t="s">
        <v>213</v>
      </c>
      <c r="D122" s="258" t="s">
        <v>214</v>
      </c>
      <c r="E122" s="258" t="s">
        <v>215</v>
      </c>
      <c r="F122" s="258"/>
      <c r="G122" s="258"/>
      <c r="H122" s="258"/>
      <c r="I122" s="258"/>
      <c r="J122" s="259"/>
    </row>
    <row r="123" spans="2:10">
      <c r="B123" s="260"/>
      <c r="C123" s="261" t="s">
        <v>216</v>
      </c>
      <c r="D123" s="262" t="s">
        <v>217</v>
      </c>
      <c r="E123" s="262" t="s">
        <v>218</v>
      </c>
      <c r="F123" s="262"/>
      <c r="G123" s="262"/>
      <c r="H123" s="262"/>
      <c r="I123" s="262"/>
      <c r="J123" s="263"/>
    </row>
    <row r="124" spans="2:10">
      <c r="B124" s="264"/>
      <c r="C124" s="265" t="s">
        <v>219</v>
      </c>
      <c r="D124" s="266" t="s">
        <v>220</v>
      </c>
      <c r="E124" s="266" t="s">
        <v>221</v>
      </c>
      <c r="F124" s="267"/>
      <c r="G124" s="267"/>
      <c r="H124" s="267"/>
      <c r="I124" s="267"/>
      <c r="J124" s="268"/>
    </row>
    <row r="125" ht="74" customHeight="1"/>
  </sheetData>
  <sheetProtection algorithmName="SHA-512" hashValue="eu6AP0m+9CJOn6nLoiFUmX9Op6QdERSkAIHElZmu0bNiydQDUt30jM9IePvkgvAEiWNjsVL0c5h5AdvYbHby8w==" saltValue="HNtlKusu4yvA4NV1Q1ZM5w==" spinCount="100000" sheet="1" formatCells="0" formatColumns="0" formatRows="0" autoFilter="0"/>
  <mergeCells count="14">
    <mergeCell ref="E6:G6"/>
    <mergeCell ref="D9:E9"/>
    <mergeCell ref="G11:J11"/>
    <mergeCell ref="G12:H12"/>
    <mergeCell ref="G13:H13"/>
    <mergeCell ref="E14:G14"/>
    <mergeCell ref="F9:F10"/>
    <mergeCell ref="H14:H15"/>
    <mergeCell ref="I14:I15"/>
    <mergeCell ref="J14:J15"/>
    <mergeCell ref="G9:J10"/>
    <mergeCell ref="B14:D15"/>
    <mergeCell ref="D10:E11"/>
    <mergeCell ref="D12:E13"/>
  </mergeCells>
  <conditionalFormatting sqref="C17:D66 H17:J66 C68:D117 H68:J117">
    <cfRule type="expression" dxfId="11" priority="1">
      <formula>$H17&lt;75</formula>
    </cfRule>
  </conditionalFormatting>
  <dataValidations count="1">
    <dataValidation allowBlank="1" showErrorMessage="1" sqref="L17 J17:J117"/>
  </dataValidations>
  <pageMargins left="0.7" right="0.7" top="0.75" bottom="0.75" header="0.3" footer="0.3"/>
  <pageSetup paperSize="9" scale="55" fitToHeight="0"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1"/>
  </sheetPr>
  <dimension ref="A1:XFC163"/>
  <sheetViews>
    <sheetView showGridLines="0" zoomScale="71" zoomScaleNormal="71" workbookViewId="0">
      <pane ySplit="6" topLeftCell="A7" activePane="bottomLeft" state="frozen"/>
      <selection/>
      <selection pane="bottomLeft" activeCell="A1" sqref="A1"/>
    </sheetView>
  </sheetViews>
  <sheetFormatPr defaultColWidth="9.17592592592593" defaultRowHeight="13.8"/>
  <cols>
    <col min="1" max="1" width="3.62962962962963" style="2" customWidth="1"/>
    <col min="2" max="4" width="9.17592592592593" style="3"/>
    <col min="5" max="5" width="9.17592592592593" style="2"/>
    <col min="6" max="6" width="22.1759259259259" style="2" customWidth="1"/>
    <col min="7" max="7" width="30.1759259259259" style="2" customWidth="1"/>
    <col min="8" max="8" width="9.17592592592593" style="4"/>
    <col min="9" max="9" width="9.17592592592593" style="3"/>
    <col min="10" max="11" width="20.6296296296296" style="5" customWidth="1"/>
    <col min="12" max="12" width="49.4537037037037" style="5" customWidth="1"/>
    <col min="13" max="29" width="9.17592592592593" style="6"/>
    <col min="30" max="30" width="9.17592592592593" style="5"/>
    <col min="31" max="31" width="9.17592592592593" style="7"/>
    <col min="32" max="32" width="9.17592592592593" style="5"/>
    <col min="33" max="33" width="13.4537037037037" style="6" customWidth="1"/>
    <col min="34" max="34" width="11.4537037037037" style="5" customWidth="1"/>
    <col min="35" max="16384" width="9.17592592592593" style="5"/>
  </cols>
  <sheetData>
    <row r="1" ht="16.5" customHeight="1" spans="1:37">
      <c r="B1" s="2"/>
      <c r="C1" s="2"/>
      <c r="D1" s="2"/>
      <c r="I1" s="8"/>
      <c r="J1" s="9"/>
      <c r="K1" s="9"/>
      <c r="L1" s="9"/>
      <c r="M1" s="9"/>
      <c r="N1" s="9"/>
      <c r="O1" s="9"/>
      <c r="P1" s="9"/>
    </row>
    <row r="2" ht="28.2" spans="1:37">
      <c r="A2" s="10"/>
      <c r="B2" s="11" t="s">
        <v>222</v>
      </c>
      <c r="C2" s="2"/>
      <c r="D2" s="2"/>
      <c r="I2" s="12"/>
      <c r="J2" s="9"/>
      <c r="K2" s="9"/>
      <c r="L2" s="9"/>
      <c r="M2" s="9"/>
      <c r="N2" s="9"/>
      <c r="O2" s="9"/>
      <c r="P2" s="9"/>
    </row>
    <row r="3" ht="15.6" spans="1:37">
      <c r="B3" s="13" t="s">
        <v>223</v>
      </c>
      <c r="C3" s="2"/>
      <c r="D3" s="2"/>
      <c r="I3" s="12"/>
      <c r="J3" s="9"/>
      <c r="K3" s="9"/>
      <c r="L3" s="9"/>
      <c r="M3" s="9"/>
      <c r="N3" s="9"/>
      <c r="O3" s="9"/>
      <c r="P3" s="9"/>
    </row>
    <row r="4" spans="1:37">
      <c r="B4" s="14" t="s">
        <v>224</v>
      </c>
      <c r="C4" s="14"/>
      <c r="D4" s="14"/>
    </row>
    <row r="5" s="1" customFormat="1" spans="1:37">
      <c r="A5" s="15"/>
      <c r="B5" s="15" t="s">
        <v>225</v>
      </c>
      <c r="C5" s="15"/>
      <c r="D5" s="15"/>
      <c r="E5" s="15"/>
      <c r="F5" s="15" t="s">
        <v>226</v>
      </c>
      <c r="G5" s="16"/>
      <c r="H5" s="15"/>
      <c r="I5" s="17"/>
      <c r="J5" s="1" t="s">
        <v>227</v>
      </c>
      <c r="N5" s="18"/>
      <c r="O5" s="18"/>
      <c r="P5" s="18"/>
      <c r="Q5" s="18"/>
      <c r="R5" s="18"/>
      <c r="S5" s="18"/>
      <c r="T5" s="18"/>
      <c r="U5" s="18"/>
      <c r="V5" s="18"/>
      <c r="W5" s="1" t="s">
        <v>159</v>
      </c>
      <c r="X5" s="18"/>
      <c r="Y5" s="18"/>
      <c r="Z5" s="18"/>
      <c r="AA5" s="1" t="s">
        <v>228</v>
      </c>
      <c r="AE5" s="19"/>
      <c r="AG5" s="20" t="s">
        <v>197</v>
      </c>
      <c r="AH5" s="21"/>
    </row>
    <row r="6" ht="27.6" spans="1:37">
      <c r="B6" s="22" t="s">
        <v>229</v>
      </c>
      <c r="C6" s="23" t="s">
        <v>230</v>
      </c>
      <c r="D6" s="24" t="s">
        <v>118</v>
      </c>
      <c r="F6" s="25" t="s">
        <v>231</v>
      </c>
      <c r="G6" s="26"/>
      <c r="I6" s="27" t="s">
        <v>232</v>
      </c>
      <c r="J6" s="28" t="s">
        <v>233</v>
      </c>
      <c r="K6" s="29" t="s">
        <v>30</v>
      </c>
      <c r="L6" s="29" t="s">
        <v>234</v>
      </c>
      <c r="M6" s="30" t="s">
        <v>235</v>
      </c>
      <c r="N6" s="31" t="s">
        <v>236</v>
      </c>
      <c r="O6" s="32" t="s">
        <v>237</v>
      </c>
      <c r="P6" s="29" t="s">
        <v>238</v>
      </c>
      <c r="Q6" s="29" t="s">
        <v>239</v>
      </c>
      <c r="R6" s="33" t="s">
        <v>240</v>
      </c>
      <c r="S6" s="32" t="s">
        <v>241</v>
      </c>
      <c r="T6" s="29" t="s">
        <v>242</v>
      </c>
      <c r="U6" s="29" t="s">
        <v>239</v>
      </c>
      <c r="V6" s="33" t="s">
        <v>240</v>
      </c>
      <c r="W6" s="34" t="s">
        <v>98</v>
      </c>
      <c r="X6" s="35" t="s">
        <v>100</v>
      </c>
      <c r="Y6" s="35" t="s">
        <v>243</v>
      </c>
      <c r="Z6" s="36" t="s">
        <v>244</v>
      </c>
      <c r="AA6" s="37" t="s">
        <v>182</v>
      </c>
      <c r="AB6" s="37" t="s">
        <v>183</v>
      </c>
      <c r="AC6" s="38" t="s">
        <v>184</v>
      </c>
      <c r="AF6" s="39"/>
      <c r="AG6" s="7" t="s">
        <v>204</v>
      </c>
      <c r="AH6" s="40" t="s">
        <v>245</v>
      </c>
    </row>
    <row r="7" spans="1:37">
      <c r="A7" s="41"/>
      <c r="B7" s="42">
        <v>99.5</v>
      </c>
      <c r="C7" s="43">
        <v>100</v>
      </c>
      <c r="D7" s="44">
        <v>100</v>
      </c>
      <c r="F7" s="45">
        <f>'INPUT DATA'!F24</f>
        <v>11</v>
      </c>
      <c r="G7" s="46" t="s">
        <v>246</v>
      </c>
      <c r="I7" s="47">
        <f t="shared" ref="I7:I38" si="0">IF(COUNTIF($N7,"*"&amp;$F$7&amp;"*")&gt;0,1,0)</f>
        <v>1</v>
      </c>
      <c r="J7" s="48" t="s">
        <v>153</v>
      </c>
      <c r="K7" s="48" t="s">
        <v>154</v>
      </c>
      <c r="L7" s="48" t="s">
        <v>247</v>
      </c>
      <c r="M7" s="49">
        <v>160</v>
      </c>
      <c r="N7" s="50" t="s">
        <v>248</v>
      </c>
      <c r="O7" s="51">
        <v>11</v>
      </c>
      <c r="P7" s="52">
        <v>3</v>
      </c>
      <c r="Q7" s="53">
        <v>2</v>
      </c>
      <c r="R7" s="54">
        <v>6</v>
      </c>
      <c r="S7" s="51" t="s">
        <v>249</v>
      </c>
      <c r="T7" s="52"/>
      <c r="U7" s="53"/>
      <c r="V7" s="54"/>
      <c r="W7" s="49">
        <v>20</v>
      </c>
      <c r="X7" s="53">
        <v>50</v>
      </c>
      <c r="Y7" s="6">
        <v>30</v>
      </c>
      <c r="Z7" s="55">
        <f t="shared" ref="Z7:Z38" si="1">SUM(W7:Y7)</f>
        <v>100</v>
      </c>
      <c r="AA7" s="55">
        <v>30</v>
      </c>
      <c r="AB7" s="55">
        <v>30</v>
      </c>
      <c r="AC7" s="56">
        <v>40</v>
      </c>
      <c r="AG7" s="57">
        <v>100</v>
      </c>
      <c r="AH7" s="40" t="s">
        <v>208</v>
      </c>
      <c r="AJ7" s="5" t="s">
        <v>208</v>
      </c>
      <c r="AK7" s="5" t="s">
        <v>209</v>
      </c>
    </row>
    <row r="8" ht="15.5" customHeight="1" spans="1:37">
      <c r="A8" s="41"/>
      <c r="B8" s="42">
        <v>98.32</v>
      </c>
      <c r="C8" s="17">
        <v>99.49</v>
      </c>
      <c r="D8" s="44">
        <v>99</v>
      </c>
      <c r="F8" s="58" t="str" cm="1">
        <f t="array" ref="F8">$B$2&amp;"!"&amp;ADDRESS(MATCH(1,I:I,0),COLUMN(J:J),4)&amp;":"&amp;ADDRESS(LOOKUP(2,1/(I:I=1),ROW(J:J)),COLUMN(J:J),4)</f>
        <v>HELPER!J7:J147</v>
      </c>
      <c r="G8" s="59" t="str">
        <f>'INPUT DATA'!F28</f>
        <v>SSHS - CORE</v>
      </c>
      <c r="I8" s="47">
        <f t="shared" si="0"/>
        <v>1</v>
      </c>
      <c r="J8" s="48" t="s">
        <v>153</v>
      </c>
      <c r="K8" s="48" t="s">
        <v>154</v>
      </c>
      <c r="L8" s="48" t="s">
        <v>155</v>
      </c>
      <c r="M8" s="49">
        <v>160</v>
      </c>
      <c r="N8" s="50" t="s">
        <v>248</v>
      </c>
      <c r="O8" s="51">
        <v>11</v>
      </c>
      <c r="P8" s="52">
        <v>3</v>
      </c>
      <c r="Q8" s="53">
        <v>2</v>
      </c>
      <c r="R8" s="54">
        <v>6</v>
      </c>
      <c r="S8" s="51" t="s">
        <v>249</v>
      </c>
      <c r="T8" s="52"/>
      <c r="U8" s="53"/>
      <c r="V8" s="54"/>
      <c r="W8" s="49">
        <v>20</v>
      </c>
      <c r="X8" s="53">
        <v>50</v>
      </c>
      <c r="Y8" s="6">
        <v>30</v>
      </c>
      <c r="Z8" s="55">
        <f t="shared" si="1"/>
        <v>100</v>
      </c>
      <c r="AA8" s="55">
        <v>30</v>
      </c>
      <c r="AB8" s="55">
        <v>30</v>
      </c>
      <c r="AC8" s="56">
        <v>40</v>
      </c>
      <c r="AG8" s="57">
        <v>99</v>
      </c>
      <c r="AH8" s="40" t="s">
        <v>208</v>
      </c>
      <c r="AJ8" s="5" t="s">
        <v>211</v>
      </c>
      <c r="AK8" s="5" t="s">
        <v>212</v>
      </c>
    </row>
    <row r="9" spans="1:37">
      <c r="A9" s="41"/>
      <c r="B9" s="42">
        <v>97.14</v>
      </c>
      <c r="C9" s="43">
        <v>98.31</v>
      </c>
      <c r="D9" s="44">
        <v>98</v>
      </c>
      <c r="F9" s="58" t="str" cm="1">
        <f t="array" ref="F9">$B$2&amp;"!"&amp;ADDRESS(MATCH($G8,$J:$J,0),COLUMN($K:$K),4)&amp;":"&amp;ADDRESS(LOOKUP(2,1/($J:$J=G8),ROW($K:$K)),COLUMN($K:$K),4)</f>
        <v>HELPER!K7:K12</v>
      </c>
      <c r="G9" s="59" t="str">
        <f>'INPUT DATA'!F29</f>
        <v>CORE</v>
      </c>
      <c r="I9" s="47">
        <f t="shared" si="0"/>
        <v>1</v>
      </c>
      <c r="J9" s="48" t="s">
        <v>153</v>
      </c>
      <c r="K9" s="48" t="s">
        <v>154</v>
      </c>
      <c r="L9" s="48" t="s">
        <v>250</v>
      </c>
      <c r="M9" s="49">
        <v>160</v>
      </c>
      <c r="N9" s="50" t="s">
        <v>248</v>
      </c>
      <c r="O9" s="51">
        <v>11</v>
      </c>
      <c r="P9" s="52">
        <v>3</v>
      </c>
      <c r="Q9" s="53">
        <v>2</v>
      </c>
      <c r="R9" s="54">
        <v>6</v>
      </c>
      <c r="S9" s="51" t="s">
        <v>249</v>
      </c>
      <c r="T9" s="52"/>
      <c r="U9" s="53"/>
      <c r="V9" s="54"/>
      <c r="W9" s="49">
        <v>20</v>
      </c>
      <c r="X9" s="53">
        <v>50</v>
      </c>
      <c r="Y9" s="6">
        <v>30</v>
      </c>
      <c r="Z9" s="55">
        <f t="shared" si="1"/>
        <v>100</v>
      </c>
      <c r="AA9" s="55">
        <v>30</v>
      </c>
      <c r="AB9" s="55">
        <v>30</v>
      </c>
      <c r="AC9" s="56">
        <v>40</v>
      </c>
      <c r="AG9" s="57">
        <v>98</v>
      </c>
      <c r="AH9" s="40" t="s">
        <v>208</v>
      </c>
      <c r="AJ9" s="5" t="s">
        <v>214</v>
      </c>
      <c r="AK9" s="5" t="s">
        <v>215</v>
      </c>
    </row>
    <row r="10" spans="1:37">
      <c r="A10" s="41"/>
      <c r="B10" s="42">
        <v>95.96</v>
      </c>
      <c r="C10" s="43">
        <v>97.13</v>
      </c>
      <c r="D10" s="44">
        <v>97</v>
      </c>
      <c r="F10" s="60" t="str" cm="1">
        <f t="array" ref="F10">$B$2&amp;"!"&amp;ADDRESS(MATCH(1,(J:J=G8)*(K:K=G9)*(I:I=1),0),COLUMN(L:L),4)&amp;":"&amp;ADDRESS(LOOKUP(2,1/((J:J=G8)*(K:K=G9)*(I:I=1)),ROW(L:L)),COLUMN(L:L),4)</f>
        <v>HELPER!L7:L12</v>
      </c>
      <c r="G10" s="61" t="str">
        <f>IF(G9="OTHER ELECTIVE / SPECIAL CURRICULAR PROGRAM",'INPUT DATA'!F39,'INPUT DATA'!F30)</f>
        <v>General Mathematics</v>
      </c>
      <c r="I10" s="47">
        <f t="shared" si="0"/>
        <v>1</v>
      </c>
      <c r="J10" s="48" t="s">
        <v>153</v>
      </c>
      <c r="K10" s="48" t="s">
        <v>154</v>
      </c>
      <c r="L10" s="48" t="s">
        <v>251</v>
      </c>
      <c r="M10" s="49">
        <v>160</v>
      </c>
      <c r="N10" s="50" t="s">
        <v>248</v>
      </c>
      <c r="O10" s="51">
        <v>11</v>
      </c>
      <c r="P10" s="52">
        <v>3</v>
      </c>
      <c r="Q10" s="53">
        <v>2</v>
      </c>
      <c r="R10" s="54">
        <v>6</v>
      </c>
      <c r="S10" s="51" t="s">
        <v>249</v>
      </c>
      <c r="T10" s="52"/>
      <c r="U10" s="53"/>
      <c r="V10" s="54"/>
      <c r="W10" s="49">
        <v>20</v>
      </c>
      <c r="X10" s="53">
        <v>50</v>
      </c>
      <c r="Y10" s="6">
        <v>30</v>
      </c>
      <c r="Z10" s="55">
        <f t="shared" si="1"/>
        <v>100</v>
      </c>
      <c r="AA10" s="55">
        <v>30</v>
      </c>
      <c r="AB10" s="55">
        <v>30</v>
      </c>
      <c r="AC10" s="56">
        <v>40</v>
      </c>
      <c r="AG10" s="57">
        <v>97</v>
      </c>
      <c r="AH10" s="40" t="s">
        <v>208</v>
      </c>
      <c r="AJ10" s="5" t="s">
        <v>217</v>
      </c>
      <c r="AK10" s="5" t="s">
        <v>218</v>
      </c>
    </row>
    <row r="11" spans="1:37">
      <c r="A11" s="41"/>
      <c r="B11" s="42">
        <v>94.78</v>
      </c>
      <c r="C11" s="43">
        <v>95.95</v>
      </c>
      <c r="D11" s="44">
        <v>96</v>
      </c>
      <c r="I11" s="47">
        <f t="shared" si="0"/>
        <v>1</v>
      </c>
      <c r="J11" s="48" t="s">
        <v>153</v>
      </c>
      <c r="K11" s="48" t="s">
        <v>154</v>
      </c>
      <c r="L11" s="48" t="s">
        <v>252</v>
      </c>
      <c r="M11" s="49">
        <v>160</v>
      </c>
      <c r="N11" s="50" t="s">
        <v>248</v>
      </c>
      <c r="O11" s="51">
        <v>11</v>
      </c>
      <c r="P11" s="52">
        <v>3</v>
      </c>
      <c r="Q11" s="53">
        <v>2</v>
      </c>
      <c r="R11" s="54">
        <v>6</v>
      </c>
      <c r="S11" s="51" t="s">
        <v>249</v>
      </c>
      <c r="T11" s="52"/>
      <c r="U11" s="53"/>
      <c r="V11" s="54"/>
      <c r="W11" s="49">
        <v>20</v>
      </c>
      <c r="X11" s="53">
        <v>50</v>
      </c>
      <c r="Y11" s="6">
        <v>30</v>
      </c>
      <c r="Z11" s="55">
        <f t="shared" si="1"/>
        <v>100</v>
      </c>
      <c r="AA11" s="55">
        <v>30</v>
      </c>
      <c r="AB11" s="55">
        <v>30</v>
      </c>
      <c r="AC11" s="56">
        <v>40</v>
      </c>
      <c r="AG11" s="57">
        <v>96</v>
      </c>
      <c r="AH11" s="40" t="s">
        <v>208</v>
      </c>
      <c r="AJ11" s="5" t="s">
        <v>220</v>
      </c>
      <c r="AK11" s="5" t="s">
        <v>221</v>
      </c>
    </row>
    <row r="12" spans="1:37">
      <c r="A12" s="41"/>
      <c r="B12" s="62">
        <v>93.6</v>
      </c>
      <c r="C12" s="63">
        <v>94.77</v>
      </c>
      <c r="D12" s="44">
        <v>95</v>
      </c>
      <c r="F12" s="16" t="s">
        <v>253</v>
      </c>
      <c r="I12" s="47">
        <f t="shared" si="0"/>
        <v>1</v>
      </c>
      <c r="J12" s="48" t="s">
        <v>153</v>
      </c>
      <c r="K12" s="48" t="s">
        <v>154</v>
      </c>
      <c r="L12" s="48" t="s">
        <v>254</v>
      </c>
      <c r="M12" s="49">
        <v>160</v>
      </c>
      <c r="N12" s="50" t="s">
        <v>248</v>
      </c>
      <c r="O12" s="51">
        <v>11</v>
      </c>
      <c r="P12" s="52">
        <v>3</v>
      </c>
      <c r="Q12" s="53">
        <v>2</v>
      </c>
      <c r="R12" s="54">
        <v>6</v>
      </c>
      <c r="S12" s="51" t="s">
        <v>249</v>
      </c>
      <c r="T12" s="52"/>
      <c r="U12" s="53"/>
      <c r="V12" s="54"/>
      <c r="W12" s="49">
        <v>20</v>
      </c>
      <c r="X12" s="53">
        <v>50</v>
      </c>
      <c r="Y12" s="6">
        <v>30</v>
      </c>
      <c r="Z12" s="55">
        <f t="shared" si="1"/>
        <v>100</v>
      </c>
      <c r="AA12" s="55">
        <v>30</v>
      </c>
      <c r="AB12" s="55">
        <v>30</v>
      </c>
      <c r="AC12" s="56">
        <v>40</v>
      </c>
      <c r="AG12" s="57">
        <v>95</v>
      </c>
      <c r="AH12" s="40" t="s">
        <v>208</v>
      </c>
    </row>
    <row r="13" spans="1:37">
      <c r="A13" s="41"/>
      <c r="B13" s="42">
        <v>92.42</v>
      </c>
      <c r="C13" s="43">
        <v>93.59</v>
      </c>
      <c r="D13" s="44">
        <v>94</v>
      </c>
      <c r="F13" s="64" t="s">
        <v>93</v>
      </c>
      <c r="G13" s="65" cm="1">
        <f t="array" ref="G13">_xlfn.IFNA(_xlfn.XLOOKUP(1,(HELPER!$I$7:$I$161=1)*(HELPER!$L$7:$L$161=$G$10)*(HELPER!$K$7:$K$161=$G$9),HELPER!$W$7:$W$161),"")</f>
        <v>20</v>
      </c>
      <c r="I13" s="22">
        <f t="shared" si="0"/>
        <v>1</v>
      </c>
      <c r="J13" s="66" t="s">
        <v>255</v>
      </c>
      <c r="K13" s="66" t="s">
        <v>256</v>
      </c>
      <c r="L13" s="66" t="s">
        <v>257</v>
      </c>
      <c r="M13" s="67">
        <v>80</v>
      </c>
      <c r="N13" s="68" t="s">
        <v>258</v>
      </c>
      <c r="O13" s="69">
        <v>11</v>
      </c>
      <c r="P13" s="70">
        <v>1</v>
      </c>
      <c r="Q13" s="71">
        <v>3</v>
      </c>
      <c r="R13" s="72">
        <v>3</v>
      </c>
      <c r="S13" s="69">
        <v>12</v>
      </c>
      <c r="T13" s="70">
        <v>1</v>
      </c>
      <c r="U13" s="71">
        <v>3</v>
      </c>
      <c r="V13" s="72">
        <v>3</v>
      </c>
      <c r="W13" s="69">
        <v>20</v>
      </c>
      <c r="X13" s="73">
        <v>60</v>
      </c>
      <c r="Y13" s="74">
        <v>20</v>
      </c>
      <c r="Z13" s="75">
        <f t="shared" si="1"/>
        <v>100</v>
      </c>
      <c r="AA13" s="75">
        <v>30</v>
      </c>
      <c r="AB13" s="55">
        <v>30</v>
      </c>
      <c r="AC13" s="56">
        <v>40</v>
      </c>
      <c r="AG13" s="57">
        <v>94</v>
      </c>
      <c r="AH13" s="40" t="s">
        <v>208</v>
      </c>
    </row>
    <row r="14" spans="1:37">
      <c r="A14" s="41"/>
      <c r="B14" s="42">
        <v>91.24</v>
      </c>
      <c r="C14" s="43">
        <v>92.41</v>
      </c>
      <c r="D14" s="44">
        <v>93</v>
      </c>
      <c r="F14" s="76" t="s">
        <v>100</v>
      </c>
      <c r="G14" s="77" cm="1">
        <f t="array" ref="G14">_xlfn.IFNA(_xlfn.XLOOKUP(1,(HELPER!$I$7:$I$161=1)*(HELPER!$L$7:$L$161=$G$10)*(HELPER!$K$7:$K$161=$G$9),HELPER!$X$7:$X$161),"")</f>
        <v>50</v>
      </c>
      <c r="I14" s="47">
        <f t="shared" si="0"/>
        <v>1</v>
      </c>
      <c r="J14" s="48" t="s">
        <v>255</v>
      </c>
      <c r="K14" s="48" t="s">
        <v>256</v>
      </c>
      <c r="L14" s="48" t="s">
        <v>259</v>
      </c>
      <c r="M14" s="49">
        <v>80</v>
      </c>
      <c r="N14" s="50" t="s">
        <v>258</v>
      </c>
      <c r="O14" s="51">
        <v>11</v>
      </c>
      <c r="P14" s="52">
        <v>1</v>
      </c>
      <c r="Q14" s="53">
        <v>3</v>
      </c>
      <c r="R14" s="54">
        <v>3</v>
      </c>
      <c r="S14" s="51">
        <v>12</v>
      </c>
      <c r="T14" s="52">
        <v>1</v>
      </c>
      <c r="U14" s="53">
        <v>3</v>
      </c>
      <c r="V14" s="54">
        <v>3</v>
      </c>
      <c r="W14" s="51">
        <v>20</v>
      </c>
      <c r="X14" s="78">
        <v>60</v>
      </c>
      <c r="Y14" s="79">
        <v>20</v>
      </c>
      <c r="Z14" s="55">
        <f t="shared" si="1"/>
        <v>100</v>
      </c>
      <c r="AA14" s="55">
        <v>30</v>
      </c>
      <c r="AB14" s="55">
        <v>30</v>
      </c>
      <c r="AC14" s="56">
        <v>40</v>
      </c>
      <c r="AG14" s="57">
        <v>93</v>
      </c>
      <c r="AH14" s="40" t="s">
        <v>208</v>
      </c>
    </row>
    <row r="15" spans="1:37">
      <c r="A15" s="41"/>
      <c r="B15" s="42">
        <v>90.06</v>
      </c>
      <c r="C15" s="43">
        <v>91.23</v>
      </c>
      <c r="D15" s="44">
        <v>92</v>
      </c>
      <c r="F15" s="80" t="s">
        <v>260</v>
      </c>
      <c r="G15" s="81" cm="1">
        <f t="array" ref="G15">_xlfn.IFNA(_xlfn.XLOOKUP(1,(HELPER!$I$7:$I$161=1)*(HELPER!$L$7:$L$161=$G$10)*(HELPER!$K$7:$K$161=$G$9),HELPER!$Y$7:$Y$161),"")</f>
        <v>30</v>
      </c>
      <c r="I15" s="47">
        <f t="shared" si="0"/>
        <v>1</v>
      </c>
      <c r="J15" s="48" t="s">
        <v>255</v>
      </c>
      <c r="K15" s="48" t="s">
        <v>256</v>
      </c>
      <c r="L15" s="48" t="s">
        <v>261</v>
      </c>
      <c r="M15" s="49">
        <v>80</v>
      </c>
      <c r="N15" s="50" t="s">
        <v>258</v>
      </c>
      <c r="O15" s="51">
        <v>11</v>
      </c>
      <c r="P15" s="52">
        <v>1</v>
      </c>
      <c r="Q15" s="53">
        <v>3</v>
      </c>
      <c r="R15" s="54">
        <v>3</v>
      </c>
      <c r="S15" s="51">
        <v>12</v>
      </c>
      <c r="T15" s="52">
        <v>1</v>
      </c>
      <c r="U15" s="53">
        <v>3</v>
      </c>
      <c r="V15" s="54">
        <v>3</v>
      </c>
      <c r="W15" s="51">
        <v>20</v>
      </c>
      <c r="X15" s="78">
        <v>60</v>
      </c>
      <c r="Y15" s="79">
        <v>20</v>
      </c>
      <c r="Z15" s="55">
        <f t="shared" si="1"/>
        <v>100</v>
      </c>
      <c r="AA15" s="55">
        <v>30</v>
      </c>
      <c r="AB15" s="55">
        <v>30</v>
      </c>
      <c r="AC15" s="56">
        <v>40</v>
      </c>
      <c r="AG15" s="57">
        <v>92</v>
      </c>
      <c r="AH15" s="40" t="s">
        <v>208</v>
      </c>
    </row>
    <row r="16" spans="1:37">
      <c r="A16" s="41"/>
      <c r="B16" s="42">
        <v>88.88</v>
      </c>
      <c r="C16" s="43">
        <v>90.05</v>
      </c>
      <c r="D16" s="44">
        <v>91</v>
      </c>
      <c r="I16" s="47">
        <f t="shared" si="0"/>
        <v>1</v>
      </c>
      <c r="J16" s="48" t="s">
        <v>255</v>
      </c>
      <c r="K16" s="48" t="s">
        <v>256</v>
      </c>
      <c r="L16" s="48" t="s">
        <v>262</v>
      </c>
      <c r="M16" s="49">
        <v>80</v>
      </c>
      <c r="N16" s="50" t="s">
        <v>258</v>
      </c>
      <c r="O16" s="51">
        <v>11</v>
      </c>
      <c r="P16" s="52">
        <v>1</v>
      </c>
      <c r="Q16" s="53">
        <v>3</v>
      </c>
      <c r="R16" s="54">
        <v>3</v>
      </c>
      <c r="S16" s="51">
        <v>12</v>
      </c>
      <c r="T16" s="52">
        <v>1</v>
      </c>
      <c r="U16" s="53">
        <v>3</v>
      </c>
      <c r="V16" s="54">
        <v>3</v>
      </c>
      <c r="W16" s="51">
        <v>20</v>
      </c>
      <c r="X16" s="78">
        <v>60</v>
      </c>
      <c r="Y16" s="79">
        <v>20</v>
      </c>
      <c r="Z16" s="55">
        <f t="shared" si="1"/>
        <v>100</v>
      </c>
      <c r="AA16" s="55">
        <v>30</v>
      </c>
      <c r="AB16" s="55">
        <v>30</v>
      </c>
      <c r="AC16" s="56">
        <v>40</v>
      </c>
      <c r="AG16" s="57">
        <v>91</v>
      </c>
      <c r="AH16" s="40" t="s">
        <v>208</v>
      </c>
    </row>
    <row r="17" spans="1:34">
      <c r="A17" s="41"/>
      <c r="B17" s="42">
        <v>87.7</v>
      </c>
      <c r="C17" s="43">
        <v>88.87</v>
      </c>
      <c r="D17" s="44">
        <v>90</v>
      </c>
      <c r="F17" s="82" t="s">
        <v>182</v>
      </c>
      <c r="G17" s="83" cm="1">
        <f t="array" ref="G17">_xlfn.IFNA(_xlfn.XLOOKUP(1,(HELPER!$I$7:$I$161=1)*(HELPER!$L$7:$L$161=$G$10)*(HELPER!$K$7:$K$161=$G$9),HELPER!$AA$7:$AA$161),"")</f>
        <v>30</v>
      </c>
      <c r="I17" s="47">
        <f t="shared" si="0"/>
        <v>1</v>
      </c>
      <c r="J17" s="48" t="s">
        <v>255</v>
      </c>
      <c r="K17" s="48" t="s">
        <v>256</v>
      </c>
      <c r="L17" s="48" t="s">
        <v>263</v>
      </c>
      <c r="M17" s="49">
        <v>80</v>
      </c>
      <c r="N17" s="50" t="s">
        <v>258</v>
      </c>
      <c r="O17" s="51">
        <v>11</v>
      </c>
      <c r="P17" s="52">
        <v>1</v>
      </c>
      <c r="Q17" s="53">
        <v>3</v>
      </c>
      <c r="R17" s="54">
        <v>3</v>
      </c>
      <c r="S17" s="51">
        <v>12</v>
      </c>
      <c r="T17" s="52">
        <v>1</v>
      </c>
      <c r="U17" s="53">
        <v>3</v>
      </c>
      <c r="V17" s="54">
        <v>3</v>
      </c>
      <c r="W17" s="51">
        <v>20</v>
      </c>
      <c r="X17" s="78">
        <v>60</v>
      </c>
      <c r="Y17" s="79">
        <v>20</v>
      </c>
      <c r="Z17" s="55">
        <f t="shared" si="1"/>
        <v>100</v>
      </c>
      <c r="AA17" s="55">
        <v>30</v>
      </c>
      <c r="AB17" s="55">
        <v>30</v>
      </c>
      <c r="AC17" s="56">
        <v>40</v>
      </c>
      <c r="AG17" s="57">
        <v>90</v>
      </c>
      <c r="AH17" s="40" t="s">
        <v>208</v>
      </c>
    </row>
    <row r="18" spans="1:34">
      <c r="A18" s="41"/>
      <c r="B18" s="42">
        <v>86.52</v>
      </c>
      <c r="C18" s="43">
        <v>87.69</v>
      </c>
      <c r="D18" s="44">
        <v>89</v>
      </c>
      <c r="F18" s="82" t="s">
        <v>183</v>
      </c>
      <c r="G18" s="83" cm="1">
        <f t="array" ref="G18">_xlfn.IFNA(_xlfn.XLOOKUP(1,(HELPER!$I$7:$I$161=1)*(HELPER!$L$7:$L$161=$G$10)*(HELPER!$K$7:$K$161=$G$9),HELPER!$AB$7:$AB$161),"")</f>
        <v>30</v>
      </c>
      <c r="I18" s="47">
        <f t="shared" si="0"/>
        <v>1</v>
      </c>
      <c r="J18" s="48" t="s">
        <v>255</v>
      </c>
      <c r="K18" s="48" t="s">
        <v>256</v>
      </c>
      <c r="L18" s="48" t="s">
        <v>264</v>
      </c>
      <c r="M18" s="49">
        <v>80</v>
      </c>
      <c r="N18" s="50" t="s">
        <v>258</v>
      </c>
      <c r="O18" s="51">
        <v>11</v>
      </c>
      <c r="P18" s="52">
        <v>1</v>
      </c>
      <c r="Q18" s="53">
        <v>3</v>
      </c>
      <c r="R18" s="54">
        <v>3</v>
      </c>
      <c r="S18" s="51">
        <v>12</v>
      </c>
      <c r="T18" s="52">
        <v>1</v>
      </c>
      <c r="U18" s="53">
        <v>3</v>
      </c>
      <c r="V18" s="54">
        <v>3</v>
      </c>
      <c r="W18" s="51">
        <v>20</v>
      </c>
      <c r="X18" s="78">
        <v>60</v>
      </c>
      <c r="Y18" s="79">
        <v>20</v>
      </c>
      <c r="Z18" s="55">
        <f t="shared" si="1"/>
        <v>100</v>
      </c>
      <c r="AA18" s="55">
        <v>30</v>
      </c>
      <c r="AB18" s="55">
        <v>30</v>
      </c>
      <c r="AC18" s="56">
        <v>40</v>
      </c>
      <c r="AG18" s="57">
        <v>89</v>
      </c>
      <c r="AH18" s="40" t="s">
        <v>211</v>
      </c>
    </row>
    <row r="19" ht="15.5" customHeight="1" spans="1:34">
      <c r="A19" s="41"/>
      <c r="B19" s="42">
        <v>85.34</v>
      </c>
      <c r="C19" s="43">
        <v>86.51</v>
      </c>
      <c r="D19" s="44">
        <v>88</v>
      </c>
      <c r="F19" s="82" t="s">
        <v>184</v>
      </c>
      <c r="G19" s="83" cm="1">
        <f t="array" ref="G19">_xlfn.IFNA(_xlfn.XLOOKUP(1,(HELPER!$I$7:$I$161=1)*(HELPER!$L$7:$L$161=$G$10)*(HELPER!$K$7:$K$161=$G$9),HELPER!$AC$7:$AC$161),"")</f>
        <v>40</v>
      </c>
      <c r="I19" s="47">
        <f t="shared" si="0"/>
        <v>1</v>
      </c>
      <c r="J19" s="48" t="s">
        <v>255</v>
      </c>
      <c r="K19" s="48" t="s">
        <v>256</v>
      </c>
      <c r="L19" s="48" t="s">
        <v>265</v>
      </c>
      <c r="M19" s="49">
        <v>80</v>
      </c>
      <c r="N19" s="50" t="s">
        <v>258</v>
      </c>
      <c r="O19" s="51">
        <v>11</v>
      </c>
      <c r="P19" s="52">
        <v>1</v>
      </c>
      <c r="Q19" s="53">
        <v>3</v>
      </c>
      <c r="R19" s="54">
        <v>3</v>
      </c>
      <c r="S19" s="51">
        <v>12</v>
      </c>
      <c r="T19" s="52">
        <v>1</v>
      </c>
      <c r="U19" s="53">
        <v>3</v>
      </c>
      <c r="V19" s="54">
        <v>3</v>
      </c>
      <c r="W19" s="51">
        <v>20</v>
      </c>
      <c r="X19" s="78">
        <v>60</v>
      </c>
      <c r="Y19" s="84">
        <v>20</v>
      </c>
      <c r="Z19" s="55">
        <f t="shared" si="1"/>
        <v>100</v>
      </c>
      <c r="AA19" s="55">
        <v>30</v>
      </c>
      <c r="AB19" s="55">
        <v>30</v>
      </c>
      <c r="AC19" s="56">
        <v>40</v>
      </c>
      <c r="AG19" s="57">
        <v>88</v>
      </c>
      <c r="AH19" s="40" t="s">
        <v>211</v>
      </c>
    </row>
    <row r="20" spans="1:34">
      <c r="A20" s="41"/>
      <c r="B20" s="42">
        <v>84.16</v>
      </c>
      <c r="C20" s="43">
        <v>85.33</v>
      </c>
      <c r="D20" s="44">
        <v>87</v>
      </c>
      <c r="F20" s="16" t="s">
        <v>266</v>
      </c>
      <c r="I20" s="47">
        <f t="shared" si="0"/>
        <v>1</v>
      </c>
      <c r="J20" s="48" t="s">
        <v>255</v>
      </c>
      <c r="K20" s="48" t="s">
        <v>256</v>
      </c>
      <c r="L20" s="48" t="s">
        <v>267</v>
      </c>
      <c r="M20" s="49">
        <v>80</v>
      </c>
      <c r="N20" s="50" t="s">
        <v>258</v>
      </c>
      <c r="O20" s="51">
        <v>11</v>
      </c>
      <c r="P20" s="52">
        <v>1</v>
      </c>
      <c r="Q20" s="53">
        <v>3</v>
      </c>
      <c r="R20" s="54">
        <v>3</v>
      </c>
      <c r="S20" s="51">
        <v>12</v>
      </c>
      <c r="T20" s="52">
        <v>1</v>
      </c>
      <c r="U20" s="53">
        <v>3</v>
      </c>
      <c r="V20" s="54">
        <v>3</v>
      </c>
      <c r="W20" s="51">
        <v>20</v>
      </c>
      <c r="X20" s="78">
        <v>60</v>
      </c>
      <c r="Y20" s="84">
        <v>20</v>
      </c>
      <c r="Z20" s="55">
        <f t="shared" si="1"/>
        <v>100</v>
      </c>
      <c r="AA20" s="55">
        <v>30</v>
      </c>
      <c r="AB20" s="55">
        <v>30</v>
      </c>
      <c r="AC20" s="56">
        <v>40</v>
      </c>
      <c r="AG20" s="57">
        <v>87</v>
      </c>
      <c r="AH20" s="40" t="s">
        <v>211</v>
      </c>
    </row>
    <row r="21" spans="1:34">
      <c r="A21" s="41"/>
      <c r="B21" s="42">
        <v>82.98</v>
      </c>
      <c r="C21" s="43">
        <v>84.15</v>
      </c>
      <c r="D21" s="44">
        <v>86</v>
      </c>
      <c r="F21" s="85" t="s">
        <v>268</v>
      </c>
      <c r="G21" s="86">
        <f>IF('INPUT DATA'!F29="OTHER ELECTIVE / SPECIAL CURRICULAR PROGRAM",2,1)</f>
        <v>1</v>
      </c>
      <c r="I21" s="47">
        <f t="shared" si="0"/>
        <v>1</v>
      </c>
      <c r="J21" s="48" t="s">
        <v>255</v>
      </c>
      <c r="K21" s="48" t="s">
        <v>256</v>
      </c>
      <c r="L21" s="48" t="s">
        <v>269</v>
      </c>
      <c r="M21" s="49">
        <v>80</v>
      </c>
      <c r="N21" s="50" t="s">
        <v>258</v>
      </c>
      <c r="O21" s="51">
        <v>11</v>
      </c>
      <c r="P21" s="52">
        <v>1</v>
      </c>
      <c r="Q21" s="53">
        <v>3</v>
      </c>
      <c r="R21" s="54">
        <v>3</v>
      </c>
      <c r="S21" s="51">
        <v>12</v>
      </c>
      <c r="T21" s="52">
        <v>1</v>
      </c>
      <c r="U21" s="53">
        <v>3</v>
      </c>
      <c r="V21" s="54">
        <v>3</v>
      </c>
      <c r="W21" s="51">
        <v>20</v>
      </c>
      <c r="X21" s="78">
        <v>60</v>
      </c>
      <c r="Y21" s="84">
        <v>20</v>
      </c>
      <c r="Z21" s="55">
        <f t="shared" si="1"/>
        <v>100</v>
      </c>
      <c r="AA21" s="55">
        <v>30</v>
      </c>
      <c r="AB21" s="55">
        <v>30</v>
      </c>
      <c r="AC21" s="56">
        <v>40</v>
      </c>
      <c r="AG21" s="57">
        <v>86</v>
      </c>
      <c r="AH21" s="40" t="s">
        <v>211</v>
      </c>
    </row>
    <row r="22" spans="1:34">
      <c r="A22" s="41"/>
      <c r="B22" s="42">
        <v>81.8</v>
      </c>
      <c r="C22" s="43">
        <v>82.97</v>
      </c>
      <c r="D22" s="44">
        <v>85</v>
      </c>
      <c r="F22" s="85" t="s">
        <v>270</v>
      </c>
      <c r="G22" s="86">
        <f>IF(HELPER!$G$21=1,'INPUT DATA'!F$33,IF(HELPER!$G$21=2,'INPUT DATA'!F$51,""))</f>
        <v>3</v>
      </c>
      <c r="I22" s="47">
        <f t="shared" si="0"/>
        <v>1</v>
      </c>
      <c r="J22" s="48" t="s">
        <v>255</v>
      </c>
      <c r="K22" s="48" t="s">
        <v>256</v>
      </c>
      <c r="L22" s="48" t="s">
        <v>271</v>
      </c>
      <c r="M22" s="49">
        <v>80</v>
      </c>
      <c r="N22" s="50" t="s">
        <v>258</v>
      </c>
      <c r="O22" s="51">
        <v>11</v>
      </c>
      <c r="P22" s="52">
        <v>1</v>
      </c>
      <c r="Q22" s="53">
        <v>3</v>
      </c>
      <c r="R22" s="54">
        <v>3</v>
      </c>
      <c r="S22" s="51">
        <v>12</v>
      </c>
      <c r="T22" s="52">
        <v>1</v>
      </c>
      <c r="U22" s="53">
        <v>3</v>
      </c>
      <c r="V22" s="54">
        <v>3</v>
      </c>
      <c r="W22" s="51">
        <v>20</v>
      </c>
      <c r="X22" s="78">
        <v>60</v>
      </c>
      <c r="Y22" s="84">
        <v>20</v>
      </c>
      <c r="Z22" s="55">
        <f t="shared" si="1"/>
        <v>100</v>
      </c>
      <c r="AA22" s="55">
        <v>30</v>
      </c>
      <c r="AB22" s="55">
        <v>30</v>
      </c>
      <c r="AC22" s="56">
        <v>40</v>
      </c>
      <c r="AG22" s="57">
        <v>85</v>
      </c>
      <c r="AH22" s="40" t="s">
        <v>211</v>
      </c>
    </row>
    <row r="23" spans="1:34">
      <c r="A23" s="41"/>
      <c r="B23" s="42">
        <v>80.62</v>
      </c>
      <c r="C23" s="43">
        <v>81.79</v>
      </c>
      <c r="D23" s="44">
        <v>84</v>
      </c>
      <c r="F23" s="87">
        <f>IF($G$21=1,'INPUT DATA'!I$34,IF($G$21=2,'INPUT DATA'!I$52,""))</f>
        <v>33</v>
      </c>
      <c r="G23" s="88" t="str">
        <f>_xlfn.IFNA(_xlfn.XLOOKUP(F23,F38:F43,G38:G43),"")</f>
        <v>1ST, 2ND, 3RD</v>
      </c>
      <c r="I23" s="47">
        <f t="shared" si="0"/>
        <v>1</v>
      </c>
      <c r="J23" s="48" t="s">
        <v>255</v>
      </c>
      <c r="K23" s="48" t="s">
        <v>256</v>
      </c>
      <c r="L23" s="48" t="s">
        <v>272</v>
      </c>
      <c r="M23" s="49">
        <v>80</v>
      </c>
      <c r="N23" s="50" t="s">
        <v>258</v>
      </c>
      <c r="O23" s="51">
        <v>11</v>
      </c>
      <c r="P23" s="52">
        <v>1</v>
      </c>
      <c r="Q23" s="53">
        <v>3</v>
      </c>
      <c r="R23" s="54">
        <v>3</v>
      </c>
      <c r="S23" s="51">
        <v>12</v>
      </c>
      <c r="T23" s="52">
        <v>1</v>
      </c>
      <c r="U23" s="53">
        <v>3</v>
      </c>
      <c r="V23" s="54">
        <v>3</v>
      </c>
      <c r="W23" s="51">
        <v>20</v>
      </c>
      <c r="X23" s="78">
        <v>60</v>
      </c>
      <c r="Y23" s="84">
        <v>20</v>
      </c>
      <c r="Z23" s="55">
        <f t="shared" si="1"/>
        <v>100</v>
      </c>
      <c r="AA23" s="55">
        <v>30</v>
      </c>
      <c r="AB23" s="55">
        <v>30</v>
      </c>
      <c r="AC23" s="56">
        <v>40</v>
      </c>
      <c r="AG23" s="57">
        <v>84</v>
      </c>
      <c r="AH23" s="40" t="s">
        <v>211</v>
      </c>
    </row>
    <row r="24" spans="1:34">
      <c r="A24" s="41"/>
      <c r="B24" s="42">
        <v>79.44</v>
      </c>
      <c r="C24" s="43">
        <v>80.61</v>
      </c>
      <c r="D24" s="44">
        <v>83</v>
      </c>
      <c r="F24" s="89">
        <v>1</v>
      </c>
      <c r="G24" s="90" t="s">
        <v>273</v>
      </c>
      <c r="I24" s="47">
        <f t="shared" si="0"/>
        <v>1</v>
      </c>
      <c r="J24" s="48" t="s">
        <v>255</v>
      </c>
      <c r="K24" s="48" t="s">
        <v>256</v>
      </c>
      <c r="L24" s="48" t="s">
        <v>274</v>
      </c>
      <c r="M24" s="49">
        <v>80</v>
      </c>
      <c r="N24" s="50" t="s">
        <v>258</v>
      </c>
      <c r="O24" s="51">
        <v>11</v>
      </c>
      <c r="P24" s="52">
        <v>1</v>
      </c>
      <c r="Q24" s="53">
        <v>3</v>
      </c>
      <c r="R24" s="54">
        <v>3</v>
      </c>
      <c r="S24" s="51">
        <v>12</v>
      </c>
      <c r="T24" s="52">
        <v>1</v>
      </c>
      <c r="U24" s="53">
        <v>3</v>
      </c>
      <c r="V24" s="54">
        <v>3</v>
      </c>
      <c r="W24" s="51">
        <v>20</v>
      </c>
      <c r="X24" s="78">
        <v>60</v>
      </c>
      <c r="Y24" s="84">
        <v>20</v>
      </c>
      <c r="Z24" s="55">
        <f t="shared" si="1"/>
        <v>100</v>
      </c>
      <c r="AA24" s="55">
        <v>30</v>
      </c>
      <c r="AB24" s="55">
        <v>30</v>
      </c>
      <c r="AC24" s="56">
        <v>40</v>
      </c>
      <c r="AG24" s="57">
        <v>83</v>
      </c>
      <c r="AH24" s="40" t="s">
        <v>211</v>
      </c>
    </row>
    <row r="25" spans="1:34">
      <c r="A25" s="41"/>
      <c r="B25" s="42">
        <v>78.26</v>
      </c>
      <c r="C25" s="43">
        <v>79.43</v>
      </c>
      <c r="D25" s="44">
        <v>82</v>
      </c>
      <c r="F25" s="91">
        <v>2</v>
      </c>
      <c r="G25" s="92" t="s">
        <v>275</v>
      </c>
      <c r="I25" s="47">
        <f t="shared" si="0"/>
        <v>1</v>
      </c>
      <c r="J25" s="48" t="s">
        <v>255</v>
      </c>
      <c r="K25" s="48" t="s">
        <v>256</v>
      </c>
      <c r="L25" s="48" t="s">
        <v>276</v>
      </c>
      <c r="M25" s="49">
        <v>80</v>
      </c>
      <c r="N25" s="50" t="s">
        <v>258</v>
      </c>
      <c r="O25" s="51">
        <v>11</v>
      </c>
      <c r="P25" s="52">
        <v>1</v>
      </c>
      <c r="Q25" s="53">
        <v>3</v>
      </c>
      <c r="R25" s="54">
        <v>3</v>
      </c>
      <c r="S25" s="51">
        <v>12</v>
      </c>
      <c r="T25" s="52">
        <v>1</v>
      </c>
      <c r="U25" s="53">
        <v>3</v>
      </c>
      <c r="V25" s="54">
        <v>3</v>
      </c>
      <c r="W25" s="51">
        <v>20</v>
      </c>
      <c r="X25" s="78">
        <v>60</v>
      </c>
      <c r="Y25" s="84">
        <v>20</v>
      </c>
      <c r="Z25" s="55">
        <f t="shared" si="1"/>
        <v>100</v>
      </c>
      <c r="AA25" s="55">
        <v>30</v>
      </c>
      <c r="AB25" s="55">
        <v>30</v>
      </c>
      <c r="AC25" s="56">
        <v>40</v>
      </c>
      <c r="AG25" s="57">
        <v>82</v>
      </c>
      <c r="AH25" s="40" t="s">
        <v>211</v>
      </c>
    </row>
    <row r="26" spans="1:34">
      <c r="A26" s="41"/>
      <c r="B26" s="42">
        <v>77.08</v>
      </c>
      <c r="C26" s="43">
        <v>78.25</v>
      </c>
      <c r="D26" s="44">
        <v>81</v>
      </c>
      <c r="F26" s="93">
        <v>3</v>
      </c>
      <c r="G26" s="94" t="s">
        <v>277</v>
      </c>
      <c r="I26" s="47">
        <f t="shared" si="0"/>
        <v>1</v>
      </c>
      <c r="J26" s="48" t="s">
        <v>255</v>
      </c>
      <c r="K26" s="48" t="s">
        <v>256</v>
      </c>
      <c r="L26" s="48" t="s">
        <v>278</v>
      </c>
      <c r="M26" s="49">
        <v>80</v>
      </c>
      <c r="N26" s="50" t="s">
        <v>258</v>
      </c>
      <c r="O26" s="51">
        <v>11</v>
      </c>
      <c r="P26" s="52">
        <v>1</v>
      </c>
      <c r="Q26" s="53">
        <v>3</v>
      </c>
      <c r="R26" s="54">
        <v>3</v>
      </c>
      <c r="S26" s="51">
        <v>12</v>
      </c>
      <c r="T26" s="52">
        <v>1</v>
      </c>
      <c r="U26" s="53">
        <v>3</v>
      </c>
      <c r="V26" s="54">
        <v>3</v>
      </c>
      <c r="W26" s="51">
        <v>20</v>
      </c>
      <c r="X26" s="78">
        <v>60</v>
      </c>
      <c r="Y26" s="79">
        <v>20</v>
      </c>
      <c r="Z26" s="55">
        <f t="shared" si="1"/>
        <v>100</v>
      </c>
      <c r="AA26" s="55">
        <v>30</v>
      </c>
      <c r="AB26" s="55">
        <v>30</v>
      </c>
      <c r="AC26" s="56">
        <v>40</v>
      </c>
      <c r="AG26" s="57">
        <v>81</v>
      </c>
      <c r="AH26" s="40" t="s">
        <v>211</v>
      </c>
    </row>
    <row r="27" spans="1:34">
      <c r="A27" s="41"/>
      <c r="B27" s="95">
        <v>75.9</v>
      </c>
      <c r="C27" s="96">
        <v>77.07</v>
      </c>
      <c r="D27" s="97">
        <v>80</v>
      </c>
      <c r="F27" s="98" t="s">
        <v>38</v>
      </c>
      <c r="G27" s="26" cm="1">
        <f t="array" ref="G27">_xlfn.IFNA(IF('INPUT DATA'!$F$24=11,_xlfn.XLOOKUP(1,(HELPER!$I$7:$I$161=1)*(HELPER!$L$7:$L$161=G10),HELPER!Q$7:Q$161),IF('INPUT DATA'!$F$24=12,(_xlfn.XLOOKUP(1,(HELPER!$I$7:$I$161=1)*(HELPER!$L$7:$L$161=G10),HELPER!U$7:U$161)),"")),"")</f>
        <v>2</v>
      </c>
      <c r="I27" s="47">
        <f t="shared" si="0"/>
        <v>1</v>
      </c>
      <c r="J27" s="48" t="s">
        <v>255</v>
      </c>
      <c r="K27" s="48" t="s">
        <v>256</v>
      </c>
      <c r="L27" s="48" t="s">
        <v>279</v>
      </c>
      <c r="M27" s="49">
        <v>80</v>
      </c>
      <c r="N27" s="50" t="s">
        <v>258</v>
      </c>
      <c r="O27" s="51">
        <v>11</v>
      </c>
      <c r="P27" s="52">
        <v>1</v>
      </c>
      <c r="Q27" s="53">
        <v>3</v>
      </c>
      <c r="R27" s="54">
        <v>3</v>
      </c>
      <c r="S27" s="51">
        <v>12</v>
      </c>
      <c r="T27" s="52">
        <v>1</v>
      </c>
      <c r="U27" s="53">
        <v>3</v>
      </c>
      <c r="V27" s="54">
        <v>3</v>
      </c>
      <c r="W27" s="51">
        <v>20</v>
      </c>
      <c r="X27" s="78">
        <v>60</v>
      </c>
      <c r="Y27" s="79">
        <v>20</v>
      </c>
      <c r="Z27" s="55">
        <f t="shared" si="1"/>
        <v>100</v>
      </c>
      <c r="AA27" s="55">
        <v>30</v>
      </c>
      <c r="AB27" s="55">
        <v>30</v>
      </c>
      <c r="AC27" s="56">
        <v>40</v>
      </c>
      <c r="AG27" s="57">
        <v>80</v>
      </c>
      <c r="AH27" s="40" t="s">
        <v>211</v>
      </c>
    </row>
    <row r="28" spans="1:34">
      <c r="A28" s="41"/>
      <c r="B28" s="42">
        <v>74.72</v>
      </c>
      <c r="C28" s="43">
        <v>75.89</v>
      </c>
      <c r="D28" s="44">
        <v>79</v>
      </c>
      <c r="F28" s="99" t="s">
        <v>40</v>
      </c>
      <c r="G28" s="100">
        <f>G27*G22</f>
        <v>6</v>
      </c>
      <c r="I28" s="47">
        <f t="shared" si="0"/>
        <v>1</v>
      </c>
      <c r="J28" s="48" t="s">
        <v>255</v>
      </c>
      <c r="K28" s="48" t="s">
        <v>256</v>
      </c>
      <c r="L28" s="48" t="s">
        <v>280</v>
      </c>
      <c r="M28" s="49">
        <v>80</v>
      </c>
      <c r="N28" s="50" t="s">
        <v>258</v>
      </c>
      <c r="O28" s="51">
        <v>11</v>
      </c>
      <c r="P28" s="52">
        <v>1</v>
      </c>
      <c r="Q28" s="53">
        <v>3</v>
      </c>
      <c r="R28" s="54">
        <v>3</v>
      </c>
      <c r="S28" s="51">
        <v>12</v>
      </c>
      <c r="T28" s="52">
        <v>1</v>
      </c>
      <c r="U28" s="53">
        <v>3</v>
      </c>
      <c r="V28" s="54">
        <v>3</v>
      </c>
      <c r="W28" s="51">
        <v>20</v>
      </c>
      <c r="X28" s="78">
        <v>60</v>
      </c>
      <c r="Y28" s="79">
        <v>20</v>
      </c>
      <c r="Z28" s="55">
        <f t="shared" si="1"/>
        <v>100</v>
      </c>
      <c r="AA28" s="55">
        <v>30</v>
      </c>
      <c r="AB28" s="55">
        <v>30</v>
      </c>
      <c r="AC28" s="56">
        <v>40</v>
      </c>
      <c r="AG28" s="57">
        <v>79</v>
      </c>
      <c r="AH28" s="40" t="s">
        <v>214</v>
      </c>
    </row>
    <row r="29" ht="15.5" customHeight="1" spans="1:34">
      <c r="A29" s="41"/>
      <c r="B29" s="42">
        <v>73.54</v>
      </c>
      <c r="C29" s="43">
        <v>74.71</v>
      </c>
      <c r="D29" s="44">
        <v>78</v>
      </c>
      <c r="I29" s="47">
        <f t="shared" si="0"/>
        <v>1</v>
      </c>
      <c r="J29" s="48" t="s">
        <v>255</v>
      </c>
      <c r="K29" s="48" t="s">
        <v>256</v>
      </c>
      <c r="L29" s="48" t="s">
        <v>281</v>
      </c>
      <c r="M29" s="49">
        <v>80</v>
      </c>
      <c r="N29" s="50" t="s">
        <v>258</v>
      </c>
      <c r="O29" s="51">
        <v>11</v>
      </c>
      <c r="P29" s="52">
        <v>1</v>
      </c>
      <c r="Q29" s="53">
        <v>3</v>
      </c>
      <c r="R29" s="54">
        <v>3</v>
      </c>
      <c r="S29" s="51">
        <v>12</v>
      </c>
      <c r="T29" s="52">
        <v>1</v>
      </c>
      <c r="U29" s="53">
        <v>3</v>
      </c>
      <c r="V29" s="54">
        <v>3</v>
      </c>
      <c r="W29" s="51">
        <v>20</v>
      </c>
      <c r="X29" s="78">
        <v>60</v>
      </c>
      <c r="Y29" s="79">
        <v>20</v>
      </c>
      <c r="Z29" s="55">
        <f t="shared" si="1"/>
        <v>100</v>
      </c>
      <c r="AA29" s="55">
        <v>30</v>
      </c>
      <c r="AB29" s="55">
        <v>30</v>
      </c>
      <c r="AC29" s="56">
        <v>40</v>
      </c>
      <c r="AG29" s="57">
        <v>78</v>
      </c>
      <c r="AH29" s="40" t="s">
        <v>214</v>
      </c>
    </row>
    <row r="30" spans="1:34">
      <c r="A30" s="41"/>
      <c r="B30" s="42">
        <v>72.36</v>
      </c>
      <c r="C30" s="43">
        <v>73.53</v>
      </c>
      <c r="D30" s="44">
        <v>77</v>
      </c>
      <c r="F30" s="2" t="s">
        <v>282</v>
      </c>
      <c r="I30" s="47">
        <f t="shared" si="0"/>
        <v>1</v>
      </c>
      <c r="J30" s="48" t="s">
        <v>255</v>
      </c>
      <c r="K30" s="48" t="s">
        <v>256</v>
      </c>
      <c r="L30" s="48" t="s">
        <v>283</v>
      </c>
      <c r="M30" s="49">
        <v>80</v>
      </c>
      <c r="N30" s="50" t="s">
        <v>258</v>
      </c>
      <c r="O30" s="51">
        <v>11</v>
      </c>
      <c r="P30" s="52">
        <v>1</v>
      </c>
      <c r="Q30" s="53">
        <v>3</v>
      </c>
      <c r="R30" s="54">
        <v>3</v>
      </c>
      <c r="S30" s="51">
        <v>12</v>
      </c>
      <c r="T30" s="52">
        <v>1</v>
      </c>
      <c r="U30" s="53">
        <v>3</v>
      </c>
      <c r="V30" s="54">
        <v>3</v>
      </c>
      <c r="W30" s="51">
        <v>20</v>
      </c>
      <c r="X30" s="78">
        <v>60</v>
      </c>
      <c r="Y30" s="79">
        <v>20</v>
      </c>
      <c r="Z30" s="55">
        <f t="shared" si="1"/>
        <v>100</v>
      </c>
      <c r="AA30" s="55">
        <v>30</v>
      </c>
      <c r="AB30" s="55">
        <v>30</v>
      </c>
      <c r="AC30" s="56">
        <v>40</v>
      </c>
      <c r="AG30" s="57">
        <v>77</v>
      </c>
      <c r="AH30" s="40" t="s">
        <v>214</v>
      </c>
    </row>
    <row r="31" spans="1:34">
      <c r="A31" s="41"/>
      <c r="B31" s="42">
        <v>71.1799999999999</v>
      </c>
      <c r="C31" s="43">
        <v>72.35</v>
      </c>
      <c r="D31" s="44">
        <v>76</v>
      </c>
      <c r="F31" s="64">
        <v>1</v>
      </c>
      <c r="G31" s="26" t="s">
        <v>156</v>
      </c>
      <c r="I31" s="47">
        <f t="shared" si="0"/>
        <v>1</v>
      </c>
      <c r="J31" s="48" t="s">
        <v>255</v>
      </c>
      <c r="K31" s="48" t="s">
        <v>256</v>
      </c>
      <c r="L31" s="48" t="s">
        <v>284</v>
      </c>
      <c r="M31" s="49">
        <v>80</v>
      </c>
      <c r="N31" s="50" t="s">
        <v>258</v>
      </c>
      <c r="O31" s="51">
        <v>11</v>
      </c>
      <c r="P31" s="52">
        <v>1</v>
      </c>
      <c r="Q31" s="53">
        <v>3</v>
      </c>
      <c r="R31" s="54">
        <v>3</v>
      </c>
      <c r="S31" s="51">
        <v>12</v>
      </c>
      <c r="T31" s="52">
        <v>1</v>
      </c>
      <c r="U31" s="53">
        <v>3</v>
      </c>
      <c r="V31" s="54">
        <v>3</v>
      </c>
      <c r="W31" s="51">
        <v>20</v>
      </c>
      <c r="X31" s="78">
        <v>60</v>
      </c>
      <c r="Y31" s="79">
        <v>20</v>
      </c>
      <c r="Z31" s="55">
        <f t="shared" si="1"/>
        <v>100</v>
      </c>
      <c r="AA31" s="55">
        <v>30</v>
      </c>
      <c r="AB31" s="55">
        <v>30</v>
      </c>
      <c r="AC31" s="56">
        <v>40</v>
      </c>
      <c r="AG31" s="57">
        <v>76</v>
      </c>
      <c r="AH31" s="40" t="s">
        <v>214</v>
      </c>
    </row>
    <row r="32" spans="1:34">
      <c r="A32" s="41"/>
      <c r="B32" s="101">
        <v>69.9999999999999</v>
      </c>
      <c r="C32" s="102">
        <v>71.1699999999999</v>
      </c>
      <c r="D32" s="103">
        <v>75</v>
      </c>
      <c r="F32" s="76">
        <v>2</v>
      </c>
      <c r="G32" s="104" t="s">
        <v>189</v>
      </c>
      <c r="I32" s="47">
        <f t="shared" si="0"/>
        <v>1</v>
      </c>
      <c r="J32" s="48" t="s">
        <v>255</v>
      </c>
      <c r="K32" s="48" t="s">
        <v>256</v>
      </c>
      <c r="L32" s="48" t="s">
        <v>285</v>
      </c>
      <c r="M32" s="49">
        <v>80</v>
      </c>
      <c r="N32" s="50" t="s">
        <v>258</v>
      </c>
      <c r="O32" s="51">
        <v>11</v>
      </c>
      <c r="P32" s="52">
        <v>1</v>
      </c>
      <c r="Q32" s="53">
        <v>3</v>
      </c>
      <c r="R32" s="54">
        <v>3</v>
      </c>
      <c r="S32" s="51">
        <v>12</v>
      </c>
      <c r="T32" s="52">
        <v>1</v>
      </c>
      <c r="U32" s="53">
        <v>3</v>
      </c>
      <c r="V32" s="54">
        <v>3</v>
      </c>
      <c r="W32" s="51">
        <v>20</v>
      </c>
      <c r="X32" s="78">
        <v>60</v>
      </c>
      <c r="Y32" s="79">
        <v>20</v>
      </c>
      <c r="Z32" s="55">
        <f t="shared" si="1"/>
        <v>100</v>
      </c>
      <c r="AA32" s="55">
        <v>30</v>
      </c>
      <c r="AB32" s="55">
        <v>30</v>
      </c>
      <c r="AC32" s="56">
        <v>40</v>
      </c>
      <c r="AG32" s="57">
        <v>75</v>
      </c>
      <c r="AH32" s="40" t="s">
        <v>214</v>
      </c>
    </row>
    <row r="33" spans="1:34">
      <c r="A33" s="41"/>
      <c r="B33" s="105">
        <v>65.34</v>
      </c>
      <c r="C33" s="106">
        <v>69.9899999999999</v>
      </c>
      <c r="D33" s="107">
        <v>74</v>
      </c>
      <c r="F33" s="80">
        <v>3</v>
      </c>
      <c r="G33" s="100" t="s">
        <v>190</v>
      </c>
      <c r="I33" s="47">
        <f t="shared" si="0"/>
        <v>1</v>
      </c>
      <c r="J33" s="48" t="s">
        <v>255</v>
      </c>
      <c r="K33" s="48" t="s">
        <v>256</v>
      </c>
      <c r="L33" s="48" t="s">
        <v>286</v>
      </c>
      <c r="M33" s="49">
        <v>80</v>
      </c>
      <c r="N33" s="50" t="s">
        <v>258</v>
      </c>
      <c r="O33" s="51">
        <v>11</v>
      </c>
      <c r="P33" s="52">
        <v>1</v>
      </c>
      <c r="Q33" s="53">
        <v>3</v>
      </c>
      <c r="R33" s="54">
        <v>3</v>
      </c>
      <c r="S33" s="51">
        <v>12</v>
      </c>
      <c r="T33" s="52">
        <v>1</v>
      </c>
      <c r="U33" s="53">
        <v>3</v>
      </c>
      <c r="V33" s="54">
        <v>3</v>
      </c>
      <c r="W33" s="51">
        <v>20</v>
      </c>
      <c r="X33" s="78">
        <v>60</v>
      </c>
      <c r="Y33" s="79">
        <v>20</v>
      </c>
      <c r="Z33" s="55">
        <f t="shared" si="1"/>
        <v>100</v>
      </c>
      <c r="AA33" s="55">
        <v>30</v>
      </c>
      <c r="AB33" s="55">
        <v>30</v>
      </c>
      <c r="AC33" s="56">
        <v>40</v>
      </c>
      <c r="AG33" s="57">
        <v>74</v>
      </c>
      <c r="AH33" s="40" t="s">
        <v>217</v>
      </c>
    </row>
    <row r="34" ht="15.5" customHeight="1" spans="1:34">
      <c r="A34" s="41"/>
      <c r="B34" s="105">
        <v>60.67</v>
      </c>
      <c r="C34" s="106">
        <v>65.33</v>
      </c>
      <c r="D34" s="107">
        <v>73</v>
      </c>
      <c r="F34" s="108">
        <v>4</v>
      </c>
      <c r="G34" s="109" t="s">
        <v>287</v>
      </c>
      <c r="I34" s="47">
        <f t="shared" si="0"/>
        <v>1</v>
      </c>
      <c r="J34" s="48" t="s">
        <v>255</v>
      </c>
      <c r="K34" s="48" t="s">
        <v>256</v>
      </c>
      <c r="L34" s="48" t="s">
        <v>288</v>
      </c>
      <c r="M34" s="49">
        <v>80</v>
      </c>
      <c r="N34" s="50" t="s">
        <v>258</v>
      </c>
      <c r="O34" s="51">
        <v>11</v>
      </c>
      <c r="P34" s="52">
        <v>1</v>
      </c>
      <c r="Q34" s="53">
        <v>3</v>
      </c>
      <c r="R34" s="54">
        <v>3</v>
      </c>
      <c r="S34" s="51">
        <v>12</v>
      </c>
      <c r="T34" s="52">
        <v>1</v>
      </c>
      <c r="U34" s="53">
        <v>3</v>
      </c>
      <c r="V34" s="54">
        <v>3</v>
      </c>
      <c r="W34" s="51">
        <v>20</v>
      </c>
      <c r="X34" s="78">
        <v>60</v>
      </c>
      <c r="Y34" s="79">
        <v>20</v>
      </c>
      <c r="Z34" s="55">
        <f t="shared" si="1"/>
        <v>100</v>
      </c>
      <c r="AA34" s="55">
        <v>30</v>
      </c>
      <c r="AB34" s="55">
        <v>30</v>
      </c>
      <c r="AC34" s="56">
        <v>40</v>
      </c>
      <c r="AG34" s="57">
        <v>73</v>
      </c>
      <c r="AH34" s="40" t="s">
        <v>217</v>
      </c>
    </row>
    <row r="35" spans="1:34">
      <c r="A35" s="41"/>
      <c r="B35" s="105">
        <v>56.01</v>
      </c>
      <c r="C35" s="106">
        <v>60.66</v>
      </c>
      <c r="D35" s="107">
        <v>72</v>
      </c>
      <c r="F35" s="108"/>
      <c r="G35" s="109"/>
      <c r="I35" s="47">
        <f t="shared" si="0"/>
        <v>1</v>
      </c>
      <c r="J35" s="48" t="s">
        <v>255</v>
      </c>
      <c r="K35" s="48" t="s">
        <v>256</v>
      </c>
      <c r="L35" s="48" t="s">
        <v>289</v>
      </c>
      <c r="M35" s="49">
        <v>80</v>
      </c>
      <c r="N35" s="50" t="s">
        <v>258</v>
      </c>
      <c r="O35" s="51">
        <v>11</v>
      </c>
      <c r="P35" s="52">
        <v>1</v>
      </c>
      <c r="Q35" s="53">
        <v>3</v>
      </c>
      <c r="R35" s="54">
        <v>3</v>
      </c>
      <c r="S35" s="51">
        <v>12</v>
      </c>
      <c r="T35" s="52">
        <v>1</v>
      </c>
      <c r="U35" s="53">
        <v>3</v>
      </c>
      <c r="V35" s="54">
        <v>3</v>
      </c>
      <c r="W35" s="51">
        <v>20</v>
      </c>
      <c r="X35" s="78">
        <v>60</v>
      </c>
      <c r="Y35" s="79">
        <v>20</v>
      </c>
      <c r="Z35" s="55">
        <f t="shared" si="1"/>
        <v>100</v>
      </c>
      <c r="AA35" s="55">
        <v>30</v>
      </c>
      <c r="AB35" s="55">
        <v>30</v>
      </c>
      <c r="AC35" s="56">
        <v>40</v>
      </c>
      <c r="AG35" s="57">
        <v>72</v>
      </c>
      <c r="AH35" s="40" t="s">
        <v>217</v>
      </c>
    </row>
    <row r="36" spans="1:34">
      <c r="A36" s="41"/>
      <c r="B36" s="105">
        <v>51.34</v>
      </c>
      <c r="C36" s="106">
        <v>56</v>
      </c>
      <c r="D36" s="107">
        <v>71</v>
      </c>
      <c r="I36" s="47">
        <f t="shared" si="0"/>
        <v>1</v>
      </c>
      <c r="J36" s="48" t="s">
        <v>255</v>
      </c>
      <c r="K36" s="48" t="s">
        <v>256</v>
      </c>
      <c r="L36" s="48" t="s">
        <v>290</v>
      </c>
      <c r="M36" s="49">
        <v>80</v>
      </c>
      <c r="N36" s="50" t="s">
        <v>258</v>
      </c>
      <c r="O36" s="51">
        <v>11</v>
      </c>
      <c r="P36" s="52">
        <v>1</v>
      </c>
      <c r="Q36" s="53">
        <v>3</v>
      </c>
      <c r="R36" s="54">
        <v>3</v>
      </c>
      <c r="S36" s="51">
        <v>12</v>
      </c>
      <c r="T36" s="52">
        <v>1</v>
      </c>
      <c r="U36" s="53">
        <v>3</v>
      </c>
      <c r="V36" s="54">
        <v>3</v>
      </c>
      <c r="W36" s="51">
        <v>20</v>
      </c>
      <c r="X36" s="78">
        <v>60</v>
      </c>
      <c r="Y36" s="79">
        <v>20</v>
      </c>
      <c r="Z36" s="55">
        <f t="shared" si="1"/>
        <v>100</v>
      </c>
      <c r="AA36" s="55">
        <v>30</v>
      </c>
      <c r="AB36" s="55">
        <v>30</v>
      </c>
      <c r="AC36" s="56">
        <v>40</v>
      </c>
      <c r="AG36" s="57">
        <v>71</v>
      </c>
      <c r="AH36" s="40" t="s">
        <v>217</v>
      </c>
    </row>
    <row r="37" spans="1:34">
      <c r="A37" s="41"/>
      <c r="B37" s="105">
        <v>46.67</v>
      </c>
      <c r="C37" s="106">
        <v>51.33</v>
      </c>
      <c r="D37" s="107">
        <v>70</v>
      </c>
      <c r="F37" s="110" t="s">
        <v>291</v>
      </c>
      <c r="G37" s="111"/>
      <c r="I37" s="112">
        <f t="shared" si="0"/>
        <v>0</v>
      </c>
      <c r="J37" s="113" t="s">
        <v>255</v>
      </c>
      <c r="K37" s="113" t="s">
        <v>256</v>
      </c>
      <c r="L37" s="113" t="s">
        <v>292</v>
      </c>
      <c r="M37" s="114">
        <v>160</v>
      </c>
      <c r="N37" s="115" t="s">
        <v>293</v>
      </c>
      <c r="O37" s="116" t="s">
        <v>249</v>
      </c>
      <c r="P37" s="117"/>
      <c r="Q37" s="118"/>
      <c r="R37" s="119"/>
      <c r="S37" s="116">
        <v>12</v>
      </c>
      <c r="T37" s="117">
        <v>1</v>
      </c>
      <c r="U37" s="118">
        <v>6</v>
      </c>
      <c r="V37" s="119">
        <v>6</v>
      </c>
      <c r="W37" s="114">
        <v>15</v>
      </c>
      <c r="X37" s="118">
        <v>70</v>
      </c>
      <c r="Y37" s="120">
        <v>15</v>
      </c>
      <c r="Z37" s="121">
        <f t="shared" si="1"/>
        <v>100</v>
      </c>
      <c r="AA37" s="121">
        <v>30</v>
      </c>
      <c r="AB37" s="55">
        <v>30</v>
      </c>
      <c r="AC37" s="56">
        <v>40</v>
      </c>
      <c r="AG37" s="57">
        <v>70</v>
      </c>
      <c r="AH37" s="40" t="s">
        <v>217</v>
      </c>
    </row>
    <row r="38" spans="1:34">
      <c r="A38" s="41"/>
      <c r="B38" s="105">
        <v>42.01</v>
      </c>
      <c r="C38" s="106">
        <v>46.66</v>
      </c>
      <c r="D38" s="107">
        <v>69</v>
      </c>
      <c r="F38" s="76">
        <v>11</v>
      </c>
      <c r="G38" s="104" t="s">
        <v>294</v>
      </c>
      <c r="I38" s="22">
        <f t="shared" si="0"/>
        <v>1</v>
      </c>
      <c r="J38" s="66" t="s">
        <v>255</v>
      </c>
      <c r="K38" s="66" t="s">
        <v>295</v>
      </c>
      <c r="L38" s="66" t="s">
        <v>296</v>
      </c>
      <c r="M38" s="67">
        <v>80</v>
      </c>
      <c r="N38" s="68" t="s">
        <v>258</v>
      </c>
      <c r="O38" s="69">
        <v>11</v>
      </c>
      <c r="P38" s="70">
        <v>1</v>
      </c>
      <c r="Q38" s="71">
        <v>3</v>
      </c>
      <c r="R38" s="72">
        <v>3</v>
      </c>
      <c r="S38" s="69">
        <v>12</v>
      </c>
      <c r="T38" s="70">
        <v>1</v>
      </c>
      <c r="U38" s="71">
        <v>3</v>
      </c>
      <c r="V38" s="72">
        <v>3</v>
      </c>
      <c r="W38" s="67">
        <v>20</v>
      </c>
      <c r="X38" s="71">
        <v>50</v>
      </c>
      <c r="Y38" s="122">
        <v>30</v>
      </c>
      <c r="Z38" s="75">
        <f t="shared" si="1"/>
        <v>100</v>
      </c>
      <c r="AA38" s="75">
        <v>30</v>
      </c>
      <c r="AB38" s="55">
        <v>30</v>
      </c>
      <c r="AC38" s="56">
        <v>40</v>
      </c>
      <c r="AG38" s="57">
        <v>69</v>
      </c>
      <c r="AH38" s="40" t="s">
        <v>217</v>
      </c>
    </row>
    <row r="39" spans="1:34">
      <c r="A39" s="41"/>
      <c r="B39" s="105">
        <v>37.34</v>
      </c>
      <c r="C39" s="106">
        <v>42</v>
      </c>
      <c r="D39" s="107">
        <v>68</v>
      </c>
      <c r="F39" s="76">
        <v>12</v>
      </c>
      <c r="G39" s="104" t="s">
        <v>297</v>
      </c>
      <c r="I39" s="47">
        <f t="shared" ref="I39:I70" si="2">IF(COUNTIF($N39,"*"&amp;$F$7&amp;"*")&gt;0,1,0)</f>
        <v>1</v>
      </c>
      <c r="J39" s="48" t="s">
        <v>255</v>
      </c>
      <c r="K39" s="48" t="s">
        <v>295</v>
      </c>
      <c r="L39" s="48" t="s">
        <v>298</v>
      </c>
      <c r="M39" s="49">
        <v>80</v>
      </c>
      <c r="N39" s="50" t="s">
        <v>258</v>
      </c>
      <c r="O39" s="51">
        <v>11</v>
      </c>
      <c r="P39" s="52">
        <v>1</v>
      </c>
      <c r="Q39" s="53">
        <v>3</v>
      </c>
      <c r="R39" s="54">
        <v>3</v>
      </c>
      <c r="S39" s="51">
        <v>12</v>
      </c>
      <c r="T39" s="52">
        <v>1</v>
      </c>
      <c r="U39" s="53">
        <v>3</v>
      </c>
      <c r="V39" s="54">
        <v>3</v>
      </c>
      <c r="W39" s="49">
        <v>20</v>
      </c>
      <c r="X39" s="53">
        <v>50</v>
      </c>
      <c r="Y39" s="6">
        <v>30</v>
      </c>
      <c r="Z39" s="55">
        <f t="shared" ref="Z39:Z70" si="3">SUM(W39:Y39)</f>
        <v>100</v>
      </c>
      <c r="AA39" s="55">
        <v>30</v>
      </c>
      <c r="AB39" s="55">
        <v>30</v>
      </c>
      <c r="AC39" s="56">
        <v>40</v>
      </c>
      <c r="AG39" s="57">
        <v>68</v>
      </c>
      <c r="AH39" s="40" t="s">
        <v>217</v>
      </c>
    </row>
    <row r="40" spans="1:34">
      <c r="A40" s="41"/>
      <c r="B40" s="105">
        <v>32.68</v>
      </c>
      <c r="C40" s="106">
        <v>37.33</v>
      </c>
      <c r="D40" s="107">
        <v>67</v>
      </c>
      <c r="F40" s="76">
        <v>13</v>
      </c>
      <c r="G40" s="104" t="s">
        <v>299</v>
      </c>
      <c r="I40" s="47">
        <f t="shared" si="2"/>
        <v>1</v>
      </c>
      <c r="J40" s="48" t="s">
        <v>255</v>
      </c>
      <c r="K40" s="48" t="s">
        <v>295</v>
      </c>
      <c r="L40" s="48" t="s">
        <v>300</v>
      </c>
      <c r="M40" s="49">
        <v>80</v>
      </c>
      <c r="N40" s="50" t="s">
        <v>258</v>
      </c>
      <c r="O40" s="51">
        <v>11</v>
      </c>
      <c r="P40" s="52">
        <v>1</v>
      </c>
      <c r="Q40" s="53">
        <v>3</v>
      </c>
      <c r="R40" s="54">
        <v>3</v>
      </c>
      <c r="S40" s="51">
        <v>12</v>
      </c>
      <c r="T40" s="52">
        <v>1</v>
      </c>
      <c r="U40" s="53">
        <v>3</v>
      </c>
      <c r="V40" s="54">
        <v>3</v>
      </c>
      <c r="W40" s="49">
        <v>20</v>
      </c>
      <c r="X40" s="53">
        <v>50</v>
      </c>
      <c r="Y40" s="6">
        <v>30</v>
      </c>
      <c r="Z40" s="55">
        <f t="shared" si="3"/>
        <v>100</v>
      </c>
      <c r="AA40" s="55">
        <v>30</v>
      </c>
      <c r="AB40" s="55">
        <v>30</v>
      </c>
      <c r="AC40" s="56">
        <v>40</v>
      </c>
      <c r="AG40" s="57">
        <v>67</v>
      </c>
      <c r="AH40" s="40" t="s">
        <v>217</v>
      </c>
    </row>
    <row r="41" spans="1:34">
      <c r="A41" s="41"/>
      <c r="B41" s="105">
        <v>28.01</v>
      </c>
      <c r="C41" s="106">
        <v>32.67</v>
      </c>
      <c r="D41" s="107">
        <v>66</v>
      </c>
      <c r="F41" s="76">
        <v>21</v>
      </c>
      <c r="G41" s="104" t="s">
        <v>301</v>
      </c>
      <c r="I41" s="47">
        <f t="shared" si="2"/>
        <v>1</v>
      </c>
      <c r="J41" s="48" t="s">
        <v>255</v>
      </c>
      <c r="K41" s="48" t="s">
        <v>295</v>
      </c>
      <c r="L41" s="48" t="s">
        <v>302</v>
      </c>
      <c r="M41" s="49">
        <v>80</v>
      </c>
      <c r="N41" s="50" t="s">
        <v>258</v>
      </c>
      <c r="O41" s="51">
        <v>11</v>
      </c>
      <c r="P41" s="52">
        <v>1</v>
      </c>
      <c r="Q41" s="53">
        <v>3</v>
      </c>
      <c r="R41" s="54">
        <v>3</v>
      </c>
      <c r="S41" s="51">
        <v>12</v>
      </c>
      <c r="T41" s="52">
        <v>1</v>
      </c>
      <c r="U41" s="53">
        <v>3</v>
      </c>
      <c r="V41" s="54">
        <v>3</v>
      </c>
      <c r="W41" s="49">
        <v>20</v>
      </c>
      <c r="X41" s="53">
        <v>50</v>
      </c>
      <c r="Y41" s="6">
        <v>30</v>
      </c>
      <c r="Z41" s="55">
        <f t="shared" si="3"/>
        <v>100</v>
      </c>
      <c r="AA41" s="55">
        <v>30</v>
      </c>
      <c r="AB41" s="55">
        <v>30</v>
      </c>
      <c r="AC41" s="56">
        <v>40</v>
      </c>
      <c r="AG41" s="57">
        <v>66</v>
      </c>
      <c r="AH41" s="40" t="s">
        <v>217</v>
      </c>
    </row>
    <row r="42" spans="1:34">
      <c r="A42" s="41"/>
      <c r="B42" s="105">
        <v>23.35</v>
      </c>
      <c r="C42" s="106">
        <v>28</v>
      </c>
      <c r="D42" s="107">
        <v>65</v>
      </c>
      <c r="F42" s="76">
        <v>22</v>
      </c>
      <c r="G42" s="104" t="s">
        <v>303</v>
      </c>
      <c r="I42" s="47">
        <f t="shared" si="2"/>
        <v>1</v>
      </c>
      <c r="J42" s="48" t="s">
        <v>255</v>
      </c>
      <c r="K42" s="48" t="s">
        <v>295</v>
      </c>
      <c r="L42" s="48" t="s">
        <v>304</v>
      </c>
      <c r="M42" s="49">
        <v>80</v>
      </c>
      <c r="N42" s="50" t="s">
        <v>258</v>
      </c>
      <c r="O42" s="51">
        <v>11</v>
      </c>
      <c r="P42" s="52">
        <v>1</v>
      </c>
      <c r="Q42" s="53">
        <v>3</v>
      </c>
      <c r="R42" s="54">
        <v>3</v>
      </c>
      <c r="S42" s="51">
        <v>12</v>
      </c>
      <c r="T42" s="52">
        <v>1</v>
      </c>
      <c r="U42" s="53">
        <v>3</v>
      </c>
      <c r="V42" s="54">
        <v>3</v>
      </c>
      <c r="W42" s="49">
        <v>20</v>
      </c>
      <c r="X42" s="53">
        <v>50</v>
      </c>
      <c r="Y42" s="6">
        <v>30</v>
      </c>
      <c r="Z42" s="55">
        <f t="shared" si="3"/>
        <v>100</v>
      </c>
      <c r="AA42" s="55">
        <v>30</v>
      </c>
      <c r="AB42" s="55">
        <v>30</v>
      </c>
      <c r="AC42" s="56">
        <v>40</v>
      </c>
      <c r="AG42" s="57">
        <v>65</v>
      </c>
      <c r="AH42" s="40" t="s">
        <v>217</v>
      </c>
    </row>
    <row r="43" spans="1:34">
      <c r="A43" s="41"/>
      <c r="B43" s="105">
        <v>18.68</v>
      </c>
      <c r="C43" s="106">
        <v>23.34</v>
      </c>
      <c r="D43" s="107">
        <v>64</v>
      </c>
      <c r="F43" s="80">
        <v>33</v>
      </c>
      <c r="G43" s="100" t="s">
        <v>305</v>
      </c>
      <c r="I43" s="112">
        <f t="shared" si="2"/>
        <v>0</v>
      </c>
      <c r="J43" s="113" t="s">
        <v>255</v>
      </c>
      <c r="K43" s="113" t="s">
        <v>295</v>
      </c>
      <c r="L43" s="113" t="s">
        <v>306</v>
      </c>
      <c r="M43" s="114">
        <v>80</v>
      </c>
      <c r="N43" s="115" t="s">
        <v>293</v>
      </c>
      <c r="O43" s="116" t="s">
        <v>249</v>
      </c>
      <c r="P43" s="117"/>
      <c r="Q43" s="118"/>
      <c r="R43" s="119"/>
      <c r="S43" s="116">
        <v>12</v>
      </c>
      <c r="T43" s="117">
        <v>1</v>
      </c>
      <c r="U43" s="118">
        <v>3</v>
      </c>
      <c r="V43" s="119">
        <v>3</v>
      </c>
      <c r="W43" s="114">
        <v>20</v>
      </c>
      <c r="X43" s="118">
        <v>50</v>
      </c>
      <c r="Y43" s="120">
        <v>30</v>
      </c>
      <c r="Z43" s="121">
        <f t="shared" si="3"/>
        <v>100</v>
      </c>
      <c r="AA43" s="121">
        <v>30</v>
      </c>
      <c r="AB43" s="55">
        <v>30</v>
      </c>
      <c r="AC43" s="56">
        <v>40</v>
      </c>
      <c r="AG43" s="57">
        <v>64</v>
      </c>
      <c r="AH43" s="40" t="s">
        <v>220</v>
      </c>
    </row>
    <row r="44" ht="15.5" customHeight="1" spans="1:34">
      <c r="A44" s="41"/>
      <c r="B44" s="105">
        <v>14.01</v>
      </c>
      <c r="C44" s="106">
        <v>18.67</v>
      </c>
      <c r="D44" s="107">
        <v>63</v>
      </c>
      <c r="F44" s="123" t="s">
        <v>307</v>
      </c>
      <c r="I44" s="22">
        <f t="shared" si="2"/>
        <v>1</v>
      </c>
      <c r="J44" s="66" t="s">
        <v>255</v>
      </c>
      <c r="K44" s="66" t="s">
        <v>308</v>
      </c>
      <c r="L44" s="66" t="s">
        <v>309</v>
      </c>
      <c r="M44" s="67">
        <v>80</v>
      </c>
      <c r="N44" s="68" t="s">
        <v>258</v>
      </c>
      <c r="O44" s="69">
        <v>11</v>
      </c>
      <c r="P44" s="70">
        <v>1</v>
      </c>
      <c r="Q44" s="71">
        <v>3</v>
      </c>
      <c r="R44" s="72">
        <v>3</v>
      </c>
      <c r="S44" s="69">
        <v>12</v>
      </c>
      <c r="T44" s="70">
        <v>1</v>
      </c>
      <c r="U44" s="71">
        <v>3</v>
      </c>
      <c r="V44" s="72">
        <v>3</v>
      </c>
      <c r="W44" s="67">
        <v>40</v>
      </c>
      <c r="X44" s="71">
        <v>60</v>
      </c>
      <c r="Y44" s="122"/>
      <c r="Z44" s="75">
        <f t="shared" si="3"/>
        <v>100</v>
      </c>
      <c r="AA44" s="75"/>
      <c r="AB44" s="55"/>
      <c r="AC44" s="56"/>
      <c r="AG44" s="57">
        <v>63</v>
      </c>
      <c r="AH44" s="40" t="s">
        <v>220</v>
      </c>
    </row>
    <row r="45" spans="1:34">
      <c r="A45" s="41"/>
      <c r="B45" s="105">
        <v>9.35</v>
      </c>
      <c r="C45" s="106">
        <v>14</v>
      </c>
      <c r="D45" s="107">
        <v>62</v>
      </c>
      <c r="I45" s="47">
        <f t="shared" si="2"/>
        <v>1</v>
      </c>
      <c r="J45" s="48" t="s">
        <v>255</v>
      </c>
      <c r="K45" s="48" t="s">
        <v>308</v>
      </c>
      <c r="L45" s="48" t="s">
        <v>310</v>
      </c>
      <c r="M45" s="49">
        <v>80</v>
      </c>
      <c r="N45" s="50" t="s">
        <v>258</v>
      </c>
      <c r="O45" s="51">
        <v>11</v>
      </c>
      <c r="P45" s="52">
        <v>1</v>
      </c>
      <c r="Q45" s="53">
        <v>3</v>
      </c>
      <c r="R45" s="54">
        <v>3</v>
      </c>
      <c r="S45" s="51">
        <v>12</v>
      </c>
      <c r="T45" s="52">
        <v>1</v>
      </c>
      <c r="U45" s="53">
        <v>3</v>
      </c>
      <c r="V45" s="54">
        <v>3</v>
      </c>
      <c r="W45" s="49">
        <v>40</v>
      </c>
      <c r="X45" s="53">
        <v>60</v>
      </c>
      <c r="Z45" s="55">
        <f t="shared" si="3"/>
        <v>100</v>
      </c>
      <c r="AA45" s="55"/>
      <c r="AB45" s="55"/>
      <c r="AC45" s="56"/>
      <c r="AG45" s="57">
        <v>62</v>
      </c>
      <c r="AH45" s="40" t="s">
        <v>220</v>
      </c>
    </row>
    <row r="46" spans="1:34">
      <c r="A46" s="41"/>
      <c r="B46" s="105">
        <v>4.68</v>
      </c>
      <c r="C46" s="106">
        <v>9.34</v>
      </c>
      <c r="D46" s="107">
        <v>61</v>
      </c>
      <c r="I46" s="47">
        <f t="shared" si="2"/>
        <v>1</v>
      </c>
      <c r="J46" s="48" t="s">
        <v>255</v>
      </c>
      <c r="K46" s="48" t="s">
        <v>308</v>
      </c>
      <c r="L46" s="48" t="s">
        <v>311</v>
      </c>
      <c r="M46" s="49">
        <v>80</v>
      </c>
      <c r="N46" s="50" t="s">
        <v>258</v>
      </c>
      <c r="O46" s="51">
        <v>11</v>
      </c>
      <c r="P46" s="52">
        <v>1</v>
      </c>
      <c r="Q46" s="53">
        <v>3</v>
      </c>
      <c r="R46" s="54">
        <v>3</v>
      </c>
      <c r="S46" s="51">
        <v>12</v>
      </c>
      <c r="T46" s="52">
        <v>1</v>
      </c>
      <c r="U46" s="53">
        <v>3</v>
      </c>
      <c r="V46" s="54">
        <v>3</v>
      </c>
      <c r="W46" s="49">
        <v>40</v>
      </c>
      <c r="X46" s="53">
        <v>60</v>
      </c>
      <c r="Z46" s="55">
        <f t="shared" si="3"/>
        <v>100</v>
      </c>
      <c r="AA46" s="55"/>
      <c r="AB46" s="55"/>
      <c r="AC46" s="56"/>
      <c r="AG46" s="57">
        <v>61</v>
      </c>
      <c r="AH46" s="40" t="s">
        <v>220</v>
      </c>
    </row>
    <row r="47" spans="1:34">
      <c r="A47" s="41"/>
      <c r="B47" s="124">
        <v>0</v>
      </c>
      <c r="C47" s="125">
        <v>4.67</v>
      </c>
      <c r="D47" s="126">
        <v>60</v>
      </c>
      <c r="I47" s="47">
        <f t="shared" si="2"/>
        <v>0</v>
      </c>
      <c r="J47" s="48" t="s">
        <v>255</v>
      </c>
      <c r="K47" s="48" t="s">
        <v>308</v>
      </c>
      <c r="L47" s="48" t="s">
        <v>312</v>
      </c>
      <c r="M47" s="49">
        <v>160</v>
      </c>
      <c r="N47" s="50" t="s">
        <v>293</v>
      </c>
      <c r="O47" s="51" t="s">
        <v>249</v>
      </c>
      <c r="P47" s="52"/>
      <c r="Q47" s="53"/>
      <c r="R47" s="54"/>
      <c r="S47" s="51">
        <v>12</v>
      </c>
      <c r="T47" s="52">
        <v>1</v>
      </c>
      <c r="U47" s="53">
        <v>6</v>
      </c>
      <c r="V47" s="54">
        <v>6</v>
      </c>
      <c r="W47" s="49">
        <v>15</v>
      </c>
      <c r="X47" s="53">
        <v>70</v>
      </c>
      <c r="Y47" s="6">
        <v>15</v>
      </c>
      <c r="Z47" s="55">
        <f t="shared" si="3"/>
        <v>100</v>
      </c>
      <c r="AA47" s="55">
        <v>30</v>
      </c>
      <c r="AB47" s="55">
        <v>30</v>
      </c>
      <c r="AC47" s="56">
        <v>40</v>
      </c>
      <c r="AG47" s="127">
        <v>60</v>
      </c>
      <c r="AH47" s="128" t="s">
        <v>220</v>
      </c>
    </row>
    <row r="48" spans="1:34">
      <c r="A48" s="41"/>
      <c r="B48" s="43"/>
      <c r="C48" s="43"/>
      <c r="D48" s="17"/>
      <c r="I48" s="47">
        <f t="shared" si="2"/>
        <v>0</v>
      </c>
      <c r="J48" s="48" t="s">
        <v>255</v>
      </c>
      <c r="K48" s="48" t="s">
        <v>308</v>
      </c>
      <c r="L48" s="48" t="s">
        <v>313</v>
      </c>
      <c r="M48" s="49">
        <v>160</v>
      </c>
      <c r="N48" s="50" t="s">
        <v>293</v>
      </c>
      <c r="O48" s="51" t="s">
        <v>249</v>
      </c>
      <c r="P48" s="52"/>
      <c r="Q48" s="53"/>
      <c r="R48" s="54"/>
      <c r="S48" s="51">
        <v>12</v>
      </c>
      <c r="T48" s="52">
        <v>1</v>
      </c>
      <c r="U48" s="53">
        <v>6</v>
      </c>
      <c r="V48" s="54">
        <v>6</v>
      </c>
      <c r="W48" s="49">
        <v>15</v>
      </c>
      <c r="X48" s="53">
        <v>70</v>
      </c>
      <c r="Y48" s="6">
        <v>15</v>
      </c>
      <c r="Z48" s="55">
        <f t="shared" si="3"/>
        <v>100</v>
      </c>
      <c r="AA48" s="55">
        <v>30</v>
      </c>
      <c r="AB48" s="55">
        <v>30</v>
      </c>
      <c r="AC48" s="56">
        <v>40</v>
      </c>
    </row>
    <row r="49" spans="1:29">
      <c r="A49" s="41"/>
      <c r="B49" s="43"/>
      <c r="I49" s="47">
        <f t="shared" si="2"/>
        <v>0</v>
      </c>
      <c r="J49" s="48" t="s">
        <v>255</v>
      </c>
      <c r="K49" s="48" t="s">
        <v>308</v>
      </c>
      <c r="L49" s="48" t="s">
        <v>314</v>
      </c>
      <c r="M49" s="49">
        <v>160</v>
      </c>
      <c r="N49" s="50" t="s">
        <v>293</v>
      </c>
      <c r="O49" s="51" t="s">
        <v>249</v>
      </c>
      <c r="P49" s="52"/>
      <c r="Q49" s="53"/>
      <c r="R49" s="54"/>
      <c r="S49" s="51">
        <v>12</v>
      </c>
      <c r="T49" s="52">
        <v>1</v>
      </c>
      <c r="U49" s="53">
        <v>6</v>
      </c>
      <c r="V49" s="54">
        <v>6</v>
      </c>
      <c r="W49" s="49">
        <v>15</v>
      </c>
      <c r="X49" s="53">
        <v>70</v>
      </c>
      <c r="Y49" s="6">
        <v>15</v>
      </c>
      <c r="Z49" s="55">
        <f t="shared" si="3"/>
        <v>100</v>
      </c>
      <c r="AA49" s="55">
        <v>30</v>
      </c>
      <c r="AB49" s="55">
        <v>30</v>
      </c>
      <c r="AC49" s="56">
        <v>40</v>
      </c>
    </row>
    <row r="50" spans="1:29">
      <c r="A50" s="41"/>
      <c r="B50" s="43"/>
      <c r="I50" s="47">
        <f t="shared" si="2"/>
        <v>0</v>
      </c>
      <c r="J50" s="48" t="s">
        <v>255</v>
      </c>
      <c r="K50" s="48" t="s">
        <v>308</v>
      </c>
      <c r="L50" s="48" t="s">
        <v>315</v>
      </c>
      <c r="M50" s="49">
        <v>160</v>
      </c>
      <c r="N50" s="50" t="s">
        <v>293</v>
      </c>
      <c r="O50" s="51" t="s">
        <v>249</v>
      </c>
      <c r="P50" s="52"/>
      <c r="Q50" s="53"/>
      <c r="R50" s="54"/>
      <c r="S50" s="51">
        <v>12</v>
      </c>
      <c r="T50" s="52">
        <v>1</v>
      </c>
      <c r="U50" s="53">
        <v>6</v>
      </c>
      <c r="V50" s="54">
        <v>6</v>
      </c>
      <c r="W50" s="49">
        <v>15</v>
      </c>
      <c r="X50" s="53">
        <v>70</v>
      </c>
      <c r="Y50" s="6">
        <v>15</v>
      </c>
      <c r="Z50" s="55">
        <f t="shared" si="3"/>
        <v>100</v>
      </c>
      <c r="AA50" s="55"/>
      <c r="AB50" s="55"/>
      <c r="AC50" s="56">
        <v>100</v>
      </c>
    </row>
    <row r="51" spans="1:29">
      <c r="A51" s="41"/>
      <c r="B51" s="43"/>
      <c r="I51" s="47">
        <f t="shared" si="2"/>
        <v>0</v>
      </c>
      <c r="J51" s="48" t="s">
        <v>255</v>
      </c>
      <c r="K51" s="48" t="s">
        <v>308</v>
      </c>
      <c r="L51" s="48" t="s">
        <v>316</v>
      </c>
      <c r="M51" s="49">
        <v>160</v>
      </c>
      <c r="N51" s="50" t="s">
        <v>293</v>
      </c>
      <c r="O51" s="51" t="s">
        <v>249</v>
      </c>
      <c r="P51" s="52"/>
      <c r="Q51" s="53"/>
      <c r="R51" s="54"/>
      <c r="S51" s="51">
        <v>12</v>
      </c>
      <c r="T51" s="52">
        <v>1</v>
      </c>
      <c r="U51" s="53">
        <v>6</v>
      </c>
      <c r="V51" s="54">
        <v>6</v>
      </c>
      <c r="W51" s="49">
        <v>15</v>
      </c>
      <c r="X51" s="53">
        <v>70</v>
      </c>
      <c r="Y51" s="6">
        <v>15</v>
      </c>
      <c r="Z51" s="55">
        <f t="shared" si="3"/>
        <v>100</v>
      </c>
      <c r="AA51" s="55"/>
      <c r="AB51" s="55"/>
      <c r="AC51" s="56">
        <v>100</v>
      </c>
    </row>
    <row r="52" spans="1:29">
      <c r="B52" s="43"/>
      <c r="I52" s="47">
        <f t="shared" si="2"/>
        <v>0</v>
      </c>
      <c r="J52" s="48" t="s">
        <v>255</v>
      </c>
      <c r="K52" s="48" t="s">
        <v>308</v>
      </c>
      <c r="L52" s="48" t="s">
        <v>317</v>
      </c>
      <c r="M52" s="49">
        <v>160</v>
      </c>
      <c r="N52" s="50" t="s">
        <v>293</v>
      </c>
      <c r="O52" s="51" t="s">
        <v>249</v>
      </c>
      <c r="P52" s="52"/>
      <c r="Q52" s="53"/>
      <c r="R52" s="54"/>
      <c r="S52" s="51">
        <v>12</v>
      </c>
      <c r="T52" s="52">
        <v>1</v>
      </c>
      <c r="U52" s="53">
        <v>6</v>
      </c>
      <c r="V52" s="54">
        <v>6</v>
      </c>
      <c r="W52" s="49">
        <v>15</v>
      </c>
      <c r="X52" s="53">
        <v>70</v>
      </c>
      <c r="Y52" s="6">
        <v>15</v>
      </c>
      <c r="Z52" s="55">
        <f t="shared" si="3"/>
        <v>100</v>
      </c>
      <c r="AA52" s="55"/>
      <c r="AB52" s="55"/>
      <c r="AC52" s="56">
        <v>100</v>
      </c>
    </row>
    <row r="53" spans="1:29">
      <c r="B53" s="43"/>
      <c r="I53" s="47">
        <f t="shared" si="2"/>
        <v>0</v>
      </c>
      <c r="J53" s="48" t="s">
        <v>255</v>
      </c>
      <c r="K53" s="48" t="s">
        <v>308</v>
      </c>
      <c r="L53" s="48" t="s">
        <v>318</v>
      </c>
      <c r="M53" s="49">
        <v>160</v>
      </c>
      <c r="N53" s="50" t="s">
        <v>293</v>
      </c>
      <c r="O53" s="51" t="s">
        <v>249</v>
      </c>
      <c r="P53" s="52"/>
      <c r="Q53" s="53"/>
      <c r="R53" s="54"/>
      <c r="S53" s="51">
        <v>12</v>
      </c>
      <c r="T53" s="52">
        <v>1</v>
      </c>
      <c r="U53" s="53">
        <v>6</v>
      </c>
      <c r="V53" s="54">
        <v>6</v>
      </c>
      <c r="W53" s="49">
        <v>15</v>
      </c>
      <c r="X53" s="53">
        <v>70</v>
      </c>
      <c r="Y53" s="6">
        <v>15</v>
      </c>
      <c r="Z53" s="55">
        <f t="shared" si="3"/>
        <v>100</v>
      </c>
      <c r="AA53" s="55"/>
      <c r="AB53" s="55"/>
      <c r="AC53" s="56">
        <v>100</v>
      </c>
    </row>
    <row r="54" spans="1:29">
      <c r="I54" s="47">
        <f t="shared" si="2"/>
        <v>0</v>
      </c>
      <c r="J54" s="48" t="s">
        <v>255</v>
      </c>
      <c r="K54" s="48" t="s">
        <v>308</v>
      </c>
      <c r="L54" s="48" t="s">
        <v>319</v>
      </c>
      <c r="M54" s="49">
        <v>80</v>
      </c>
      <c r="N54" s="50" t="s">
        <v>293</v>
      </c>
      <c r="O54" s="51" t="s">
        <v>249</v>
      </c>
      <c r="P54" s="52"/>
      <c r="Q54" s="53"/>
      <c r="R54" s="54"/>
      <c r="S54" s="51">
        <v>12</v>
      </c>
      <c r="T54" s="52">
        <v>1</v>
      </c>
      <c r="U54" s="53">
        <v>3</v>
      </c>
      <c r="V54" s="54">
        <v>3</v>
      </c>
      <c r="W54" s="49">
        <v>15</v>
      </c>
      <c r="X54" s="53">
        <v>70</v>
      </c>
      <c r="Y54" s="6">
        <v>15</v>
      </c>
      <c r="Z54" s="55">
        <f t="shared" si="3"/>
        <v>100</v>
      </c>
      <c r="AA54" s="55"/>
      <c r="AB54" s="55"/>
      <c r="AC54" s="56">
        <v>100</v>
      </c>
    </row>
    <row r="55" spans="1:29">
      <c r="I55" s="47">
        <f t="shared" si="2"/>
        <v>0</v>
      </c>
      <c r="J55" s="48" t="s">
        <v>255</v>
      </c>
      <c r="K55" s="48" t="s">
        <v>308</v>
      </c>
      <c r="L55" s="48" t="s">
        <v>320</v>
      </c>
      <c r="M55" s="49">
        <v>160</v>
      </c>
      <c r="N55" s="50" t="s">
        <v>293</v>
      </c>
      <c r="O55" s="51" t="s">
        <v>249</v>
      </c>
      <c r="P55" s="52"/>
      <c r="Q55" s="53"/>
      <c r="R55" s="54"/>
      <c r="S55" s="51">
        <v>12</v>
      </c>
      <c r="T55" s="52">
        <v>1</v>
      </c>
      <c r="U55" s="53">
        <v>3</v>
      </c>
      <c r="V55" s="54">
        <v>3</v>
      </c>
      <c r="W55" s="49">
        <v>15</v>
      </c>
      <c r="X55" s="53">
        <v>70</v>
      </c>
      <c r="Y55" s="6">
        <v>15</v>
      </c>
      <c r="Z55" s="55">
        <f t="shared" si="3"/>
        <v>100</v>
      </c>
      <c r="AA55" s="55"/>
      <c r="AB55" s="55"/>
      <c r="AC55" s="56">
        <v>100</v>
      </c>
    </row>
    <row r="56" spans="1:29">
      <c r="I56" s="129">
        <f t="shared" si="2"/>
        <v>0</v>
      </c>
      <c r="J56" s="130" t="s">
        <v>255</v>
      </c>
      <c r="K56" s="130" t="s">
        <v>308</v>
      </c>
      <c r="L56" s="130" t="s">
        <v>321</v>
      </c>
      <c r="M56" s="131">
        <v>320</v>
      </c>
      <c r="N56" s="132" t="s">
        <v>293</v>
      </c>
      <c r="O56" s="133" t="s">
        <v>249</v>
      </c>
      <c r="P56" s="134"/>
      <c r="Q56" s="134"/>
      <c r="R56" s="135"/>
      <c r="S56" s="133">
        <v>12</v>
      </c>
      <c r="T56" s="134">
        <v>1</v>
      </c>
      <c r="U56" s="134">
        <v>12</v>
      </c>
      <c r="V56" s="135">
        <v>12</v>
      </c>
      <c r="W56" s="133">
        <v>20</v>
      </c>
      <c r="X56" s="136">
        <v>80</v>
      </c>
      <c r="Y56" s="136"/>
      <c r="Z56" s="137">
        <f t="shared" si="3"/>
        <v>100</v>
      </c>
      <c r="AA56" s="121"/>
      <c r="AB56" s="55"/>
      <c r="AC56" s="56">
        <v>100</v>
      </c>
    </row>
    <row r="57" spans="1:29">
      <c r="I57" s="22">
        <f t="shared" si="2"/>
        <v>1</v>
      </c>
      <c r="J57" s="66" t="s">
        <v>255</v>
      </c>
      <c r="K57" s="66" t="s">
        <v>322</v>
      </c>
      <c r="L57" s="66" t="s">
        <v>323</v>
      </c>
      <c r="M57" s="67">
        <v>80</v>
      </c>
      <c r="N57" s="68" t="s">
        <v>258</v>
      </c>
      <c r="O57" s="69">
        <v>11</v>
      </c>
      <c r="P57" s="70">
        <v>1</v>
      </c>
      <c r="Q57" s="71">
        <v>3</v>
      </c>
      <c r="R57" s="72">
        <v>3</v>
      </c>
      <c r="S57" s="69">
        <v>12</v>
      </c>
      <c r="T57" s="70">
        <v>1</v>
      </c>
      <c r="U57" s="71">
        <v>3</v>
      </c>
      <c r="V57" s="72">
        <v>3</v>
      </c>
      <c r="W57" s="67">
        <v>20</v>
      </c>
      <c r="X57" s="71">
        <v>50</v>
      </c>
      <c r="Y57" s="122">
        <v>30</v>
      </c>
      <c r="Z57" s="75">
        <f t="shared" si="3"/>
        <v>100</v>
      </c>
      <c r="AA57" s="75"/>
      <c r="AB57" s="55"/>
      <c r="AC57" s="56">
        <v>100</v>
      </c>
    </row>
    <row r="58" spans="1:29">
      <c r="I58" s="47">
        <f t="shared" si="2"/>
        <v>1</v>
      </c>
      <c r="J58" s="48" t="s">
        <v>255</v>
      </c>
      <c r="K58" s="48" t="s">
        <v>322</v>
      </c>
      <c r="L58" s="48" t="s">
        <v>324</v>
      </c>
      <c r="M58" s="49">
        <v>80</v>
      </c>
      <c r="N58" s="50" t="s">
        <v>258</v>
      </c>
      <c r="O58" s="51">
        <v>11</v>
      </c>
      <c r="P58" s="52">
        <v>1</v>
      </c>
      <c r="Q58" s="53">
        <v>3</v>
      </c>
      <c r="R58" s="54">
        <v>3</v>
      </c>
      <c r="S58" s="51">
        <v>12</v>
      </c>
      <c r="T58" s="52">
        <v>1</v>
      </c>
      <c r="U58" s="53">
        <v>3</v>
      </c>
      <c r="V58" s="54">
        <v>3</v>
      </c>
      <c r="W58" s="49">
        <v>20</v>
      </c>
      <c r="X58" s="53">
        <v>50</v>
      </c>
      <c r="Y58" s="6">
        <v>30</v>
      </c>
      <c r="Z58" s="55">
        <f t="shared" si="3"/>
        <v>100</v>
      </c>
      <c r="AA58" s="55"/>
      <c r="AB58" s="55"/>
      <c r="AC58" s="56">
        <v>100</v>
      </c>
    </row>
    <row r="59" spans="1:29">
      <c r="I59" s="47">
        <f t="shared" si="2"/>
        <v>1</v>
      </c>
      <c r="J59" s="48" t="s">
        <v>255</v>
      </c>
      <c r="K59" s="48" t="s">
        <v>322</v>
      </c>
      <c r="L59" s="48" t="s">
        <v>325</v>
      </c>
      <c r="M59" s="49">
        <v>80</v>
      </c>
      <c r="N59" s="50" t="s">
        <v>258</v>
      </c>
      <c r="O59" s="51">
        <v>11</v>
      </c>
      <c r="P59" s="52">
        <v>1</v>
      </c>
      <c r="Q59" s="53">
        <v>3</v>
      </c>
      <c r="R59" s="54">
        <v>3</v>
      </c>
      <c r="S59" s="51">
        <v>12</v>
      </c>
      <c r="T59" s="52">
        <v>1</v>
      </c>
      <c r="U59" s="53">
        <v>3</v>
      </c>
      <c r="V59" s="54">
        <v>3</v>
      </c>
      <c r="W59" s="49">
        <v>20</v>
      </c>
      <c r="X59" s="53">
        <v>50</v>
      </c>
      <c r="Y59" s="6">
        <v>30</v>
      </c>
      <c r="Z59" s="55">
        <f t="shared" si="3"/>
        <v>100</v>
      </c>
      <c r="AA59" s="55">
        <v>30</v>
      </c>
      <c r="AB59" s="55">
        <v>30</v>
      </c>
      <c r="AC59" s="56">
        <v>40</v>
      </c>
    </row>
    <row r="60" spans="1:29">
      <c r="I60" s="47">
        <f t="shared" si="2"/>
        <v>1</v>
      </c>
      <c r="J60" s="48" t="s">
        <v>255</v>
      </c>
      <c r="K60" s="48" t="s">
        <v>322</v>
      </c>
      <c r="L60" s="48" t="s">
        <v>326</v>
      </c>
      <c r="M60" s="49">
        <v>80</v>
      </c>
      <c r="N60" s="50" t="s">
        <v>258</v>
      </c>
      <c r="O60" s="51">
        <v>11</v>
      </c>
      <c r="P60" s="52">
        <v>1</v>
      </c>
      <c r="Q60" s="53">
        <v>3</v>
      </c>
      <c r="R60" s="54">
        <v>3</v>
      </c>
      <c r="S60" s="51">
        <v>12</v>
      </c>
      <c r="T60" s="52">
        <v>1</v>
      </c>
      <c r="U60" s="53">
        <v>3</v>
      </c>
      <c r="V60" s="54">
        <v>3</v>
      </c>
      <c r="W60" s="49">
        <v>20</v>
      </c>
      <c r="X60" s="53">
        <v>50</v>
      </c>
      <c r="Y60" s="6">
        <v>30</v>
      </c>
      <c r="Z60" s="55">
        <f t="shared" si="3"/>
        <v>100</v>
      </c>
      <c r="AA60" s="55">
        <v>30</v>
      </c>
      <c r="AB60" s="55">
        <v>30</v>
      </c>
      <c r="AC60" s="56">
        <v>40</v>
      </c>
    </row>
    <row r="61" spans="1:29">
      <c r="I61" s="47">
        <f t="shared" si="2"/>
        <v>1</v>
      </c>
      <c r="J61" s="48" t="s">
        <v>255</v>
      </c>
      <c r="K61" s="48" t="s">
        <v>322</v>
      </c>
      <c r="L61" s="48" t="s">
        <v>327</v>
      </c>
      <c r="M61" s="49">
        <v>80</v>
      </c>
      <c r="N61" s="50" t="s">
        <v>258</v>
      </c>
      <c r="O61" s="51">
        <v>11</v>
      </c>
      <c r="P61" s="52">
        <v>1</v>
      </c>
      <c r="Q61" s="53">
        <v>3</v>
      </c>
      <c r="R61" s="54">
        <v>3</v>
      </c>
      <c r="S61" s="51">
        <v>12</v>
      </c>
      <c r="T61" s="52">
        <v>1</v>
      </c>
      <c r="U61" s="53">
        <v>3</v>
      </c>
      <c r="V61" s="54">
        <v>3</v>
      </c>
      <c r="W61" s="49">
        <v>20</v>
      </c>
      <c r="X61" s="53">
        <v>50</v>
      </c>
      <c r="Y61" s="6">
        <v>30</v>
      </c>
      <c r="Z61" s="55">
        <f t="shared" si="3"/>
        <v>100</v>
      </c>
      <c r="AA61" s="55">
        <v>30</v>
      </c>
      <c r="AB61" s="55">
        <v>30</v>
      </c>
      <c r="AC61" s="56">
        <v>40</v>
      </c>
    </row>
    <row r="62" spans="1:29">
      <c r="I62" s="47">
        <f t="shared" si="2"/>
        <v>1</v>
      </c>
      <c r="J62" s="48" t="s">
        <v>255</v>
      </c>
      <c r="K62" s="48" t="s">
        <v>322</v>
      </c>
      <c r="L62" s="48" t="s">
        <v>328</v>
      </c>
      <c r="M62" s="49">
        <v>80</v>
      </c>
      <c r="N62" s="50" t="s">
        <v>258</v>
      </c>
      <c r="O62" s="51">
        <v>11</v>
      </c>
      <c r="P62" s="52">
        <v>1</v>
      </c>
      <c r="Q62" s="53">
        <v>3</v>
      </c>
      <c r="R62" s="54">
        <v>3</v>
      </c>
      <c r="S62" s="51">
        <v>12</v>
      </c>
      <c r="T62" s="52">
        <v>1</v>
      </c>
      <c r="U62" s="53">
        <v>3</v>
      </c>
      <c r="V62" s="54">
        <v>3</v>
      </c>
      <c r="W62" s="49">
        <v>20</v>
      </c>
      <c r="X62" s="53">
        <v>50</v>
      </c>
      <c r="Y62" s="6">
        <v>30</v>
      </c>
      <c r="Z62" s="55">
        <f t="shared" si="3"/>
        <v>100</v>
      </c>
      <c r="AA62" s="55">
        <v>30</v>
      </c>
      <c r="AB62" s="55">
        <v>30</v>
      </c>
      <c r="AC62" s="56">
        <v>40</v>
      </c>
    </row>
    <row r="63" spans="1:29">
      <c r="I63" s="47">
        <f t="shared" si="2"/>
        <v>1</v>
      </c>
      <c r="J63" s="48" t="s">
        <v>255</v>
      </c>
      <c r="K63" s="48" t="s">
        <v>322</v>
      </c>
      <c r="L63" s="48" t="s">
        <v>329</v>
      </c>
      <c r="M63" s="49">
        <v>80</v>
      </c>
      <c r="N63" s="50" t="s">
        <v>258</v>
      </c>
      <c r="O63" s="51">
        <v>11</v>
      </c>
      <c r="P63" s="52">
        <v>1</v>
      </c>
      <c r="Q63" s="53">
        <v>3</v>
      </c>
      <c r="R63" s="54">
        <v>3</v>
      </c>
      <c r="S63" s="51">
        <v>12</v>
      </c>
      <c r="T63" s="52">
        <v>1</v>
      </c>
      <c r="U63" s="53">
        <v>3</v>
      </c>
      <c r="V63" s="54">
        <v>3</v>
      </c>
      <c r="W63" s="49">
        <v>20</v>
      </c>
      <c r="X63" s="53">
        <v>50</v>
      </c>
      <c r="Y63" s="6">
        <v>30</v>
      </c>
      <c r="Z63" s="55">
        <f t="shared" si="3"/>
        <v>100</v>
      </c>
      <c r="AA63" s="55">
        <v>30</v>
      </c>
      <c r="AB63" s="55">
        <v>30</v>
      </c>
      <c r="AC63" s="56">
        <v>40</v>
      </c>
    </row>
    <row r="64" spans="1:29">
      <c r="I64" s="47">
        <f t="shared" si="2"/>
        <v>1</v>
      </c>
      <c r="J64" s="48" t="s">
        <v>255</v>
      </c>
      <c r="K64" s="48" t="s">
        <v>322</v>
      </c>
      <c r="L64" s="48" t="s">
        <v>330</v>
      </c>
      <c r="M64" s="49">
        <v>80</v>
      </c>
      <c r="N64" s="50" t="s">
        <v>258</v>
      </c>
      <c r="O64" s="51">
        <v>11</v>
      </c>
      <c r="P64" s="52">
        <v>1</v>
      </c>
      <c r="Q64" s="53">
        <v>3</v>
      </c>
      <c r="R64" s="54">
        <v>3</v>
      </c>
      <c r="S64" s="51">
        <v>12</v>
      </c>
      <c r="T64" s="52">
        <v>1</v>
      </c>
      <c r="U64" s="53">
        <v>3</v>
      </c>
      <c r="V64" s="54">
        <v>3</v>
      </c>
      <c r="W64" s="49">
        <v>20</v>
      </c>
      <c r="X64" s="53">
        <v>50</v>
      </c>
      <c r="Y64" s="6">
        <v>30</v>
      </c>
      <c r="Z64" s="55">
        <f t="shared" si="3"/>
        <v>100</v>
      </c>
      <c r="AA64" s="55">
        <v>30</v>
      </c>
      <c r="AB64" s="55">
        <v>30</v>
      </c>
      <c r="AC64" s="56">
        <v>40</v>
      </c>
    </row>
    <row r="65" spans="9:29">
      <c r="I65" s="47">
        <f t="shared" si="2"/>
        <v>1</v>
      </c>
      <c r="J65" s="48" t="s">
        <v>255</v>
      </c>
      <c r="K65" s="48" t="s">
        <v>322</v>
      </c>
      <c r="L65" s="48" t="s">
        <v>331</v>
      </c>
      <c r="M65" s="49">
        <v>80</v>
      </c>
      <c r="N65" s="50" t="s">
        <v>258</v>
      </c>
      <c r="O65" s="51">
        <v>11</v>
      </c>
      <c r="P65" s="52">
        <v>1</v>
      </c>
      <c r="Q65" s="53">
        <v>3</v>
      </c>
      <c r="R65" s="54">
        <v>3</v>
      </c>
      <c r="S65" s="51">
        <v>12</v>
      </c>
      <c r="T65" s="52">
        <v>1</v>
      </c>
      <c r="U65" s="53">
        <v>3</v>
      </c>
      <c r="V65" s="54">
        <v>3</v>
      </c>
      <c r="W65" s="49">
        <v>20</v>
      </c>
      <c r="X65" s="53">
        <v>50</v>
      </c>
      <c r="Y65" s="6">
        <v>30</v>
      </c>
      <c r="Z65" s="55">
        <f t="shared" si="3"/>
        <v>100</v>
      </c>
      <c r="AA65" s="55">
        <v>30</v>
      </c>
      <c r="AB65" s="55">
        <v>30</v>
      </c>
      <c r="AC65" s="56">
        <v>40</v>
      </c>
    </row>
    <row r="66" spans="9:29">
      <c r="I66" s="47">
        <f t="shared" si="2"/>
        <v>1</v>
      </c>
      <c r="J66" s="48" t="s">
        <v>255</v>
      </c>
      <c r="K66" s="48" t="s">
        <v>322</v>
      </c>
      <c r="L66" s="48" t="s">
        <v>332</v>
      </c>
      <c r="M66" s="49">
        <v>80</v>
      </c>
      <c r="N66" s="50" t="s">
        <v>258</v>
      </c>
      <c r="O66" s="51">
        <v>11</v>
      </c>
      <c r="P66" s="52">
        <v>1</v>
      </c>
      <c r="Q66" s="53">
        <v>3</v>
      </c>
      <c r="R66" s="54">
        <v>3</v>
      </c>
      <c r="S66" s="51">
        <v>12</v>
      </c>
      <c r="T66" s="52">
        <v>1</v>
      </c>
      <c r="U66" s="53">
        <v>3</v>
      </c>
      <c r="V66" s="54">
        <v>3</v>
      </c>
      <c r="W66" s="49">
        <v>20</v>
      </c>
      <c r="X66" s="53">
        <v>50</v>
      </c>
      <c r="Y66" s="6">
        <v>30</v>
      </c>
      <c r="Z66" s="55">
        <f t="shared" si="3"/>
        <v>100</v>
      </c>
      <c r="AA66" s="55">
        <v>30</v>
      </c>
      <c r="AB66" s="55">
        <v>30</v>
      </c>
      <c r="AC66" s="56">
        <v>40</v>
      </c>
    </row>
    <row r="67" spans="9:29">
      <c r="I67" s="47">
        <f t="shared" si="2"/>
        <v>1</v>
      </c>
      <c r="J67" s="48" t="s">
        <v>255</v>
      </c>
      <c r="K67" s="48" t="s">
        <v>322</v>
      </c>
      <c r="L67" s="48" t="s">
        <v>333</v>
      </c>
      <c r="M67" s="49">
        <v>80</v>
      </c>
      <c r="N67" s="50" t="s">
        <v>258</v>
      </c>
      <c r="O67" s="51">
        <v>11</v>
      </c>
      <c r="P67" s="52">
        <v>1</v>
      </c>
      <c r="Q67" s="53">
        <v>3</v>
      </c>
      <c r="R67" s="54">
        <v>3</v>
      </c>
      <c r="S67" s="51">
        <v>12</v>
      </c>
      <c r="T67" s="52">
        <v>1</v>
      </c>
      <c r="U67" s="53">
        <v>3</v>
      </c>
      <c r="V67" s="54">
        <v>3</v>
      </c>
      <c r="W67" s="49">
        <v>20</v>
      </c>
      <c r="X67" s="53">
        <v>50</v>
      </c>
      <c r="Y67" s="6">
        <v>30</v>
      </c>
      <c r="Z67" s="55">
        <f t="shared" si="3"/>
        <v>100</v>
      </c>
      <c r="AA67" s="55">
        <v>30</v>
      </c>
      <c r="AB67" s="55">
        <v>30</v>
      </c>
      <c r="AC67" s="56">
        <v>40</v>
      </c>
    </row>
    <row r="68" spans="9:29">
      <c r="I68" s="47">
        <f t="shared" si="2"/>
        <v>1</v>
      </c>
      <c r="J68" s="48" t="s">
        <v>255</v>
      </c>
      <c r="K68" s="48" t="s">
        <v>322</v>
      </c>
      <c r="L68" s="48" t="s">
        <v>334</v>
      </c>
      <c r="M68" s="49">
        <v>80</v>
      </c>
      <c r="N68" s="50" t="s">
        <v>258</v>
      </c>
      <c r="O68" s="51">
        <v>11</v>
      </c>
      <c r="P68" s="52">
        <v>1</v>
      </c>
      <c r="Q68" s="53">
        <v>3</v>
      </c>
      <c r="R68" s="54">
        <v>3</v>
      </c>
      <c r="S68" s="51">
        <v>12</v>
      </c>
      <c r="T68" s="52">
        <v>1</v>
      </c>
      <c r="U68" s="53">
        <v>3</v>
      </c>
      <c r="V68" s="54">
        <v>3</v>
      </c>
      <c r="W68" s="49">
        <v>20</v>
      </c>
      <c r="X68" s="53">
        <v>50</v>
      </c>
      <c r="Y68" s="6">
        <v>30</v>
      </c>
      <c r="Z68" s="55">
        <f t="shared" si="3"/>
        <v>100</v>
      </c>
      <c r="AA68" s="55">
        <v>30</v>
      </c>
      <c r="AB68" s="55">
        <v>30</v>
      </c>
      <c r="AC68" s="56">
        <v>40</v>
      </c>
    </row>
    <row r="69" spans="9:29">
      <c r="I69" s="47">
        <f t="shared" si="2"/>
        <v>1</v>
      </c>
      <c r="J69" s="48" t="s">
        <v>255</v>
      </c>
      <c r="K69" s="48" t="s">
        <v>322</v>
      </c>
      <c r="L69" s="48" t="s">
        <v>335</v>
      </c>
      <c r="M69" s="49">
        <v>80</v>
      </c>
      <c r="N69" s="50" t="s">
        <v>258</v>
      </c>
      <c r="O69" s="51">
        <v>11</v>
      </c>
      <c r="P69" s="52">
        <v>1</v>
      </c>
      <c r="Q69" s="53">
        <v>3</v>
      </c>
      <c r="R69" s="54">
        <v>3</v>
      </c>
      <c r="S69" s="51">
        <v>12</v>
      </c>
      <c r="T69" s="52">
        <v>1</v>
      </c>
      <c r="U69" s="53">
        <v>3</v>
      </c>
      <c r="V69" s="54">
        <v>3</v>
      </c>
      <c r="W69" s="49">
        <v>20</v>
      </c>
      <c r="X69" s="53">
        <v>50</v>
      </c>
      <c r="Y69" s="6">
        <v>30</v>
      </c>
      <c r="Z69" s="55">
        <f t="shared" si="3"/>
        <v>100</v>
      </c>
      <c r="AA69" s="55">
        <v>30</v>
      </c>
      <c r="AB69" s="55">
        <v>30</v>
      </c>
      <c r="AC69" s="56">
        <v>40</v>
      </c>
    </row>
    <row r="70" spans="9:29">
      <c r="I70" s="47">
        <f t="shared" si="2"/>
        <v>1</v>
      </c>
      <c r="J70" s="48" t="s">
        <v>255</v>
      </c>
      <c r="K70" s="48" t="s">
        <v>322</v>
      </c>
      <c r="L70" s="48" t="s">
        <v>336</v>
      </c>
      <c r="M70" s="49">
        <v>80</v>
      </c>
      <c r="N70" s="50" t="s">
        <v>258</v>
      </c>
      <c r="O70" s="51">
        <v>11</v>
      </c>
      <c r="P70" s="52">
        <v>1</v>
      </c>
      <c r="Q70" s="53">
        <v>3</v>
      </c>
      <c r="R70" s="54">
        <v>3</v>
      </c>
      <c r="S70" s="51">
        <v>12</v>
      </c>
      <c r="T70" s="52">
        <v>1</v>
      </c>
      <c r="U70" s="53">
        <v>3</v>
      </c>
      <c r="V70" s="54">
        <v>3</v>
      </c>
      <c r="W70" s="49">
        <v>20</v>
      </c>
      <c r="X70" s="53">
        <v>50</v>
      </c>
      <c r="Y70" s="6">
        <v>30</v>
      </c>
      <c r="Z70" s="55">
        <f t="shared" si="3"/>
        <v>100</v>
      </c>
      <c r="AA70" s="55">
        <v>30</v>
      </c>
      <c r="AB70" s="55">
        <v>30</v>
      </c>
      <c r="AC70" s="56">
        <v>40</v>
      </c>
    </row>
    <row r="71" spans="9:29">
      <c r="I71" s="47">
        <f t="shared" ref="I71:I102" si="4">IF(COUNTIF($N71,"*"&amp;$F$7&amp;"*")&gt;0,1,0)</f>
        <v>1</v>
      </c>
      <c r="J71" s="48" t="s">
        <v>255</v>
      </c>
      <c r="K71" s="48" t="s">
        <v>322</v>
      </c>
      <c r="L71" s="48" t="s">
        <v>337</v>
      </c>
      <c r="M71" s="49">
        <v>80</v>
      </c>
      <c r="N71" s="50" t="s">
        <v>258</v>
      </c>
      <c r="O71" s="51">
        <v>11</v>
      </c>
      <c r="P71" s="52">
        <v>1</v>
      </c>
      <c r="Q71" s="53">
        <v>3</v>
      </c>
      <c r="R71" s="54">
        <v>3</v>
      </c>
      <c r="S71" s="51">
        <v>12</v>
      </c>
      <c r="T71" s="52">
        <v>1</v>
      </c>
      <c r="U71" s="53">
        <v>3</v>
      </c>
      <c r="V71" s="54">
        <v>3</v>
      </c>
      <c r="W71" s="49">
        <v>20</v>
      </c>
      <c r="X71" s="53">
        <v>50</v>
      </c>
      <c r="Y71" s="6">
        <v>30</v>
      </c>
      <c r="Z71" s="55">
        <f t="shared" ref="Z71:Z93" si="5">SUM(W71:Y71)</f>
        <v>100</v>
      </c>
      <c r="AA71" s="55">
        <v>30</v>
      </c>
      <c r="AB71" s="55">
        <v>30</v>
      </c>
      <c r="AC71" s="56">
        <v>40</v>
      </c>
    </row>
    <row r="72" spans="9:29">
      <c r="I72" s="47">
        <f t="shared" si="4"/>
        <v>1</v>
      </c>
      <c r="J72" s="48" t="s">
        <v>255</v>
      </c>
      <c r="K72" s="48" t="s">
        <v>322</v>
      </c>
      <c r="L72" s="48" t="s">
        <v>338</v>
      </c>
      <c r="M72" s="49">
        <v>80</v>
      </c>
      <c r="N72" s="50" t="s">
        <v>258</v>
      </c>
      <c r="O72" s="51">
        <v>11</v>
      </c>
      <c r="P72" s="52">
        <v>1</v>
      </c>
      <c r="Q72" s="53">
        <v>3</v>
      </c>
      <c r="R72" s="54">
        <v>3</v>
      </c>
      <c r="S72" s="51">
        <v>12</v>
      </c>
      <c r="T72" s="52">
        <v>1</v>
      </c>
      <c r="U72" s="53">
        <v>3</v>
      </c>
      <c r="V72" s="54">
        <v>3</v>
      </c>
      <c r="W72" s="49">
        <v>20</v>
      </c>
      <c r="X72" s="53">
        <v>50</v>
      </c>
      <c r="Y72" s="6">
        <v>30</v>
      </c>
      <c r="Z72" s="55">
        <f t="shared" si="5"/>
        <v>100</v>
      </c>
      <c r="AA72" s="55">
        <v>30</v>
      </c>
      <c r="AB72" s="55">
        <v>30</v>
      </c>
      <c r="AC72" s="56">
        <v>40</v>
      </c>
    </row>
    <row r="73" spans="9:29">
      <c r="I73" s="47">
        <f t="shared" si="4"/>
        <v>1</v>
      </c>
      <c r="J73" s="48" t="s">
        <v>255</v>
      </c>
      <c r="K73" s="48" t="s">
        <v>322</v>
      </c>
      <c r="L73" s="48" t="s">
        <v>339</v>
      </c>
      <c r="M73" s="49">
        <v>80</v>
      </c>
      <c r="N73" s="50" t="s">
        <v>258</v>
      </c>
      <c r="O73" s="51">
        <v>11</v>
      </c>
      <c r="P73" s="52">
        <v>1</v>
      </c>
      <c r="Q73" s="53">
        <v>3</v>
      </c>
      <c r="R73" s="54">
        <v>3</v>
      </c>
      <c r="S73" s="51">
        <v>12</v>
      </c>
      <c r="T73" s="52">
        <v>1</v>
      </c>
      <c r="U73" s="53">
        <v>3</v>
      </c>
      <c r="V73" s="54">
        <v>3</v>
      </c>
      <c r="W73" s="49">
        <v>20</v>
      </c>
      <c r="X73" s="53">
        <v>50</v>
      </c>
      <c r="Y73" s="6">
        <v>30</v>
      </c>
      <c r="Z73" s="55">
        <f t="shared" si="5"/>
        <v>100</v>
      </c>
      <c r="AA73" s="55">
        <v>30</v>
      </c>
      <c r="AB73" s="55">
        <v>30</v>
      </c>
      <c r="AC73" s="56">
        <v>40</v>
      </c>
    </row>
    <row r="74" spans="9:29">
      <c r="I74" s="47">
        <f t="shared" si="4"/>
        <v>1</v>
      </c>
      <c r="J74" s="48" t="s">
        <v>255</v>
      </c>
      <c r="K74" s="48" t="s">
        <v>322</v>
      </c>
      <c r="L74" s="48" t="s">
        <v>340</v>
      </c>
      <c r="M74" s="49">
        <v>80</v>
      </c>
      <c r="N74" s="50" t="s">
        <v>258</v>
      </c>
      <c r="O74" s="51">
        <v>11</v>
      </c>
      <c r="P74" s="52">
        <v>1</v>
      </c>
      <c r="Q74" s="53">
        <v>3</v>
      </c>
      <c r="R74" s="54">
        <v>3</v>
      </c>
      <c r="S74" s="51">
        <v>12</v>
      </c>
      <c r="T74" s="52">
        <v>1</v>
      </c>
      <c r="U74" s="53">
        <v>3</v>
      </c>
      <c r="V74" s="54">
        <v>3</v>
      </c>
      <c r="W74" s="49">
        <v>20</v>
      </c>
      <c r="X74" s="53">
        <v>50</v>
      </c>
      <c r="Y74" s="6">
        <v>30</v>
      </c>
      <c r="Z74" s="55">
        <f t="shared" si="5"/>
        <v>100</v>
      </c>
      <c r="AA74" s="55">
        <v>30</v>
      </c>
      <c r="AB74" s="55">
        <v>30</v>
      </c>
      <c r="AC74" s="56">
        <v>40</v>
      </c>
    </row>
    <row r="75" spans="9:29">
      <c r="I75" s="47">
        <f t="shared" si="4"/>
        <v>0</v>
      </c>
      <c r="J75" s="48" t="s">
        <v>255</v>
      </c>
      <c r="K75" s="48" t="s">
        <v>322</v>
      </c>
      <c r="L75" s="48" t="s">
        <v>341</v>
      </c>
      <c r="M75" s="49">
        <v>80</v>
      </c>
      <c r="N75" s="50" t="s">
        <v>293</v>
      </c>
      <c r="O75" s="51" t="s">
        <v>249</v>
      </c>
      <c r="P75" s="52"/>
      <c r="Q75" s="53"/>
      <c r="R75" s="54"/>
      <c r="S75" s="51">
        <v>12</v>
      </c>
      <c r="T75" s="52">
        <v>1</v>
      </c>
      <c r="U75" s="53">
        <v>3</v>
      </c>
      <c r="V75" s="54">
        <v>3</v>
      </c>
      <c r="W75" s="49">
        <v>20</v>
      </c>
      <c r="X75" s="53">
        <v>50</v>
      </c>
      <c r="Y75" s="6">
        <v>30</v>
      </c>
      <c r="Z75" s="55">
        <f t="shared" si="5"/>
        <v>100</v>
      </c>
      <c r="AA75" s="55">
        <v>30</v>
      </c>
      <c r="AB75" s="55">
        <v>30</v>
      </c>
      <c r="AC75" s="56">
        <v>40</v>
      </c>
    </row>
    <row r="76" spans="9:29">
      <c r="I76" s="47">
        <f t="shared" si="4"/>
        <v>0</v>
      </c>
      <c r="J76" s="48" t="s">
        <v>255</v>
      </c>
      <c r="K76" s="48" t="s">
        <v>322</v>
      </c>
      <c r="L76" s="48" t="s">
        <v>342</v>
      </c>
      <c r="M76" s="49">
        <v>80</v>
      </c>
      <c r="N76" s="50" t="s">
        <v>293</v>
      </c>
      <c r="O76" s="51" t="s">
        <v>249</v>
      </c>
      <c r="P76" s="52"/>
      <c r="Q76" s="53"/>
      <c r="R76" s="54"/>
      <c r="S76" s="51">
        <v>12</v>
      </c>
      <c r="T76" s="52">
        <v>1</v>
      </c>
      <c r="U76" s="53">
        <v>3</v>
      </c>
      <c r="V76" s="54">
        <v>3</v>
      </c>
      <c r="W76" s="49">
        <v>20</v>
      </c>
      <c r="X76" s="53">
        <v>50</v>
      </c>
      <c r="Y76" s="6">
        <v>30</v>
      </c>
      <c r="Z76" s="55">
        <f t="shared" si="5"/>
        <v>100</v>
      </c>
      <c r="AA76" s="55">
        <v>30</v>
      </c>
      <c r="AB76" s="55">
        <v>30</v>
      </c>
      <c r="AC76" s="56">
        <v>40</v>
      </c>
    </row>
    <row r="77" spans="9:29">
      <c r="I77" s="47">
        <f t="shared" si="4"/>
        <v>0</v>
      </c>
      <c r="J77" s="48" t="s">
        <v>255</v>
      </c>
      <c r="K77" s="48" t="s">
        <v>322</v>
      </c>
      <c r="L77" s="48" t="s">
        <v>343</v>
      </c>
      <c r="M77" s="49">
        <v>80</v>
      </c>
      <c r="N77" s="50" t="s">
        <v>293</v>
      </c>
      <c r="O77" s="51" t="s">
        <v>249</v>
      </c>
      <c r="P77" s="52"/>
      <c r="Q77" s="53"/>
      <c r="R77" s="54"/>
      <c r="S77" s="51">
        <v>12</v>
      </c>
      <c r="T77" s="52">
        <v>1</v>
      </c>
      <c r="U77" s="53">
        <v>3</v>
      </c>
      <c r="V77" s="54">
        <v>3</v>
      </c>
      <c r="W77" s="49">
        <v>20</v>
      </c>
      <c r="X77" s="53">
        <v>50</v>
      </c>
      <c r="Y77" s="6">
        <v>30</v>
      </c>
      <c r="Z77" s="55">
        <f t="shared" si="5"/>
        <v>100</v>
      </c>
      <c r="AA77" s="55">
        <v>30</v>
      </c>
      <c r="AB77" s="55">
        <v>30</v>
      </c>
      <c r="AC77" s="56">
        <v>40</v>
      </c>
    </row>
    <row r="78" spans="9:29">
      <c r="I78" s="47">
        <f t="shared" si="4"/>
        <v>0</v>
      </c>
      <c r="J78" s="48" t="s">
        <v>255</v>
      </c>
      <c r="K78" s="48" t="s">
        <v>322</v>
      </c>
      <c r="L78" s="48" t="s">
        <v>344</v>
      </c>
      <c r="M78" s="49">
        <v>80</v>
      </c>
      <c r="N78" s="50" t="s">
        <v>293</v>
      </c>
      <c r="O78" s="51" t="s">
        <v>249</v>
      </c>
      <c r="P78" s="52"/>
      <c r="Q78" s="53"/>
      <c r="R78" s="54"/>
      <c r="S78" s="51">
        <v>12</v>
      </c>
      <c r="T78" s="52">
        <v>1</v>
      </c>
      <c r="U78" s="53">
        <v>3</v>
      </c>
      <c r="V78" s="54">
        <v>3</v>
      </c>
      <c r="W78" s="49">
        <v>20</v>
      </c>
      <c r="X78" s="53">
        <v>50</v>
      </c>
      <c r="Y78" s="6">
        <v>30</v>
      </c>
      <c r="Z78" s="55">
        <f t="shared" si="5"/>
        <v>100</v>
      </c>
      <c r="AA78" s="55">
        <v>30</v>
      </c>
      <c r="AB78" s="55">
        <v>30</v>
      </c>
      <c r="AC78" s="56">
        <v>40</v>
      </c>
    </row>
    <row r="79" spans="9:29">
      <c r="I79" s="47">
        <f t="shared" si="4"/>
        <v>0</v>
      </c>
      <c r="J79" s="48" t="s">
        <v>255</v>
      </c>
      <c r="K79" s="48" t="s">
        <v>322</v>
      </c>
      <c r="L79" s="48" t="s">
        <v>345</v>
      </c>
      <c r="M79" s="49">
        <v>80</v>
      </c>
      <c r="N79" s="50" t="s">
        <v>293</v>
      </c>
      <c r="O79" s="51" t="s">
        <v>249</v>
      </c>
      <c r="P79" s="52"/>
      <c r="Q79" s="53"/>
      <c r="R79" s="54"/>
      <c r="S79" s="51">
        <v>12</v>
      </c>
      <c r="T79" s="52">
        <v>1</v>
      </c>
      <c r="U79" s="53">
        <v>3</v>
      </c>
      <c r="V79" s="54">
        <v>3</v>
      </c>
      <c r="W79" s="49">
        <v>20</v>
      </c>
      <c r="X79" s="53">
        <v>50</v>
      </c>
      <c r="Y79" s="6">
        <v>30</v>
      </c>
      <c r="Z79" s="55">
        <f t="shared" si="5"/>
        <v>100</v>
      </c>
      <c r="AA79" s="55">
        <v>30</v>
      </c>
      <c r="AB79" s="55">
        <v>30</v>
      </c>
      <c r="AC79" s="56">
        <v>40</v>
      </c>
    </row>
    <row r="80" spans="9:29">
      <c r="I80" s="47">
        <f t="shared" si="4"/>
        <v>0</v>
      </c>
      <c r="J80" s="48" t="s">
        <v>255</v>
      </c>
      <c r="K80" s="48" t="s">
        <v>322</v>
      </c>
      <c r="L80" s="48" t="s">
        <v>346</v>
      </c>
      <c r="M80" s="49">
        <v>80</v>
      </c>
      <c r="N80" s="50" t="s">
        <v>293</v>
      </c>
      <c r="O80" s="51" t="s">
        <v>249</v>
      </c>
      <c r="P80" s="52"/>
      <c r="Q80" s="53"/>
      <c r="R80" s="54"/>
      <c r="S80" s="51">
        <v>12</v>
      </c>
      <c r="T80" s="52">
        <v>1</v>
      </c>
      <c r="U80" s="53">
        <v>3</v>
      </c>
      <c r="V80" s="54">
        <v>3</v>
      </c>
      <c r="W80" s="49">
        <v>20</v>
      </c>
      <c r="X80" s="53">
        <v>50</v>
      </c>
      <c r="Y80" s="6">
        <v>30</v>
      </c>
      <c r="Z80" s="55">
        <f t="shared" si="5"/>
        <v>100</v>
      </c>
      <c r="AA80" s="55">
        <v>30</v>
      </c>
      <c r="AB80" s="55">
        <v>30</v>
      </c>
      <c r="AC80" s="56">
        <v>40</v>
      </c>
    </row>
    <row r="81" spans="9:29">
      <c r="I81" s="47">
        <f t="shared" si="4"/>
        <v>0</v>
      </c>
      <c r="J81" s="48" t="s">
        <v>255</v>
      </c>
      <c r="K81" s="48" t="s">
        <v>322</v>
      </c>
      <c r="L81" s="48" t="s">
        <v>347</v>
      </c>
      <c r="M81" s="49">
        <v>80</v>
      </c>
      <c r="N81" s="50" t="s">
        <v>293</v>
      </c>
      <c r="O81" s="51" t="s">
        <v>249</v>
      </c>
      <c r="P81" s="52"/>
      <c r="Q81" s="53"/>
      <c r="R81" s="54"/>
      <c r="S81" s="51">
        <v>12</v>
      </c>
      <c r="T81" s="52">
        <v>1</v>
      </c>
      <c r="U81" s="53">
        <v>3</v>
      </c>
      <c r="V81" s="54">
        <v>3</v>
      </c>
      <c r="W81" s="49">
        <v>20</v>
      </c>
      <c r="X81" s="53">
        <v>50</v>
      </c>
      <c r="Y81" s="6">
        <v>30</v>
      </c>
      <c r="Z81" s="55">
        <f t="shared" si="5"/>
        <v>100</v>
      </c>
      <c r="AA81" s="55">
        <v>30</v>
      </c>
      <c r="AB81" s="55">
        <v>30</v>
      </c>
      <c r="AC81" s="56">
        <v>40</v>
      </c>
    </row>
    <row r="82" spans="9:29">
      <c r="I82" s="112">
        <f t="shared" si="4"/>
        <v>0</v>
      </c>
      <c r="J82" s="113" t="s">
        <v>255</v>
      </c>
      <c r="K82" s="113" t="s">
        <v>322</v>
      </c>
      <c r="L82" s="113" t="s">
        <v>348</v>
      </c>
      <c r="M82" s="114">
        <v>80</v>
      </c>
      <c r="N82" s="115" t="s">
        <v>293</v>
      </c>
      <c r="O82" s="116" t="s">
        <v>249</v>
      </c>
      <c r="P82" s="117"/>
      <c r="Q82" s="118"/>
      <c r="R82" s="119"/>
      <c r="S82" s="116">
        <v>12</v>
      </c>
      <c r="T82" s="117">
        <v>1</v>
      </c>
      <c r="U82" s="118">
        <v>3</v>
      </c>
      <c r="V82" s="119">
        <v>3</v>
      </c>
      <c r="W82" s="114">
        <v>20</v>
      </c>
      <c r="X82" s="118">
        <v>50</v>
      </c>
      <c r="Y82" s="120">
        <v>30</v>
      </c>
      <c r="Z82" s="121">
        <f t="shared" si="5"/>
        <v>100</v>
      </c>
      <c r="AA82" s="121">
        <v>30</v>
      </c>
      <c r="AB82" s="55">
        <v>30</v>
      </c>
      <c r="AC82" s="56">
        <v>40</v>
      </c>
    </row>
    <row r="83" spans="9:29">
      <c r="I83" s="22">
        <f t="shared" si="4"/>
        <v>1</v>
      </c>
      <c r="J83" s="66" t="s">
        <v>255</v>
      </c>
      <c r="K83" s="66" t="s">
        <v>349</v>
      </c>
      <c r="L83" s="66" t="s">
        <v>350</v>
      </c>
      <c r="M83" s="67">
        <v>80</v>
      </c>
      <c r="N83" s="68" t="s">
        <v>258</v>
      </c>
      <c r="O83" s="69">
        <v>11</v>
      </c>
      <c r="P83" s="70">
        <v>1</v>
      </c>
      <c r="Q83" s="71">
        <v>3</v>
      </c>
      <c r="R83" s="72">
        <v>3</v>
      </c>
      <c r="S83" s="69">
        <v>12</v>
      </c>
      <c r="T83" s="70">
        <v>1</v>
      </c>
      <c r="U83" s="71">
        <v>3</v>
      </c>
      <c r="V83" s="72">
        <v>3</v>
      </c>
      <c r="W83" s="69">
        <v>20</v>
      </c>
      <c r="X83" s="73">
        <v>60</v>
      </c>
      <c r="Y83" s="74">
        <v>20</v>
      </c>
      <c r="Z83" s="75">
        <f t="shared" si="5"/>
        <v>100</v>
      </c>
      <c r="AA83" s="75">
        <v>30</v>
      </c>
      <c r="AB83" s="55">
        <v>30</v>
      </c>
      <c r="AC83" s="56">
        <v>40</v>
      </c>
    </row>
    <row r="84" spans="9:29">
      <c r="I84" s="47">
        <f t="shared" si="4"/>
        <v>1</v>
      </c>
      <c r="J84" s="48" t="s">
        <v>255</v>
      </c>
      <c r="K84" s="48" t="s">
        <v>349</v>
      </c>
      <c r="L84" s="48" t="s">
        <v>351</v>
      </c>
      <c r="M84" s="49">
        <v>80</v>
      </c>
      <c r="N84" s="50" t="s">
        <v>258</v>
      </c>
      <c r="O84" s="51">
        <v>11</v>
      </c>
      <c r="P84" s="52">
        <v>1</v>
      </c>
      <c r="Q84" s="53">
        <v>3</v>
      </c>
      <c r="R84" s="54">
        <v>3</v>
      </c>
      <c r="S84" s="51">
        <v>12</v>
      </c>
      <c r="T84" s="52">
        <v>1</v>
      </c>
      <c r="U84" s="53">
        <v>3</v>
      </c>
      <c r="V84" s="54">
        <v>3</v>
      </c>
      <c r="W84" s="51">
        <v>20</v>
      </c>
      <c r="X84" s="78">
        <v>60</v>
      </c>
      <c r="Y84" s="84">
        <v>20</v>
      </c>
      <c r="Z84" s="55">
        <f t="shared" si="5"/>
        <v>100</v>
      </c>
      <c r="AA84" s="55">
        <v>30</v>
      </c>
      <c r="AB84" s="55">
        <v>30</v>
      </c>
      <c r="AC84" s="56">
        <v>40</v>
      </c>
    </row>
    <row r="85" spans="9:29">
      <c r="I85" s="47">
        <f t="shared" si="4"/>
        <v>1</v>
      </c>
      <c r="J85" s="48" t="s">
        <v>255</v>
      </c>
      <c r="K85" s="48" t="s">
        <v>349</v>
      </c>
      <c r="L85" s="48" t="s">
        <v>352</v>
      </c>
      <c r="M85" s="49">
        <v>80</v>
      </c>
      <c r="N85" s="50" t="s">
        <v>258</v>
      </c>
      <c r="O85" s="51">
        <v>11</v>
      </c>
      <c r="P85" s="52">
        <v>1</v>
      </c>
      <c r="Q85" s="53">
        <v>3</v>
      </c>
      <c r="R85" s="54">
        <v>3</v>
      </c>
      <c r="S85" s="51">
        <v>12</v>
      </c>
      <c r="T85" s="52">
        <v>1</v>
      </c>
      <c r="U85" s="53">
        <v>3</v>
      </c>
      <c r="V85" s="54">
        <v>3</v>
      </c>
      <c r="W85" s="51">
        <v>20</v>
      </c>
      <c r="X85" s="78">
        <v>60</v>
      </c>
      <c r="Y85" s="84">
        <v>20</v>
      </c>
      <c r="Z85" s="55">
        <f t="shared" si="5"/>
        <v>100</v>
      </c>
      <c r="AA85" s="55">
        <v>30</v>
      </c>
      <c r="AB85" s="55">
        <v>30</v>
      </c>
      <c r="AC85" s="56">
        <v>40</v>
      </c>
    </row>
    <row r="86" spans="9:29">
      <c r="I86" s="47">
        <f t="shared" si="4"/>
        <v>1</v>
      </c>
      <c r="J86" s="48" t="s">
        <v>255</v>
      </c>
      <c r="K86" s="48" t="s">
        <v>349</v>
      </c>
      <c r="L86" s="48" t="s">
        <v>353</v>
      </c>
      <c r="M86" s="49">
        <v>80</v>
      </c>
      <c r="N86" s="50" t="s">
        <v>258</v>
      </c>
      <c r="O86" s="51">
        <v>11</v>
      </c>
      <c r="P86" s="52">
        <v>1</v>
      </c>
      <c r="Q86" s="53">
        <v>3</v>
      </c>
      <c r="R86" s="54">
        <v>3</v>
      </c>
      <c r="S86" s="51">
        <v>12</v>
      </c>
      <c r="T86" s="52">
        <v>1</v>
      </c>
      <c r="U86" s="53">
        <v>3</v>
      </c>
      <c r="V86" s="54">
        <v>3</v>
      </c>
      <c r="W86" s="51">
        <v>20</v>
      </c>
      <c r="X86" s="78">
        <v>60</v>
      </c>
      <c r="Y86" s="84">
        <v>20</v>
      </c>
      <c r="Z86" s="55">
        <f t="shared" si="5"/>
        <v>100</v>
      </c>
      <c r="AA86" s="55">
        <v>30</v>
      </c>
      <c r="AB86" s="55">
        <v>30</v>
      </c>
      <c r="AC86" s="56">
        <v>40</v>
      </c>
    </row>
    <row r="87" spans="9:29">
      <c r="I87" s="47">
        <f t="shared" si="4"/>
        <v>1</v>
      </c>
      <c r="J87" s="48" t="s">
        <v>255</v>
      </c>
      <c r="K87" s="48" t="s">
        <v>349</v>
      </c>
      <c r="L87" s="48" t="s">
        <v>354</v>
      </c>
      <c r="M87" s="49">
        <v>80</v>
      </c>
      <c r="N87" s="50" t="s">
        <v>258</v>
      </c>
      <c r="O87" s="51">
        <v>11</v>
      </c>
      <c r="P87" s="52">
        <v>1</v>
      </c>
      <c r="Q87" s="53">
        <v>3</v>
      </c>
      <c r="R87" s="54">
        <v>3</v>
      </c>
      <c r="S87" s="51">
        <v>12</v>
      </c>
      <c r="T87" s="52">
        <v>1</v>
      </c>
      <c r="U87" s="53">
        <v>3</v>
      </c>
      <c r="V87" s="54">
        <v>3</v>
      </c>
      <c r="W87" s="51">
        <v>20</v>
      </c>
      <c r="X87" s="78">
        <v>60</v>
      </c>
      <c r="Y87" s="84">
        <v>20</v>
      </c>
      <c r="Z87" s="55">
        <f t="shared" si="5"/>
        <v>100</v>
      </c>
      <c r="AA87" s="55">
        <v>30</v>
      </c>
      <c r="AB87" s="55">
        <v>30</v>
      </c>
      <c r="AC87" s="56">
        <v>40</v>
      </c>
    </row>
    <row r="88" spans="9:29">
      <c r="I88" s="47">
        <f t="shared" si="4"/>
        <v>1</v>
      </c>
      <c r="J88" s="48" t="s">
        <v>255</v>
      </c>
      <c r="K88" s="48" t="s">
        <v>349</v>
      </c>
      <c r="L88" s="48" t="s">
        <v>355</v>
      </c>
      <c r="M88" s="49">
        <v>80</v>
      </c>
      <c r="N88" s="50" t="s">
        <v>258</v>
      </c>
      <c r="O88" s="51">
        <v>11</v>
      </c>
      <c r="P88" s="52">
        <v>1</v>
      </c>
      <c r="Q88" s="53">
        <v>3</v>
      </c>
      <c r="R88" s="54">
        <v>3</v>
      </c>
      <c r="S88" s="51">
        <v>12</v>
      </c>
      <c r="T88" s="52">
        <v>1</v>
      </c>
      <c r="U88" s="53">
        <v>3</v>
      </c>
      <c r="V88" s="54">
        <v>3</v>
      </c>
      <c r="W88" s="51">
        <v>20</v>
      </c>
      <c r="X88" s="78">
        <v>60</v>
      </c>
      <c r="Y88" s="84">
        <v>20</v>
      </c>
      <c r="Z88" s="55">
        <f t="shared" si="5"/>
        <v>100</v>
      </c>
      <c r="AA88" s="55">
        <v>30</v>
      </c>
      <c r="AB88" s="55">
        <v>30</v>
      </c>
      <c r="AC88" s="56">
        <v>40</v>
      </c>
    </row>
    <row r="89" spans="9:29">
      <c r="I89" s="47">
        <f t="shared" si="4"/>
        <v>1</v>
      </c>
      <c r="J89" s="48" t="s">
        <v>255</v>
      </c>
      <c r="K89" s="48" t="s">
        <v>349</v>
      </c>
      <c r="L89" s="48" t="s">
        <v>356</v>
      </c>
      <c r="M89" s="49">
        <v>80</v>
      </c>
      <c r="N89" s="50" t="s">
        <v>258</v>
      </c>
      <c r="O89" s="51">
        <v>11</v>
      </c>
      <c r="P89" s="52">
        <v>1</v>
      </c>
      <c r="Q89" s="53">
        <v>3</v>
      </c>
      <c r="R89" s="54">
        <v>3</v>
      </c>
      <c r="S89" s="51">
        <v>12</v>
      </c>
      <c r="T89" s="52">
        <v>1</v>
      </c>
      <c r="U89" s="53">
        <v>3</v>
      </c>
      <c r="V89" s="54">
        <v>3</v>
      </c>
      <c r="W89" s="51">
        <v>20</v>
      </c>
      <c r="X89" s="78">
        <v>60</v>
      </c>
      <c r="Y89" s="84">
        <v>20</v>
      </c>
      <c r="Z89" s="55">
        <f t="shared" si="5"/>
        <v>100</v>
      </c>
      <c r="AA89" s="55">
        <v>30</v>
      </c>
      <c r="AB89" s="55">
        <v>30</v>
      </c>
      <c r="AC89" s="56">
        <v>40</v>
      </c>
    </row>
    <row r="90" spans="9:29">
      <c r="I90" s="47">
        <f t="shared" si="4"/>
        <v>1</v>
      </c>
      <c r="J90" s="48" t="s">
        <v>255</v>
      </c>
      <c r="K90" s="48" t="s">
        <v>349</v>
      </c>
      <c r="L90" s="48" t="s">
        <v>357</v>
      </c>
      <c r="M90" s="49">
        <v>80</v>
      </c>
      <c r="N90" s="50" t="s">
        <v>258</v>
      </c>
      <c r="O90" s="51">
        <v>11</v>
      </c>
      <c r="P90" s="52">
        <v>1</v>
      </c>
      <c r="Q90" s="53">
        <v>3</v>
      </c>
      <c r="R90" s="54">
        <v>3</v>
      </c>
      <c r="S90" s="51">
        <v>12</v>
      </c>
      <c r="T90" s="52">
        <v>1</v>
      </c>
      <c r="U90" s="53">
        <v>3</v>
      </c>
      <c r="V90" s="54">
        <v>3</v>
      </c>
      <c r="W90" s="51">
        <v>20</v>
      </c>
      <c r="X90" s="78">
        <v>60</v>
      </c>
      <c r="Y90" s="84">
        <v>20</v>
      </c>
      <c r="Z90" s="55">
        <f t="shared" si="5"/>
        <v>100</v>
      </c>
      <c r="AA90" s="55">
        <v>30</v>
      </c>
      <c r="AB90" s="55">
        <v>30</v>
      </c>
      <c r="AC90" s="56">
        <v>40</v>
      </c>
    </row>
    <row r="91" spans="9:29">
      <c r="I91" s="47">
        <f t="shared" si="4"/>
        <v>1</v>
      </c>
      <c r="J91" s="48" t="s">
        <v>255</v>
      </c>
      <c r="K91" s="48" t="s">
        <v>349</v>
      </c>
      <c r="L91" s="48" t="s">
        <v>358</v>
      </c>
      <c r="M91" s="49">
        <v>80</v>
      </c>
      <c r="N91" s="50" t="s">
        <v>258</v>
      </c>
      <c r="O91" s="51">
        <v>11</v>
      </c>
      <c r="P91" s="52">
        <v>1</v>
      </c>
      <c r="Q91" s="53">
        <v>3</v>
      </c>
      <c r="R91" s="54">
        <v>3</v>
      </c>
      <c r="S91" s="51">
        <v>12</v>
      </c>
      <c r="T91" s="52">
        <v>1</v>
      </c>
      <c r="U91" s="53">
        <v>3</v>
      </c>
      <c r="V91" s="54">
        <v>3</v>
      </c>
      <c r="W91" s="51">
        <v>20</v>
      </c>
      <c r="X91" s="78">
        <v>60</v>
      </c>
      <c r="Y91" s="84">
        <v>20</v>
      </c>
      <c r="Z91" s="55">
        <f t="shared" si="5"/>
        <v>100</v>
      </c>
      <c r="AA91" s="55">
        <v>30</v>
      </c>
      <c r="AB91" s="55">
        <v>30</v>
      </c>
      <c r="AC91" s="56">
        <v>40</v>
      </c>
    </row>
    <row r="92" spans="9:29">
      <c r="I92" s="112">
        <f t="shared" si="4"/>
        <v>1</v>
      </c>
      <c r="J92" s="113" t="s">
        <v>255</v>
      </c>
      <c r="K92" s="113" t="s">
        <v>349</v>
      </c>
      <c r="L92" s="113" t="s">
        <v>359</v>
      </c>
      <c r="M92" s="114">
        <v>80</v>
      </c>
      <c r="N92" s="115" t="s">
        <v>258</v>
      </c>
      <c r="O92" s="116">
        <v>11</v>
      </c>
      <c r="P92" s="117">
        <v>1</v>
      </c>
      <c r="Q92" s="118">
        <v>3</v>
      </c>
      <c r="R92" s="119">
        <v>3</v>
      </c>
      <c r="S92" s="116">
        <v>12</v>
      </c>
      <c r="T92" s="117">
        <v>1</v>
      </c>
      <c r="U92" s="118">
        <v>3</v>
      </c>
      <c r="V92" s="119">
        <v>3</v>
      </c>
      <c r="W92" s="116">
        <v>20</v>
      </c>
      <c r="X92" s="138">
        <v>60</v>
      </c>
      <c r="Y92" s="139">
        <v>20</v>
      </c>
      <c r="Z92" s="121">
        <f t="shared" si="5"/>
        <v>100</v>
      </c>
      <c r="AA92" s="121">
        <v>30</v>
      </c>
      <c r="AB92" s="55">
        <v>30</v>
      </c>
      <c r="AC92" s="56">
        <v>40</v>
      </c>
    </row>
    <row r="93" spans="9:29">
      <c r="I93" s="140">
        <f t="shared" si="4"/>
        <v>1</v>
      </c>
      <c r="J93" s="141" t="s">
        <v>255</v>
      </c>
      <c r="K93" s="141" t="s">
        <v>157</v>
      </c>
      <c r="L93" s="142">
        <f>IF(AND('INPUT DATA'!$F$28=HELPER!$J93,'INPUT DATA'!$F$29=HELPER!$K93),'INPUT DATA'!$F39,0)</f>
        <v>0</v>
      </c>
      <c r="M93" s="143"/>
      <c r="N93" s="144" t="s">
        <v>258</v>
      </c>
      <c r="O93" s="145">
        <v>11</v>
      </c>
      <c r="P93" s="146">
        <f>IF(AND('INPUT DATA'!$F$24=11,'INPUT DATA'!$F$28=HELPER!$J93,'INPUT DATA'!$F$29=HELPER!$K93),'INPUT DATA'!$F51,0)</f>
        <v>0</v>
      </c>
      <c r="Q93" s="146">
        <f>IF(AND('INPUT DATA'!$F$24=11,'INPUT DATA'!$F$28=HELPER!$J93,'INPUT DATA'!$F$29=HELPER!$K93),'INPUT DATA'!$F52,0)</f>
        <v>0</v>
      </c>
      <c r="R93" s="147">
        <f>IF(AND('INPUT DATA'!$F$24=11,'INPUT DATA'!$F$28=HELPER!$J93,'INPUT DATA'!$F$29=HELPER!$K93),'INPUT DATA'!$F53,0)</f>
        <v>0</v>
      </c>
      <c r="S93" s="145">
        <v>12</v>
      </c>
      <c r="T93" s="146">
        <f>IF(AND('INPUT DATA'!$F$24=12,'INPUT DATA'!$F$28=HELPER!$J93,'INPUT DATA'!$F$29=HELPER!$K93),'INPUT DATA'!$F51,0)</f>
        <v>0</v>
      </c>
      <c r="U93" s="146">
        <f>IF(AND('INPUT DATA'!$F$24=12,'INPUT DATA'!$F$28=HELPER!$J93,'INPUT DATA'!$F$29=HELPER!$K93),'INPUT DATA'!$F52,0)</f>
        <v>0</v>
      </c>
      <c r="V93" s="147">
        <f>IF(AND('INPUT DATA'!$F$24=12,'INPUT DATA'!$F$28=HELPER!$J93,'INPUT DATA'!$F$29=HELPER!$K93),'INPUT DATA'!$F53,0)</f>
        <v>0</v>
      </c>
      <c r="W93" s="148">
        <f>IF(AND('INPUT DATA'!$F$28=HELPER!$J93,'INPUT DATA'!$F$29=HELPER!$K93),'INPUT DATA'!$F43,0)*100</f>
        <v>0</v>
      </c>
      <c r="X93" s="149">
        <f>IF(AND('INPUT DATA'!$F$28=HELPER!$J93,'INPUT DATA'!$F$29=HELPER!$K93),'INPUT DATA'!$F44,0)*100</f>
        <v>0</v>
      </c>
      <c r="Y93" s="149">
        <f>IF(AND('INPUT DATA'!$F$28=HELPER!$J93,'INPUT DATA'!$F$29=HELPER!$K93),'INPUT DATA'!$F45,0)*100</f>
        <v>0</v>
      </c>
      <c r="Z93" s="150">
        <f t="shared" si="5"/>
        <v>0</v>
      </c>
      <c r="AA93" s="151">
        <f>IF(AND('INPUT DATA'!$F$28=HELPER!$J93,'INPUT DATA'!$F$29=HELPER!$K93),'INPUT DATA'!$F$46,0)*100</f>
        <v>0</v>
      </c>
      <c r="AB93" s="151">
        <f>IF(AND('INPUT DATA'!$F$28=HELPER!$J93,'INPUT DATA'!$F$29=HELPER!$K93),'INPUT DATA'!$F$47,0)*100</f>
        <v>0</v>
      </c>
      <c r="AC93" s="152">
        <f>IF(AND('INPUT DATA'!$F$28=HELPER!$J93,'INPUT DATA'!$F$29=HELPER!$K93),'INPUT DATA'!$F$48,0)*100</f>
        <v>0</v>
      </c>
    </row>
    <row r="94" spans="9:29">
      <c r="I94" s="22">
        <f t="shared" si="4"/>
        <v>1</v>
      </c>
      <c r="J94" s="66" t="s">
        <v>360</v>
      </c>
      <c r="K94" s="66" t="s">
        <v>361</v>
      </c>
      <c r="L94" s="66" t="s">
        <v>362</v>
      </c>
      <c r="M94" s="67"/>
      <c r="N94" s="68" t="s">
        <v>258</v>
      </c>
      <c r="O94" s="69">
        <v>11</v>
      </c>
      <c r="P94" s="70">
        <v>3</v>
      </c>
      <c r="Q94" s="71">
        <v>4</v>
      </c>
      <c r="R94" s="72">
        <v>12</v>
      </c>
      <c r="S94" s="69">
        <v>12</v>
      </c>
      <c r="T94" s="70">
        <v>1</v>
      </c>
      <c r="U94" s="71">
        <v>12</v>
      </c>
      <c r="V94" s="72">
        <v>12</v>
      </c>
      <c r="W94" s="67">
        <v>15</v>
      </c>
      <c r="X94" s="71">
        <v>65</v>
      </c>
      <c r="Y94" s="122">
        <v>20</v>
      </c>
      <c r="Z94" s="75">
        <f t="shared" ref="Z94:Z125" si="6">SUM(W94:Y94)</f>
        <v>100</v>
      </c>
      <c r="AA94" s="75">
        <v>30</v>
      </c>
      <c r="AB94" s="55">
        <v>30</v>
      </c>
      <c r="AC94" s="56">
        <v>40</v>
      </c>
    </row>
    <row r="95" spans="9:29">
      <c r="I95" s="47">
        <f t="shared" si="4"/>
        <v>1</v>
      </c>
      <c r="J95" s="48" t="s">
        <v>360</v>
      </c>
      <c r="K95" s="48" t="s">
        <v>361</v>
      </c>
      <c r="L95" s="48" t="s">
        <v>363</v>
      </c>
      <c r="M95" s="49"/>
      <c r="N95" s="50" t="s">
        <v>258</v>
      </c>
      <c r="O95" s="51">
        <v>11</v>
      </c>
      <c r="P95" s="52">
        <v>3</v>
      </c>
      <c r="Q95" s="53">
        <v>4</v>
      </c>
      <c r="R95" s="54">
        <v>12</v>
      </c>
      <c r="S95" s="51">
        <v>12</v>
      </c>
      <c r="T95" s="52">
        <v>1</v>
      </c>
      <c r="U95" s="53">
        <v>12</v>
      </c>
      <c r="V95" s="54">
        <v>12</v>
      </c>
      <c r="W95" s="49">
        <v>15</v>
      </c>
      <c r="X95" s="53">
        <v>65</v>
      </c>
      <c r="Y95" s="6">
        <v>20</v>
      </c>
      <c r="Z95" s="55">
        <f t="shared" si="6"/>
        <v>100</v>
      </c>
      <c r="AA95" s="55">
        <v>30</v>
      </c>
      <c r="AB95" s="55">
        <v>30</v>
      </c>
      <c r="AC95" s="56">
        <v>40</v>
      </c>
    </row>
    <row r="96" spans="9:29">
      <c r="I96" s="47">
        <f t="shared" si="4"/>
        <v>1</v>
      </c>
      <c r="J96" s="48" t="s">
        <v>360</v>
      </c>
      <c r="K96" s="48" t="s">
        <v>361</v>
      </c>
      <c r="L96" s="48" t="s">
        <v>364</v>
      </c>
      <c r="M96" s="49"/>
      <c r="N96" s="50" t="s">
        <v>258</v>
      </c>
      <c r="O96" s="51">
        <v>11</v>
      </c>
      <c r="P96" s="52">
        <v>3</v>
      </c>
      <c r="Q96" s="53">
        <v>4</v>
      </c>
      <c r="R96" s="54">
        <v>12</v>
      </c>
      <c r="S96" s="51">
        <v>12</v>
      </c>
      <c r="T96" s="52">
        <v>1</v>
      </c>
      <c r="U96" s="53">
        <v>12</v>
      </c>
      <c r="V96" s="54">
        <v>12</v>
      </c>
      <c r="W96" s="49">
        <v>15</v>
      </c>
      <c r="X96" s="53">
        <v>65</v>
      </c>
      <c r="Y96" s="6">
        <v>20</v>
      </c>
      <c r="Z96" s="55">
        <f t="shared" si="6"/>
        <v>100</v>
      </c>
      <c r="AA96" s="55">
        <v>30</v>
      </c>
      <c r="AB96" s="55">
        <v>30</v>
      </c>
      <c r="AC96" s="56">
        <v>40</v>
      </c>
    </row>
    <row r="97" spans="9:29">
      <c r="I97" s="112">
        <f t="shared" si="4"/>
        <v>1</v>
      </c>
      <c r="J97" s="113" t="s">
        <v>360</v>
      </c>
      <c r="K97" s="113" t="s">
        <v>361</v>
      </c>
      <c r="L97" s="113" t="s">
        <v>365</v>
      </c>
      <c r="M97" s="114"/>
      <c r="N97" s="115" t="s">
        <v>258</v>
      </c>
      <c r="O97" s="116">
        <v>11</v>
      </c>
      <c r="P97" s="117">
        <v>3</v>
      </c>
      <c r="Q97" s="118">
        <v>4</v>
      </c>
      <c r="R97" s="119">
        <v>12</v>
      </c>
      <c r="S97" s="116">
        <v>12</v>
      </c>
      <c r="T97" s="117">
        <v>1</v>
      </c>
      <c r="U97" s="118">
        <v>12</v>
      </c>
      <c r="V97" s="119">
        <v>12</v>
      </c>
      <c r="W97" s="114">
        <v>15</v>
      </c>
      <c r="X97" s="118">
        <v>65</v>
      </c>
      <c r="Y97" s="120">
        <v>20</v>
      </c>
      <c r="Z97" s="121">
        <f t="shared" si="6"/>
        <v>100</v>
      </c>
      <c r="AA97" s="55">
        <v>30</v>
      </c>
      <c r="AB97" s="55">
        <v>30</v>
      </c>
      <c r="AC97" s="56">
        <v>40</v>
      </c>
    </row>
    <row r="98" spans="9:29">
      <c r="I98" s="22">
        <f t="shared" si="4"/>
        <v>1</v>
      </c>
      <c r="J98" s="66" t="s">
        <v>360</v>
      </c>
      <c r="K98" s="66" t="s">
        <v>366</v>
      </c>
      <c r="L98" s="66" t="s">
        <v>367</v>
      </c>
      <c r="M98" s="67"/>
      <c r="N98" s="68" t="s">
        <v>258</v>
      </c>
      <c r="O98" s="69">
        <v>11</v>
      </c>
      <c r="P98" s="70">
        <v>3</v>
      </c>
      <c r="Q98" s="71">
        <v>4</v>
      </c>
      <c r="R98" s="72">
        <v>12</v>
      </c>
      <c r="S98" s="69">
        <v>12</v>
      </c>
      <c r="T98" s="70">
        <v>1</v>
      </c>
      <c r="U98" s="71">
        <v>12</v>
      </c>
      <c r="V98" s="72">
        <v>12</v>
      </c>
      <c r="W98" s="67">
        <v>15</v>
      </c>
      <c r="X98" s="71">
        <v>65</v>
      </c>
      <c r="Y98" s="122">
        <v>20</v>
      </c>
      <c r="Z98" s="75">
        <f t="shared" si="6"/>
        <v>100</v>
      </c>
      <c r="AA98" s="75">
        <v>30</v>
      </c>
      <c r="AB98" s="55">
        <v>30</v>
      </c>
      <c r="AC98" s="56">
        <v>40</v>
      </c>
    </row>
    <row r="99" spans="9:29">
      <c r="I99" s="47">
        <f t="shared" si="4"/>
        <v>1</v>
      </c>
      <c r="J99" s="48" t="s">
        <v>360</v>
      </c>
      <c r="K99" s="48" t="s">
        <v>366</v>
      </c>
      <c r="L99" s="48" t="s">
        <v>368</v>
      </c>
      <c r="M99" s="49"/>
      <c r="N99" s="50" t="s">
        <v>258</v>
      </c>
      <c r="O99" s="51">
        <v>11</v>
      </c>
      <c r="P99" s="52">
        <v>3</v>
      </c>
      <c r="Q99" s="53">
        <v>4</v>
      </c>
      <c r="R99" s="54">
        <v>12</v>
      </c>
      <c r="S99" s="51">
        <v>12</v>
      </c>
      <c r="T99" s="52">
        <v>1</v>
      </c>
      <c r="U99" s="53">
        <v>12</v>
      </c>
      <c r="V99" s="54">
        <v>12</v>
      </c>
      <c r="W99" s="49">
        <v>15</v>
      </c>
      <c r="X99" s="53">
        <v>65</v>
      </c>
      <c r="Y99" s="6">
        <v>20</v>
      </c>
      <c r="Z99" s="55">
        <f t="shared" si="6"/>
        <v>100</v>
      </c>
      <c r="AA99" s="55">
        <v>30</v>
      </c>
      <c r="AB99" s="55">
        <v>30</v>
      </c>
      <c r="AC99" s="56">
        <v>40</v>
      </c>
    </row>
    <row r="100" spans="9:29">
      <c r="I100" s="47">
        <f t="shared" si="4"/>
        <v>1</v>
      </c>
      <c r="J100" s="48" t="s">
        <v>360</v>
      </c>
      <c r="K100" s="48" t="s">
        <v>366</v>
      </c>
      <c r="L100" s="48" t="s">
        <v>369</v>
      </c>
      <c r="M100" s="49"/>
      <c r="N100" s="50" t="s">
        <v>258</v>
      </c>
      <c r="O100" s="51">
        <v>11</v>
      </c>
      <c r="P100" s="52">
        <v>3</v>
      </c>
      <c r="Q100" s="53">
        <v>4</v>
      </c>
      <c r="R100" s="54">
        <v>12</v>
      </c>
      <c r="S100" s="51">
        <v>12</v>
      </c>
      <c r="T100" s="52">
        <v>1</v>
      </c>
      <c r="U100" s="53">
        <v>12</v>
      </c>
      <c r="V100" s="54">
        <v>12</v>
      </c>
      <c r="W100" s="49">
        <v>15</v>
      </c>
      <c r="X100" s="53">
        <v>65</v>
      </c>
      <c r="Y100" s="6">
        <v>20</v>
      </c>
      <c r="Z100" s="55">
        <f t="shared" si="6"/>
        <v>100</v>
      </c>
      <c r="AA100" s="55">
        <v>30</v>
      </c>
      <c r="AB100" s="55">
        <v>30</v>
      </c>
      <c r="AC100" s="56">
        <v>40</v>
      </c>
    </row>
    <row r="101" spans="9:29">
      <c r="I101" s="47">
        <f t="shared" si="4"/>
        <v>1</v>
      </c>
      <c r="J101" s="48" t="s">
        <v>360</v>
      </c>
      <c r="K101" s="48" t="s">
        <v>366</v>
      </c>
      <c r="L101" s="48" t="s">
        <v>370</v>
      </c>
      <c r="M101" s="49"/>
      <c r="N101" s="50" t="s">
        <v>258</v>
      </c>
      <c r="O101" s="51">
        <v>11</v>
      </c>
      <c r="P101" s="52">
        <v>3</v>
      </c>
      <c r="Q101" s="53">
        <v>4</v>
      </c>
      <c r="R101" s="54">
        <v>12</v>
      </c>
      <c r="S101" s="51">
        <v>12</v>
      </c>
      <c r="T101" s="52">
        <v>1</v>
      </c>
      <c r="U101" s="53">
        <v>12</v>
      </c>
      <c r="V101" s="54">
        <v>12</v>
      </c>
      <c r="W101" s="49">
        <v>15</v>
      </c>
      <c r="X101" s="53">
        <v>65</v>
      </c>
      <c r="Y101" s="6">
        <v>20</v>
      </c>
      <c r="Z101" s="55">
        <f t="shared" si="6"/>
        <v>100</v>
      </c>
      <c r="AA101" s="55">
        <v>30</v>
      </c>
      <c r="AB101" s="55">
        <v>30</v>
      </c>
      <c r="AC101" s="56">
        <v>40</v>
      </c>
    </row>
    <row r="102" spans="9:29">
      <c r="I102" s="47">
        <f t="shared" si="4"/>
        <v>1</v>
      </c>
      <c r="J102" s="48" t="s">
        <v>360</v>
      </c>
      <c r="K102" s="48" t="s">
        <v>366</v>
      </c>
      <c r="L102" s="48" t="s">
        <v>371</v>
      </c>
      <c r="M102" s="49"/>
      <c r="N102" s="50" t="s">
        <v>258</v>
      </c>
      <c r="O102" s="51">
        <v>11</v>
      </c>
      <c r="P102" s="52">
        <v>3</v>
      </c>
      <c r="Q102" s="53">
        <v>4</v>
      </c>
      <c r="R102" s="54">
        <v>12</v>
      </c>
      <c r="S102" s="51">
        <v>12</v>
      </c>
      <c r="T102" s="52">
        <v>1</v>
      </c>
      <c r="U102" s="53">
        <v>12</v>
      </c>
      <c r="V102" s="54">
        <v>12</v>
      </c>
      <c r="W102" s="49">
        <v>15</v>
      </c>
      <c r="X102" s="53">
        <v>65</v>
      </c>
      <c r="Y102" s="6">
        <v>20</v>
      </c>
      <c r="Z102" s="55">
        <f t="shared" si="6"/>
        <v>100</v>
      </c>
      <c r="AA102" s="55">
        <v>30</v>
      </c>
      <c r="AB102" s="55">
        <v>30</v>
      </c>
      <c r="AC102" s="56">
        <v>40</v>
      </c>
    </row>
    <row r="103" spans="9:29">
      <c r="I103" s="47">
        <f t="shared" ref="I103:I134" si="7">IF(COUNTIF($N103,"*"&amp;$F$7&amp;"*")&gt;0,1,0)</f>
        <v>1</v>
      </c>
      <c r="J103" s="48" t="s">
        <v>360</v>
      </c>
      <c r="K103" s="48" t="s">
        <v>366</v>
      </c>
      <c r="L103" s="48" t="s">
        <v>372</v>
      </c>
      <c r="M103" s="49"/>
      <c r="N103" s="50" t="s">
        <v>258</v>
      </c>
      <c r="O103" s="51">
        <v>11</v>
      </c>
      <c r="P103" s="52">
        <v>3</v>
      </c>
      <c r="Q103" s="53">
        <v>4</v>
      </c>
      <c r="R103" s="54">
        <v>12</v>
      </c>
      <c r="S103" s="51">
        <v>12</v>
      </c>
      <c r="T103" s="52">
        <v>1</v>
      </c>
      <c r="U103" s="53">
        <v>12</v>
      </c>
      <c r="V103" s="54">
        <v>12</v>
      </c>
      <c r="W103" s="49">
        <v>15</v>
      </c>
      <c r="X103" s="53">
        <v>65</v>
      </c>
      <c r="Y103" s="6">
        <v>20</v>
      </c>
      <c r="Z103" s="55">
        <f t="shared" si="6"/>
        <v>100</v>
      </c>
      <c r="AA103" s="55">
        <v>30</v>
      </c>
      <c r="AB103" s="55">
        <v>30</v>
      </c>
      <c r="AC103" s="56">
        <v>40</v>
      </c>
    </row>
    <row r="104" spans="9:29">
      <c r="I104" s="47">
        <f t="shared" si="7"/>
        <v>1</v>
      </c>
      <c r="J104" s="48" t="s">
        <v>360</v>
      </c>
      <c r="K104" s="48" t="s">
        <v>366</v>
      </c>
      <c r="L104" s="48" t="s">
        <v>373</v>
      </c>
      <c r="M104" s="49"/>
      <c r="N104" s="50" t="s">
        <v>258</v>
      </c>
      <c r="O104" s="51">
        <v>11</v>
      </c>
      <c r="P104" s="52">
        <v>3</v>
      </c>
      <c r="Q104" s="53">
        <v>4</v>
      </c>
      <c r="R104" s="54">
        <v>12</v>
      </c>
      <c r="S104" s="51">
        <v>12</v>
      </c>
      <c r="T104" s="52">
        <v>1</v>
      </c>
      <c r="U104" s="53">
        <v>12</v>
      </c>
      <c r="V104" s="54">
        <v>12</v>
      </c>
      <c r="W104" s="49">
        <v>15</v>
      </c>
      <c r="X104" s="53">
        <v>65</v>
      </c>
      <c r="Y104" s="6">
        <v>20</v>
      </c>
      <c r="Z104" s="55">
        <f t="shared" si="6"/>
        <v>100</v>
      </c>
      <c r="AA104" s="55">
        <v>30</v>
      </c>
      <c r="AB104" s="55">
        <v>30</v>
      </c>
      <c r="AC104" s="56">
        <v>40</v>
      </c>
    </row>
    <row r="105" spans="9:29">
      <c r="I105" s="47">
        <f t="shared" si="7"/>
        <v>1</v>
      </c>
      <c r="J105" s="48" t="s">
        <v>360</v>
      </c>
      <c r="K105" s="48" t="s">
        <v>366</v>
      </c>
      <c r="L105" s="48" t="s">
        <v>374</v>
      </c>
      <c r="M105" s="49"/>
      <c r="N105" s="50" t="s">
        <v>258</v>
      </c>
      <c r="O105" s="51">
        <v>11</v>
      </c>
      <c r="P105" s="52">
        <v>3</v>
      </c>
      <c r="Q105" s="53">
        <v>4</v>
      </c>
      <c r="R105" s="54">
        <v>12</v>
      </c>
      <c r="S105" s="51">
        <v>12</v>
      </c>
      <c r="T105" s="52">
        <v>1</v>
      </c>
      <c r="U105" s="53">
        <v>12</v>
      </c>
      <c r="V105" s="54">
        <v>12</v>
      </c>
      <c r="W105" s="49">
        <v>15</v>
      </c>
      <c r="X105" s="53">
        <v>65</v>
      </c>
      <c r="Y105" s="6">
        <v>20</v>
      </c>
      <c r="Z105" s="55">
        <f t="shared" si="6"/>
        <v>100</v>
      </c>
      <c r="AA105" s="55">
        <v>30</v>
      </c>
      <c r="AB105" s="55">
        <v>30</v>
      </c>
      <c r="AC105" s="56">
        <v>40</v>
      </c>
    </row>
    <row r="106" spans="9:29">
      <c r="I106" s="112">
        <f t="shared" si="7"/>
        <v>1</v>
      </c>
      <c r="J106" s="113" t="s">
        <v>360</v>
      </c>
      <c r="K106" s="113" t="s">
        <v>366</v>
      </c>
      <c r="L106" s="113" t="s">
        <v>375</v>
      </c>
      <c r="M106" s="114"/>
      <c r="N106" s="115" t="s">
        <v>258</v>
      </c>
      <c r="O106" s="116">
        <v>11</v>
      </c>
      <c r="P106" s="117">
        <v>3</v>
      </c>
      <c r="Q106" s="118">
        <v>4</v>
      </c>
      <c r="R106" s="119">
        <v>12</v>
      </c>
      <c r="S106" s="116">
        <v>12</v>
      </c>
      <c r="T106" s="117">
        <v>1</v>
      </c>
      <c r="U106" s="118">
        <v>12</v>
      </c>
      <c r="V106" s="119">
        <v>12</v>
      </c>
      <c r="W106" s="114">
        <v>15</v>
      </c>
      <c r="X106" s="118">
        <v>65</v>
      </c>
      <c r="Y106" s="120">
        <v>20</v>
      </c>
      <c r="Z106" s="121">
        <f t="shared" si="6"/>
        <v>100</v>
      </c>
      <c r="AA106" s="121">
        <v>30</v>
      </c>
      <c r="AB106" s="55">
        <v>30</v>
      </c>
      <c r="AC106" s="56">
        <v>40</v>
      </c>
    </row>
    <row r="107" spans="9:29">
      <c r="I107" s="22">
        <f t="shared" si="7"/>
        <v>1</v>
      </c>
      <c r="J107" s="66" t="s">
        <v>360</v>
      </c>
      <c r="K107" s="66" t="s">
        <v>376</v>
      </c>
      <c r="L107" s="66" t="s">
        <v>377</v>
      </c>
      <c r="M107" s="67"/>
      <c r="N107" s="68" t="s">
        <v>258</v>
      </c>
      <c r="O107" s="69">
        <v>11</v>
      </c>
      <c r="P107" s="70">
        <v>3</v>
      </c>
      <c r="Q107" s="71">
        <v>4</v>
      </c>
      <c r="R107" s="72">
        <v>12</v>
      </c>
      <c r="S107" s="69">
        <v>12</v>
      </c>
      <c r="T107" s="70">
        <v>1</v>
      </c>
      <c r="U107" s="71">
        <v>12</v>
      </c>
      <c r="V107" s="72">
        <v>12</v>
      </c>
      <c r="W107" s="67">
        <v>15</v>
      </c>
      <c r="X107" s="71">
        <v>65</v>
      </c>
      <c r="Y107" s="122">
        <v>20</v>
      </c>
      <c r="Z107" s="75">
        <f t="shared" si="6"/>
        <v>100</v>
      </c>
      <c r="AA107" s="75">
        <v>30</v>
      </c>
      <c r="AB107" s="55">
        <v>30</v>
      </c>
      <c r="AC107" s="56">
        <v>40</v>
      </c>
    </row>
    <row r="108" spans="9:29">
      <c r="I108" s="112">
        <f t="shared" si="7"/>
        <v>1</v>
      </c>
      <c r="J108" s="113" t="s">
        <v>360</v>
      </c>
      <c r="K108" s="113" t="s">
        <v>376</v>
      </c>
      <c r="L108" s="113" t="s">
        <v>378</v>
      </c>
      <c r="M108" s="114"/>
      <c r="N108" s="115" t="s">
        <v>258</v>
      </c>
      <c r="O108" s="116">
        <v>11</v>
      </c>
      <c r="P108" s="117">
        <v>3</v>
      </c>
      <c r="Q108" s="118">
        <v>4</v>
      </c>
      <c r="R108" s="119">
        <v>12</v>
      </c>
      <c r="S108" s="116">
        <v>12</v>
      </c>
      <c r="T108" s="117">
        <v>1</v>
      </c>
      <c r="U108" s="118">
        <v>12</v>
      </c>
      <c r="V108" s="119">
        <v>12</v>
      </c>
      <c r="W108" s="114">
        <v>15</v>
      </c>
      <c r="X108" s="118">
        <v>65</v>
      </c>
      <c r="Y108" s="120">
        <v>20</v>
      </c>
      <c r="Z108" s="121">
        <f t="shared" si="6"/>
        <v>100</v>
      </c>
      <c r="AA108" s="121">
        <v>30</v>
      </c>
      <c r="AB108" s="55">
        <v>30</v>
      </c>
      <c r="AC108" s="56">
        <v>40</v>
      </c>
    </row>
    <row r="109" spans="9:29">
      <c r="I109" s="22">
        <f t="shared" si="7"/>
        <v>1</v>
      </c>
      <c r="J109" s="66" t="s">
        <v>360</v>
      </c>
      <c r="K109" s="66" t="s">
        <v>379</v>
      </c>
      <c r="L109" s="66" t="s">
        <v>380</v>
      </c>
      <c r="M109" s="67"/>
      <c r="N109" s="68" t="s">
        <v>258</v>
      </c>
      <c r="O109" s="69">
        <v>11</v>
      </c>
      <c r="P109" s="70">
        <v>3</v>
      </c>
      <c r="Q109" s="71">
        <v>4</v>
      </c>
      <c r="R109" s="72">
        <v>12</v>
      </c>
      <c r="S109" s="69">
        <v>12</v>
      </c>
      <c r="T109" s="70">
        <v>1</v>
      </c>
      <c r="U109" s="71">
        <v>12</v>
      </c>
      <c r="V109" s="72">
        <v>12</v>
      </c>
      <c r="W109" s="67">
        <v>15</v>
      </c>
      <c r="X109" s="71">
        <v>65</v>
      </c>
      <c r="Y109" s="122">
        <v>20</v>
      </c>
      <c r="Z109" s="75">
        <f t="shared" si="6"/>
        <v>100</v>
      </c>
      <c r="AA109" s="75">
        <v>30</v>
      </c>
      <c r="AB109" s="55">
        <v>30</v>
      </c>
      <c r="AC109" s="56">
        <v>40</v>
      </c>
    </row>
    <row r="110" spans="9:29">
      <c r="I110" s="47">
        <f t="shared" si="7"/>
        <v>1</v>
      </c>
      <c r="J110" s="48" t="s">
        <v>360</v>
      </c>
      <c r="K110" s="48" t="s">
        <v>379</v>
      </c>
      <c r="L110" s="48" t="s">
        <v>381</v>
      </c>
      <c r="M110" s="49"/>
      <c r="N110" s="50" t="s">
        <v>258</v>
      </c>
      <c r="O110" s="51">
        <v>11</v>
      </c>
      <c r="P110" s="52">
        <v>3</v>
      </c>
      <c r="Q110" s="53">
        <v>4</v>
      </c>
      <c r="R110" s="54">
        <v>12</v>
      </c>
      <c r="S110" s="51">
        <v>12</v>
      </c>
      <c r="T110" s="52">
        <v>1</v>
      </c>
      <c r="U110" s="53">
        <v>12</v>
      </c>
      <c r="V110" s="54">
        <v>12</v>
      </c>
      <c r="W110" s="49">
        <v>15</v>
      </c>
      <c r="X110" s="53">
        <v>65</v>
      </c>
      <c r="Y110" s="6">
        <v>20</v>
      </c>
      <c r="Z110" s="55">
        <f t="shared" si="6"/>
        <v>100</v>
      </c>
      <c r="AA110" s="55">
        <v>30</v>
      </c>
      <c r="AB110" s="55">
        <v>30</v>
      </c>
      <c r="AC110" s="56">
        <v>40</v>
      </c>
    </row>
    <row r="111" spans="9:29">
      <c r="I111" s="47">
        <f t="shared" si="7"/>
        <v>0</v>
      </c>
      <c r="J111" s="48" t="s">
        <v>360</v>
      </c>
      <c r="K111" s="48" t="s">
        <v>379</v>
      </c>
      <c r="L111" s="48" t="s">
        <v>382</v>
      </c>
      <c r="M111" s="49"/>
      <c r="N111" s="50" t="s">
        <v>293</v>
      </c>
      <c r="O111" s="51" t="s">
        <v>249</v>
      </c>
      <c r="P111" s="52"/>
      <c r="Q111" s="53"/>
      <c r="R111" s="54"/>
      <c r="S111" s="51">
        <v>12</v>
      </c>
      <c r="T111" s="52">
        <v>1</v>
      </c>
      <c r="U111" s="53">
        <v>12</v>
      </c>
      <c r="V111" s="54">
        <v>12</v>
      </c>
      <c r="W111" s="49">
        <v>15</v>
      </c>
      <c r="X111" s="53">
        <v>65</v>
      </c>
      <c r="Y111" s="6">
        <v>20</v>
      </c>
      <c r="Z111" s="55">
        <f t="shared" si="6"/>
        <v>100</v>
      </c>
      <c r="AA111" s="55">
        <v>30</v>
      </c>
      <c r="AB111" s="55">
        <v>30</v>
      </c>
      <c r="AC111" s="56">
        <v>40</v>
      </c>
    </row>
    <row r="112" spans="9:29">
      <c r="I112" s="112">
        <f t="shared" si="7"/>
        <v>0</v>
      </c>
      <c r="J112" s="113" t="s">
        <v>360</v>
      </c>
      <c r="K112" s="113" t="s">
        <v>379</v>
      </c>
      <c r="L112" s="113" t="s">
        <v>383</v>
      </c>
      <c r="M112" s="114"/>
      <c r="N112" s="115" t="s">
        <v>293</v>
      </c>
      <c r="O112" s="116" t="s">
        <v>249</v>
      </c>
      <c r="P112" s="117"/>
      <c r="Q112" s="118"/>
      <c r="R112" s="119"/>
      <c r="S112" s="116">
        <v>12</v>
      </c>
      <c r="T112" s="117">
        <v>1</v>
      </c>
      <c r="U112" s="118">
        <v>12</v>
      </c>
      <c r="V112" s="119">
        <v>12</v>
      </c>
      <c r="W112" s="114">
        <v>15</v>
      </c>
      <c r="X112" s="118">
        <v>65</v>
      </c>
      <c r="Y112" s="120">
        <v>20</v>
      </c>
      <c r="Z112" s="121">
        <f t="shared" si="6"/>
        <v>100</v>
      </c>
      <c r="AA112" s="121">
        <v>30</v>
      </c>
      <c r="AB112" s="55">
        <v>30</v>
      </c>
      <c r="AC112" s="56">
        <v>40</v>
      </c>
    </row>
    <row r="113" spans="9:29">
      <c r="I113" s="22">
        <f t="shared" si="7"/>
        <v>1</v>
      </c>
      <c r="J113" s="66" t="s">
        <v>360</v>
      </c>
      <c r="K113" s="66" t="s">
        <v>384</v>
      </c>
      <c r="L113" s="66" t="s">
        <v>385</v>
      </c>
      <c r="M113" s="67"/>
      <c r="N113" s="68" t="s">
        <v>258</v>
      </c>
      <c r="O113" s="69">
        <v>11</v>
      </c>
      <c r="P113" s="70">
        <v>3</v>
      </c>
      <c r="Q113" s="71">
        <v>4</v>
      </c>
      <c r="R113" s="72">
        <v>12</v>
      </c>
      <c r="S113" s="69">
        <v>12</v>
      </c>
      <c r="T113" s="70">
        <v>1</v>
      </c>
      <c r="U113" s="71">
        <v>12</v>
      </c>
      <c r="V113" s="72">
        <v>12</v>
      </c>
      <c r="W113" s="67">
        <v>15</v>
      </c>
      <c r="X113" s="71">
        <v>65</v>
      </c>
      <c r="Y113" s="122">
        <v>20</v>
      </c>
      <c r="Z113" s="75">
        <f t="shared" si="6"/>
        <v>100</v>
      </c>
      <c r="AA113" s="75">
        <v>30</v>
      </c>
      <c r="AB113" s="55">
        <v>30</v>
      </c>
      <c r="AC113" s="56">
        <v>40</v>
      </c>
    </row>
    <row r="114" spans="9:29">
      <c r="I114" s="47">
        <f t="shared" si="7"/>
        <v>1</v>
      </c>
      <c r="J114" s="48" t="s">
        <v>360</v>
      </c>
      <c r="K114" s="48" t="s">
        <v>384</v>
      </c>
      <c r="L114" s="48" t="s">
        <v>386</v>
      </c>
      <c r="M114" s="49"/>
      <c r="N114" s="50" t="s">
        <v>258</v>
      </c>
      <c r="O114" s="51">
        <v>11</v>
      </c>
      <c r="P114" s="52">
        <v>3</v>
      </c>
      <c r="Q114" s="53">
        <v>4</v>
      </c>
      <c r="R114" s="54">
        <v>12</v>
      </c>
      <c r="S114" s="51">
        <v>12</v>
      </c>
      <c r="T114" s="52">
        <v>1</v>
      </c>
      <c r="U114" s="53">
        <v>12</v>
      </c>
      <c r="V114" s="54">
        <v>12</v>
      </c>
      <c r="W114" s="49">
        <v>15</v>
      </c>
      <c r="X114" s="53">
        <v>65</v>
      </c>
      <c r="Y114" s="6">
        <v>20</v>
      </c>
      <c r="Z114" s="55">
        <f t="shared" si="6"/>
        <v>100</v>
      </c>
      <c r="AA114" s="55">
        <v>30</v>
      </c>
      <c r="AB114" s="55">
        <v>30</v>
      </c>
      <c r="AC114" s="56">
        <v>40</v>
      </c>
    </row>
    <row r="115" spans="9:29">
      <c r="I115" s="47">
        <f t="shared" si="7"/>
        <v>1</v>
      </c>
      <c r="J115" s="48" t="s">
        <v>360</v>
      </c>
      <c r="K115" s="48" t="s">
        <v>384</v>
      </c>
      <c r="L115" s="48" t="s">
        <v>387</v>
      </c>
      <c r="M115" s="49"/>
      <c r="N115" s="50" t="s">
        <v>258</v>
      </c>
      <c r="O115" s="51">
        <v>11</v>
      </c>
      <c r="P115" s="52">
        <v>3</v>
      </c>
      <c r="Q115" s="53">
        <v>4</v>
      </c>
      <c r="R115" s="54">
        <v>12</v>
      </c>
      <c r="S115" s="51">
        <v>12</v>
      </c>
      <c r="T115" s="52">
        <v>1</v>
      </c>
      <c r="U115" s="53">
        <v>12</v>
      </c>
      <c r="V115" s="54">
        <v>12</v>
      </c>
      <c r="W115" s="49">
        <v>15</v>
      </c>
      <c r="X115" s="53">
        <v>65</v>
      </c>
      <c r="Y115" s="6">
        <v>20</v>
      </c>
      <c r="Z115" s="55">
        <f t="shared" si="6"/>
        <v>100</v>
      </c>
      <c r="AA115" s="55">
        <v>30</v>
      </c>
      <c r="AB115" s="55">
        <v>30</v>
      </c>
      <c r="AC115" s="56">
        <v>40</v>
      </c>
    </row>
    <row r="116" spans="9:29">
      <c r="I116" s="112">
        <f t="shared" si="7"/>
        <v>1</v>
      </c>
      <c r="J116" s="113" t="s">
        <v>360</v>
      </c>
      <c r="K116" s="113" t="s">
        <v>384</v>
      </c>
      <c r="L116" s="113" t="s">
        <v>388</v>
      </c>
      <c r="M116" s="114"/>
      <c r="N116" s="115" t="s">
        <v>258</v>
      </c>
      <c r="O116" s="116">
        <v>11</v>
      </c>
      <c r="P116" s="117">
        <v>3</v>
      </c>
      <c r="Q116" s="118">
        <v>4</v>
      </c>
      <c r="R116" s="119">
        <v>12</v>
      </c>
      <c r="S116" s="116">
        <v>12</v>
      </c>
      <c r="T116" s="117">
        <v>1</v>
      </c>
      <c r="U116" s="118">
        <v>12</v>
      </c>
      <c r="V116" s="119">
        <v>12</v>
      </c>
      <c r="W116" s="114">
        <v>15</v>
      </c>
      <c r="X116" s="118">
        <v>65</v>
      </c>
      <c r="Y116" s="120">
        <v>20</v>
      </c>
      <c r="Z116" s="121">
        <f t="shared" si="6"/>
        <v>100</v>
      </c>
      <c r="AA116" s="121">
        <v>30</v>
      </c>
      <c r="AB116" s="55">
        <v>30</v>
      </c>
      <c r="AC116" s="56">
        <v>40</v>
      </c>
    </row>
    <row r="117" spans="9:29">
      <c r="I117" s="22">
        <f t="shared" si="7"/>
        <v>1</v>
      </c>
      <c r="J117" s="66" t="s">
        <v>360</v>
      </c>
      <c r="K117" s="66" t="s">
        <v>389</v>
      </c>
      <c r="L117" s="66" t="s">
        <v>390</v>
      </c>
      <c r="M117" s="67"/>
      <c r="N117" s="68" t="s">
        <v>258</v>
      </c>
      <c r="O117" s="69">
        <v>11</v>
      </c>
      <c r="P117" s="70">
        <v>3</v>
      </c>
      <c r="Q117" s="71">
        <v>4</v>
      </c>
      <c r="R117" s="72">
        <v>12</v>
      </c>
      <c r="S117" s="69">
        <v>12</v>
      </c>
      <c r="T117" s="70">
        <v>1</v>
      </c>
      <c r="U117" s="71">
        <v>12</v>
      </c>
      <c r="V117" s="72">
        <v>12</v>
      </c>
      <c r="W117" s="67">
        <v>15</v>
      </c>
      <c r="X117" s="71">
        <v>65</v>
      </c>
      <c r="Y117" s="122">
        <v>20</v>
      </c>
      <c r="Z117" s="75">
        <f t="shared" si="6"/>
        <v>100</v>
      </c>
      <c r="AA117" s="75">
        <v>30</v>
      </c>
      <c r="AB117" s="55">
        <v>30</v>
      </c>
      <c r="AC117" s="56">
        <v>40</v>
      </c>
    </row>
    <row r="118" spans="9:29">
      <c r="I118" s="47">
        <f t="shared" si="7"/>
        <v>1</v>
      </c>
      <c r="J118" s="48" t="s">
        <v>360</v>
      </c>
      <c r="K118" s="48" t="s">
        <v>389</v>
      </c>
      <c r="L118" s="48" t="s">
        <v>391</v>
      </c>
      <c r="M118" s="49"/>
      <c r="N118" s="50" t="s">
        <v>258</v>
      </c>
      <c r="O118" s="51">
        <v>11</v>
      </c>
      <c r="P118" s="52">
        <v>3</v>
      </c>
      <c r="Q118" s="53">
        <v>4</v>
      </c>
      <c r="R118" s="54">
        <v>12</v>
      </c>
      <c r="S118" s="51">
        <v>12</v>
      </c>
      <c r="T118" s="52">
        <v>1</v>
      </c>
      <c r="U118" s="53">
        <v>12</v>
      </c>
      <c r="V118" s="54">
        <v>12</v>
      </c>
      <c r="W118" s="49">
        <v>15</v>
      </c>
      <c r="X118" s="53">
        <v>65</v>
      </c>
      <c r="Y118" s="6">
        <v>20</v>
      </c>
      <c r="Z118" s="55">
        <f t="shared" si="6"/>
        <v>100</v>
      </c>
      <c r="AA118" s="55">
        <v>30</v>
      </c>
      <c r="AB118" s="55">
        <v>30</v>
      </c>
      <c r="AC118" s="56">
        <v>40</v>
      </c>
    </row>
    <row r="119" spans="9:29">
      <c r="I119" s="112">
        <f t="shared" si="7"/>
        <v>1</v>
      </c>
      <c r="J119" s="113" t="s">
        <v>360</v>
      </c>
      <c r="K119" s="113" t="s">
        <v>389</v>
      </c>
      <c r="L119" s="113" t="s">
        <v>392</v>
      </c>
      <c r="M119" s="114"/>
      <c r="N119" s="115" t="s">
        <v>258</v>
      </c>
      <c r="O119" s="116">
        <v>11</v>
      </c>
      <c r="P119" s="117">
        <v>3</v>
      </c>
      <c r="Q119" s="118">
        <v>4</v>
      </c>
      <c r="R119" s="119">
        <v>12</v>
      </c>
      <c r="S119" s="116">
        <v>12</v>
      </c>
      <c r="T119" s="117">
        <v>1</v>
      </c>
      <c r="U119" s="118">
        <v>12</v>
      </c>
      <c r="V119" s="119">
        <v>12</v>
      </c>
      <c r="W119" s="114">
        <v>15</v>
      </c>
      <c r="X119" s="118">
        <v>65</v>
      </c>
      <c r="Y119" s="120">
        <v>20</v>
      </c>
      <c r="Z119" s="121">
        <f t="shared" si="6"/>
        <v>100</v>
      </c>
      <c r="AA119" s="121">
        <v>30</v>
      </c>
      <c r="AB119" s="55">
        <v>30</v>
      </c>
      <c r="AC119" s="56">
        <v>40</v>
      </c>
    </row>
    <row r="120" spans="9:29">
      <c r="I120" s="22">
        <f t="shared" si="7"/>
        <v>1</v>
      </c>
      <c r="J120" s="66" t="s">
        <v>360</v>
      </c>
      <c r="K120" s="66" t="s">
        <v>393</v>
      </c>
      <c r="L120" s="66" t="s">
        <v>394</v>
      </c>
      <c r="M120" s="67"/>
      <c r="N120" s="68" t="s">
        <v>258</v>
      </c>
      <c r="O120" s="69">
        <v>11</v>
      </c>
      <c r="P120" s="70">
        <v>3</v>
      </c>
      <c r="Q120" s="71">
        <v>4</v>
      </c>
      <c r="R120" s="72">
        <v>12</v>
      </c>
      <c r="S120" s="69">
        <v>12</v>
      </c>
      <c r="T120" s="70">
        <v>1</v>
      </c>
      <c r="U120" s="71">
        <v>12</v>
      </c>
      <c r="V120" s="72">
        <v>12</v>
      </c>
      <c r="W120" s="67">
        <v>15</v>
      </c>
      <c r="X120" s="71">
        <v>65</v>
      </c>
      <c r="Y120" s="122">
        <v>20</v>
      </c>
      <c r="Z120" s="75">
        <f t="shared" si="6"/>
        <v>100</v>
      </c>
      <c r="AA120" s="75">
        <v>30</v>
      </c>
      <c r="AB120" s="55">
        <v>30</v>
      </c>
      <c r="AC120" s="56">
        <v>40</v>
      </c>
    </row>
    <row r="121" spans="9:29">
      <c r="I121" s="47">
        <f t="shared" si="7"/>
        <v>1</v>
      </c>
      <c r="J121" s="48" t="s">
        <v>360</v>
      </c>
      <c r="K121" s="48" t="s">
        <v>393</v>
      </c>
      <c r="L121" s="48" t="s">
        <v>395</v>
      </c>
      <c r="M121" s="49"/>
      <c r="N121" s="50" t="s">
        <v>258</v>
      </c>
      <c r="O121" s="51">
        <v>11</v>
      </c>
      <c r="P121" s="52">
        <v>3</v>
      </c>
      <c r="Q121" s="53">
        <v>4</v>
      </c>
      <c r="R121" s="54">
        <v>12</v>
      </c>
      <c r="S121" s="51">
        <v>12</v>
      </c>
      <c r="T121" s="52">
        <v>1</v>
      </c>
      <c r="U121" s="53">
        <v>12</v>
      </c>
      <c r="V121" s="54">
        <v>12</v>
      </c>
      <c r="W121" s="49">
        <v>15</v>
      </c>
      <c r="X121" s="53">
        <v>65</v>
      </c>
      <c r="Y121" s="6">
        <v>20</v>
      </c>
      <c r="Z121" s="55">
        <f t="shared" si="6"/>
        <v>100</v>
      </c>
      <c r="AA121" s="55">
        <v>30</v>
      </c>
      <c r="AB121" s="55">
        <v>30</v>
      </c>
      <c r="AC121" s="56">
        <v>40</v>
      </c>
    </row>
    <row r="122" spans="9:29">
      <c r="I122" s="47">
        <f t="shared" si="7"/>
        <v>1</v>
      </c>
      <c r="J122" s="48" t="s">
        <v>360</v>
      </c>
      <c r="K122" s="48" t="s">
        <v>393</v>
      </c>
      <c r="L122" s="48" t="s">
        <v>396</v>
      </c>
      <c r="M122" s="49"/>
      <c r="N122" s="50" t="s">
        <v>258</v>
      </c>
      <c r="O122" s="51">
        <v>11</v>
      </c>
      <c r="P122" s="52">
        <v>3</v>
      </c>
      <c r="Q122" s="53">
        <v>4</v>
      </c>
      <c r="R122" s="54">
        <v>12</v>
      </c>
      <c r="S122" s="51">
        <v>12</v>
      </c>
      <c r="T122" s="52">
        <v>1</v>
      </c>
      <c r="U122" s="53">
        <v>12</v>
      </c>
      <c r="V122" s="54">
        <v>12</v>
      </c>
      <c r="W122" s="49">
        <v>15</v>
      </c>
      <c r="X122" s="53">
        <v>65</v>
      </c>
      <c r="Y122" s="6">
        <v>20</v>
      </c>
      <c r="Z122" s="55">
        <f t="shared" si="6"/>
        <v>100</v>
      </c>
      <c r="AA122" s="55">
        <v>30</v>
      </c>
      <c r="AB122" s="55">
        <v>30</v>
      </c>
      <c r="AC122" s="56">
        <v>40</v>
      </c>
    </row>
    <row r="123" spans="9:29">
      <c r="I123" s="47">
        <f t="shared" si="7"/>
        <v>1</v>
      </c>
      <c r="J123" s="48" t="s">
        <v>360</v>
      </c>
      <c r="K123" s="48" t="s">
        <v>393</v>
      </c>
      <c r="L123" s="48" t="s">
        <v>397</v>
      </c>
      <c r="M123" s="49"/>
      <c r="N123" s="50" t="s">
        <v>258</v>
      </c>
      <c r="O123" s="51">
        <v>11</v>
      </c>
      <c r="P123" s="52">
        <v>3</v>
      </c>
      <c r="Q123" s="53">
        <v>4</v>
      </c>
      <c r="R123" s="54">
        <v>12</v>
      </c>
      <c r="S123" s="51">
        <v>12</v>
      </c>
      <c r="T123" s="52">
        <v>1</v>
      </c>
      <c r="U123" s="53">
        <v>12</v>
      </c>
      <c r="V123" s="54">
        <v>12</v>
      </c>
      <c r="W123" s="49">
        <v>15</v>
      </c>
      <c r="X123" s="53">
        <v>65</v>
      </c>
      <c r="Y123" s="6">
        <v>20</v>
      </c>
      <c r="Z123" s="55">
        <f t="shared" si="6"/>
        <v>100</v>
      </c>
      <c r="AA123" s="55">
        <v>30</v>
      </c>
      <c r="AB123" s="55">
        <v>30</v>
      </c>
      <c r="AC123" s="56">
        <v>40</v>
      </c>
    </row>
    <row r="124" spans="9:29">
      <c r="I124" s="47">
        <f t="shared" si="7"/>
        <v>1</v>
      </c>
      <c r="J124" s="48" t="s">
        <v>360</v>
      </c>
      <c r="K124" s="48" t="s">
        <v>393</v>
      </c>
      <c r="L124" s="48" t="s">
        <v>398</v>
      </c>
      <c r="M124" s="49"/>
      <c r="N124" s="50" t="s">
        <v>258</v>
      </c>
      <c r="O124" s="51">
        <v>11</v>
      </c>
      <c r="P124" s="52">
        <v>3</v>
      </c>
      <c r="Q124" s="53">
        <v>4</v>
      </c>
      <c r="R124" s="54">
        <v>12</v>
      </c>
      <c r="S124" s="51">
        <v>12</v>
      </c>
      <c r="T124" s="52">
        <v>1</v>
      </c>
      <c r="U124" s="53">
        <v>12</v>
      </c>
      <c r="V124" s="54">
        <v>12</v>
      </c>
      <c r="W124" s="49">
        <v>15</v>
      </c>
      <c r="X124" s="53">
        <v>65</v>
      </c>
      <c r="Y124" s="6">
        <v>20</v>
      </c>
      <c r="Z124" s="55">
        <f t="shared" si="6"/>
        <v>100</v>
      </c>
      <c r="AA124" s="55">
        <v>30</v>
      </c>
      <c r="AB124" s="55">
        <v>30</v>
      </c>
      <c r="AC124" s="56">
        <v>40</v>
      </c>
    </row>
    <row r="125" spans="9:29">
      <c r="I125" s="47">
        <f t="shared" si="7"/>
        <v>1</v>
      </c>
      <c r="J125" s="48" t="s">
        <v>360</v>
      </c>
      <c r="K125" s="48" t="s">
        <v>393</v>
      </c>
      <c r="L125" s="48" t="s">
        <v>399</v>
      </c>
      <c r="M125" s="49"/>
      <c r="N125" s="50" t="s">
        <v>258</v>
      </c>
      <c r="O125" s="51">
        <v>11</v>
      </c>
      <c r="P125" s="52">
        <v>3</v>
      </c>
      <c r="Q125" s="53">
        <v>4</v>
      </c>
      <c r="R125" s="54">
        <v>12</v>
      </c>
      <c r="S125" s="51">
        <v>12</v>
      </c>
      <c r="T125" s="52">
        <v>1</v>
      </c>
      <c r="U125" s="53">
        <v>12</v>
      </c>
      <c r="V125" s="54">
        <v>12</v>
      </c>
      <c r="W125" s="49">
        <v>15</v>
      </c>
      <c r="X125" s="53">
        <v>65</v>
      </c>
      <c r="Y125" s="6">
        <v>20</v>
      </c>
      <c r="Z125" s="55">
        <f t="shared" si="6"/>
        <v>100</v>
      </c>
      <c r="AA125" s="55">
        <v>30</v>
      </c>
      <c r="AB125" s="55">
        <v>30</v>
      </c>
      <c r="AC125" s="56">
        <v>40</v>
      </c>
    </row>
    <row r="126" spans="9:29">
      <c r="I126" s="112">
        <f t="shared" si="7"/>
        <v>1</v>
      </c>
      <c r="J126" s="113" t="s">
        <v>360</v>
      </c>
      <c r="K126" s="113" t="s">
        <v>393</v>
      </c>
      <c r="L126" s="113" t="s">
        <v>400</v>
      </c>
      <c r="M126" s="114"/>
      <c r="N126" s="115" t="s">
        <v>258</v>
      </c>
      <c r="O126" s="116">
        <v>11</v>
      </c>
      <c r="P126" s="117">
        <v>3</v>
      </c>
      <c r="Q126" s="118">
        <v>4</v>
      </c>
      <c r="R126" s="119">
        <v>12</v>
      </c>
      <c r="S126" s="116">
        <v>12</v>
      </c>
      <c r="T126" s="117">
        <v>1</v>
      </c>
      <c r="U126" s="118">
        <v>12</v>
      </c>
      <c r="V126" s="119">
        <v>12</v>
      </c>
      <c r="W126" s="114">
        <v>15</v>
      </c>
      <c r="X126" s="118">
        <v>65</v>
      </c>
      <c r="Y126" s="120">
        <v>20</v>
      </c>
      <c r="Z126" s="121">
        <f t="shared" ref="Z126:Z142" si="8">SUM(W126:Y126)</f>
        <v>100</v>
      </c>
      <c r="AA126" s="121">
        <v>30</v>
      </c>
      <c r="AB126" s="55">
        <v>30</v>
      </c>
      <c r="AC126" s="56">
        <v>40</v>
      </c>
    </row>
    <row r="127" spans="9:29">
      <c r="I127" s="22">
        <f t="shared" si="7"/>
        <v>1</v>
      </c>
      <c r="J127" s="66" t="s">
        <v>360</v>
      </c>
      <c r="K127" s="66" t="s">
        <v>401</v>
      </c>
      <c r="L127" s="66" t="s">
        <v>402</v>
      </c>
      <c r="M127" s="67"/>
      <c r="N127" s="68" t="s">
        <v>258</v>
      </c>
      <c r="O127" s="69">
        <v>11</v>
      </c>
      <c r="P127" s="70">
        <v>3</v>
      </c>
      <c r="Q127" s="71">
        <v>4</v>
      </c>
      <c r="R127" s="72">
        <v>12</v>
      </c>
      <c r="S127" s="69">
        <v>12</v>
      </c>
      <c r="T127" s="70">
        <v>1</v>
      </c>
      <c r="U127" s="71">
        <v>12</v>
      </c>
      <c r="V127" s="72">
        <v>12</v>
      </c>
      <c r="W127" s="67">
        <v>15</v>
      </c>
      <c r="X127" s="71">
        <v>65</v>
      </c>
      <c r="Y127" s="122">
        <v>20</v>
      </c>
      <c r="Z127" s="75">
        <f t="shared" si="8"/>
        <v>100</v>
      </c>
      <c r="AA127" s="75">
        <v>30</v>
      </c>
      <c r="AB127" s="55">
        <v>30</v>
      </c>
      <c r="AC127" s="56">
        <v>40</v>
      </c>
    </row>
    <row r="128" spans="9:29">
      <c r="I128" s="47">
        <f t="shared" si="7"/>
        <v>1</v>
      </c>
      <c r="J128" s="48" t="s">
        <v>360</v>
      </c>
      <c r="K128" s="48" t="s">
        <v>401</v>
      </c>
      <c r="L128" s="48" t="s">
        <v>403</v>
      </c>
      <c r="M128" s="49"/>
      <c r="N128" s="50" t="s">
        <v>258</v>
      </c>
      <c r="O128" s="51">
        <v>11</v>
      </c>
      <c r="P128" s="52">
        <v>3</v>
      </c>
      <c r="Q128" s="53">
        <v>4</v>
      </c>
      <c r="R128" s="54">
        <v>12</v>
      </c>
      <c r="S128" s="51">
        <v>12</v>
      </c>
      <c r="T128" s="52">
        <v>1</v>
      </c>
      <c r="U128" s="53">
        <v>12</v>
      </c>
      <c r="V128" s="54">
        <v>12</v>
      </c>
      <c r="W128" s="49">
        <v>15</v>
      </c>
      <c r="X128" s="53">
        <v>65</v>
      </c>
      <c r="Y128" s="6">
        <v>20</v>
      </c>
      <c r="Z128" s="55">
        <f t="shared" si="8"/>
        <v>100</v>
      </c>
      <c r="AA128" s="55">
        <v>30</v>
      </c>
      <c r="AB128" s="55">
        <v>30</v>
      </c>
      <c r="AC128" s="56">
        <v>40</v>
      </c>
    </row>
    <row r="129" spans="9:29">
      <c r="I129" s="47">
        <f t="shared" si="7"/>
        <v>1</v>
      </c>
      <c r="J129" s="48" t="s">
        <v>360</v>
      </c>
      <c r="K129" s="48" t="s">
        <v>401</v>
      </c>
      <c r="L129" s="48" t="s">
        <v>404</v>
      </c>
      <c r="M129" s="49"/>
      <c r="N129" s="50" t="s">
        <v>258</v>
      </c>
      <c r="O129" s="51">
        <v>11</v>
      </c>
      <c r="P129" s="52">
        <v>3</v>
      </c>
      <c r="Q129" s="53">
        <v>4</v>
      </c>
      <c r="R129" s="54">
        <v>12</v>
      </c>
      <c r="S129" s="51">
        <v>12</v>
      </c>
      <c r="T129" s="52">
        <v>1</v>
      </c>
      <c r="U129" s="53">
        <v>12</v>
      </c>
      <c r="V129" s="54">
        <v>12</v>
      </c>
      <c r="W129" s="49">
        <v>15</v>
      </c>
      <c r="X129" s="53">
        <v>65</v>
      </c>
      <c r="Y129" s="6">
        <v>20</v>
      </c>
      <c r="Z129" s="55">
        <f t="shared" si="8"/>
        <v>100</v>
      </c>
      <c r="AA129" s="55">
        <v>30</v>
      </c>
      <c r="AB129" s="55">
        <v>30</v>
      </c>
      <c r="AC129" s="56">
        <v>40</v>
      </c>
    </row>
    <row r="130" spans="9:29">
      <c r="I130" s="47">
        <f t="shared" si="7"/>
        <v>1</v>
      </c>
      <c r="J130" s="48" t="s">
        <v>360</v>
      </c>
      <c r="K130" s="48" t="s">
        <v>401</v>
      </c>
      <c r="L130" s="48" t="s">
        <v>405</v>
      </c>
      <c r="M130" s="49"/>
      <c r="N130" s="50" t="s">
        <v>258</v>
      </c>
      <c r="O130" s="51">
        <v>11</v>
      </c>
      <c r="P130" s="52">
        <v>3</v>
      </c>
      <c r="Q130" s="53">
        <v>4</v>
      </c>
      <c r="R130" s="54">
        <v>12</v>
      </c>
      <c r="S130" s="51">
        <v>12</v>
      </c>
      <c r="T130" s="52">
        <v>1</v>
      </c>
      <c r="U130" s="53">
        <v>12</v>
      </c>
      <c r="V130" s="54">
        <v>12</v>
      </c>
      <c r="W130" s="49">
        <v>15</v>
      </c>
      <c r="X130" s="53">
        <v>65</v>
      </c>
      <c r="Y130" s="6">
        <v>20</v>
      </c>
      <c r="Z130" s="55">
        <f t="shared" si="8"/>
        <v>100</v>
      </c>
      <c r="AA130" s="55">
        <v>30</v>
      </c>
      <c r="AB130" s="55">
        <v>30</v>
      </c>
      <c r="AC130" s="56">
        <v>40</v>
      </c>
    </row>
    <row r="131" spans="9:29">
      <c r="I131" s="47">
        <f t="shared" si="7"/>
        <v>1</v>
      </c>
      <c r="J131" s="48" t="s">
        <v>360</v>
      </c>
      <c r="K131" s="48" t="s">
        <v>401</v>
      </c>
      <c r="L131" s="48" t="s">
        <v>406</v>
      </c>
      <c r="M131" s="49"/>
      <c r="N131" s="50" t="s">
        <v>258</v>
      </c>
      <c r="O131" s="51">
        <v>11</v>
      </c>
      <c r="P131" s="52">
        <v>3</v>
      </c>
      <c r="Q131" s="53">
        <v>4</v>
      </c>
      <c r="R131" s="54">
        <v>12</v>
      </c>
      <c r="S131" s="51">
        <v>12</v>
      </c>
      <c r="T131" s="52">
        <v>1</v>
      </c>
      <c r="U131" s="53">
        <v>12</v>
      </c>
      <c r="V131" s="54">
        <v>12</v>
      </c>
      <c r="W131" s="49">
        <v>15</v>
      </c>
      <c r="X131" s="53">
        <v>65</v>
      </c>
      <c r="Y131" s="6">
        <v>20</v>
      </c>
      <c r="Z131" s="55">
        <f t="shared" si="8"/>
        <v>100</v>
      </c>
      <c r="AA131" s="55">
        <v>30</v>
      </c>
      <c r="AB131" s="55">
        <v>30</v>
      </c>
      <c r="AC131" s="56">
        <v>40</v>
      </c>
    </row>
    <row r="132" spans="9:29">
      <c r="I132" s="112">
        <f t="shared" si="7"/>
        <v>1</v>
      </c>
      <c r="J132" s="113" t="s">
        <v>360</v>
      </c>
      <c r="K132" s="113" t="s">
        <v>401</v>
      </c>
      <c r="L132" s="113" t="s">
        <v>407</v>
      </c>
      <c r="M132" s="114"/>
      <c r="N132" s="115" t="s">
        <v>258</v>
      </c>
      <c r="O132" s="116">
        <v>11</v>
      </c>
      <c r="P132" s="117">
        <v>3</v>
      </c>
      <c r="Q132" s="118">
        <v>4</v>
      </c>
      <c r="R132" s="119">
        <v>12</v>
      </c>
      <c r="S132" s="116">
        <v>12</v>
      </c>
      <c r="T132" s="117">
        <v>1</v>
      </c>
      <c r="U132" s="118">
        <v>12</v>
      </c>
      <c r="V132" s="119">
        <v>12</v>
      </c>
      <c r="W132" s="114">
        <v>15</v>
      </c>
      <c r="X132" s="118">
        <v>65</v>
      </c>
      <c r="Y132" s="120">
        <v>20</v>
      </c>
      <c r="Z132" s="121">
        <f t="shared" si="8"/>
        <v>100</v>
      </c>
      <c r="AA132" s="121">
        <v>30</v>
      </c>
      <c r="AB132" s="55">
        <v>30</v>
      </c>
      <c r="AC132" s="56">
        <v>40</v>
      </c>
    </row>
    <row r="133" spans="9:29">
      <c r="I133" s="22">
        <f t="shared" si="7"/>
        <v>1</v>
      </c>
      <c r="J133" s="66" t="s">
        <v>360</v>
      </c>
      <c r="K133" s="66" t="s">
        <v>408</v>
      </c>
      <c r="L133" s="66" t="s">
        <v>409</v>
      </c>
      <c r="M133" s="67"/>
      <c r="N133" s="68" t="s">
        <v>258</v>
      </c>
      <c r="O133" s="69">
        <v>11</v>
      </c>
      <c r="P133" s="70">
        <v>3</v>
      </c>
      <c r="Q133" s="71">
        <v>4</v>
      </c>
      <c r="R133" s="72">
        <v>12</v>
      </c>
      <c r="S133" s="69">
        <v>12</v>
      </c>
      <c r="T133" s="70">
        <v>1</v>
      </c>
      <c r="U133" s="71">
        <v>12</v>
      </c>
      <c r="V133" s="72">
        <v>12</v>
      </c>
      <c r="W133" s="67">
        <v>15</v>
      </c>
      <c r="X133" s="71">
        <v>65</v>
      </c>
      <c r="Y133" s="122">
        <v>20</v>
      </c>
      <c r="Z133" s="75">
        <f t="shared" si="8"/>
        <v>100</v>
      </c>
      <c r="AA133" s="75">
        <v>30</v>
      </c>
      <c r="AB133" s="55">
        <v>30</v>
      </c>
      <c r="AC133" s="56">
        <v>40</v>
      </c>
    </row>
    <row r="134" spans="9:29">
      <c r="I134" s="47">
        <f t="shared" si="7"/>
        <v>1</v>
      </c>
      <c r="J134" s="48" t="s">
        <v>360</v>
      </c>
      <c r="K134" s="48" t="s">
        <v>408</v>
      </c>
      <c r="L134" s="48" t="s">
        <v>410</v>
      </c>
      <c r="M134" s="49"/>
      <c r="N134" s="50" t="s">
        <v>258</v>
      </c>
      <c r="O134" s="51">
        <v>11</v>
      </c>
      <c r="P134" s="52">
        <v>3</v>
      </c>
      <c r="Q134" s="53">
        <v>4</v>
      </c>
      <c r="R134" s="54">
        <v>12</v>
      </c>
      <c r="S134" s="51">
        <v>12</v>
      </c>
      <c r="T134" s="52">
        <v>1</v>
      </c>
      <c r="U134" s="53">
        <v>12</v>
      </c>
      <c r="V134" s="54">
        <v>12</v>
      </c>
      <c r="W134" s="49">
        <v>15</v>
      </c>
      <c r="X134" s="53">
        <v>65</v>
      </c>
      <c r="Y134" s="6">
        <v>20</v>
      </c>
      <c r="Z134" s="55">
        <f t="shared" si="8"/>
        <v>100</v>
      </c>
      <c r="AA134" s="55">
        <v>30</v>
      </c>
      <c r="AB134" s="55">
        <v>30</v>
      </c>
      <c r="AC134" s="56">
        <v>40</v>
      </c>
    </row>
    <row r="135" spans="9:29">
      <c r="I135" s="47">
        <f t="shared" ref="I135:I147" si="9">IF(COUNTIF($N135,"*"&amp;$F$7&amp;"*")&gt;0,1,0)</f>
        <v>1</v>
      </c>
      <c r="J135" s="48" t="s">
        <v>360</v>
      </c>
      <c r="K135" s="48" t="s">
        <v>408</v>
      </c>
      <c r="L135" s="48" t="s">
        <v>411</v>
      </c>
      <c r="M135" s="49"/>
      <c r="N135" s="50" t="s">
        <v>258</v>
      </c>
      <c r="O135" s="51">
        <v>11</v>
      </c>
      <c r="P135" s="52">
        <v>3</v>
      </c>
      <c r="Q135" s="53">
        <v>4</v>
      </c>
      <c r="R135" s="54">
        <v>12</v>
      </c>
      <c r="S135" s="51">
        <v>12</v>
      </c>
      <c r="T135" s="52">
        <v>1</v>
      </c>
      <c r="U135" s="53">
        <v>12</v>
      </c>
      <c r="V135" s="54">
        <v>12</v>
      </c>
      <c r="W135" s="49">
        <v>15</v>
      </c>
      <c r="X135" s="53">
        <v>65</v>
      </c>
      <c r="Y135" s="6">
        <v>20</v>
      </c>
      <c r="Z135" s="55">
        <f t="shared" si="8"/>
        <v>100</v>
      </c>
      <c r="AA135" s="55">
        <v>30</v>
      </c>
      <c r="AB135" s="55">
        <v>30</v>
      </c>
      <c r="AC135" s="56">
        <v>40</v>
      </c>
    </row>
    <row r="136" spans="9:29">
      <c r="I136" s="47">
        <f t="shared" si="9"/>
        <v>1</v>
      </c>
      <c r="J136" s="48" t="s">
        <v>360</v>
      </c>
      <c r="K136" s="48" t="s">
        <v>408</v>
      </c>
      <c r="L136" s="48" t="s">
        <v>412</v>
      </c>
      <c r="M136" s="49"/>
      <c r="N136" s="50" t="s">
        <v>258</v>
      </c>
      <c r="O136" s="51">
        <v>11</v>
      </c>
      <c r="P136" s="52">
        <v>3</v>
      </c>
      <c r="Q136" s="53">
        <v>4</v>
      </c>
      <c r="R136" s="54">
        <v>12</v>
      </c>
      <c r="S136" s="51">
        <v>12</v>
      </c>
      <c r="T136" s="52">
        <v>1</v>
      </c>
      <c r="U136" s="53">
        <v>12</v>
      </c>
      <c r="V136" s="54">
        <v>12</v>
      </c>
      <c r="W136" s="49">
        <v>15</v>
      </c>
      <c r="X136" s="53">
        <v>65</v>
      </c>
      <c r="Y136" s="6">
        <v>20</v>
      </c>
      <c r="Z136" s="55">
        <f t="shared" si="8"/>
        <v>100</v>
      </c>
      <c r="AA136" s="55">
        <v>30</v>
      </c>
      <c r="AB136" s="55">
        <v>30</v>
      </c>
      <c r="AC136" s="56">
        <v>40</v>
      </c>
    </row>
    <row r="137" spans="9:29">
      <c r="I137" s="47">
        <f t="shared" si="9"/>
        <v>0</v>
      </c>
      <c r="J137" s="48" t="s">
        <v>360</v>
      </c>
      <c r="K137" s="48" t="s">
        <v>408</v>
      </c>
      <c r="L137" s="48" t="s">
        <v>413</v>
      </c>
      <c r="M137" s="49"/>
      <c r="N137" s="50" t="s">
        <v>293</v>
      </c>
      <c r="O137" s="51" t="s">
        <v>249</v>
      </c>
      <c r="P137" s="52"/>
      <c r="Q137" s="53"/>
      <c r="R137" s="54"/>
      <c r="S137" s="51">
        <v>12</v>
      </c>
      <c r="T137" s="52">
        <v>1</v>
      </c>
      <c r="U137" s="53">
        <v>12</v>
      </c>
      <c r="V137" s="54">
        <v>12</v>
      </c>
      <c r="W137" s="49">
        <v>15</v>
      </c>
      <c r="X137" s="53">
        <v>65</v>
      </c>
      <c r="Y137" s="6">
        <v>20</v>
      </c>
      <c r="Z137" s="55">
        <f t="shared" si="8"/>
        <v>100</v>
      </c>
      <c r="AA137" s="55">
        <v>30</v>
      </c>
      <c r="AB137" s="55">
        <v>30</v>
      </c>
      <c r="AC137" s="56">
        <v>40</v>
      </c>
    </row>
    <row r="138" spans="9:29">
      <c r="I138" s="112">
        <f t="shared" si="9"/>
        <v>0</v>
      </c>
      <c r="J138" s="113" t="s">
        <v>360</v>
      </c>
      <c r="K138" s="113" t="s">
        <v>408</v>
      </c>
      <c r="L138" s="113" t="s">
        <v>414</v>
      </c>
      <c r="M138" s="114"/>
      <c r="N138" s="115" t="s">
        <v>293</v>
      </c>
      <c r="O138" s="116" t="s">
        <v>249</v>
      </c>
      <c r="P138" s="117"/>
      <c r="Q138" s="118"/>
      <c r="R138" s="119"/>
      <c r="S138" s="116">
        <v>12</v>
      </c>
      <c r="T138" s="117">
        <v>1</v>
      </c>
      <c r="U138" s="118">
        <v>12</v>
      </c>
      <c r="V138" s="119">
        <v>12</v>
      </c>
      <c r="W138" s="114">
        <v>15</v>
      </c>
      <c r="X138" s="118">
        <v>65</v>
      </c>
      <c r="Y138" s="120">
        <v>20</v>
      </c>
      <c r="Z138" s="121">
        <f t="shared" si="8"/>
        <v>100</v>
      </c>
      <c r="AA138" s="121">
        <v>30</v>
      </c>
      <c r="AB138" s="55">
        <v>30</v>
      </c>
      <c r="AC138" s="56">
        <v>40</v>
      </c>
    </row>
    <row r="139" spans="9:29">
      <c r="I139" s="22">
        <f t="shared" si="9"/>
        <v>1</v>
      </c>
      <c r="J139" s="66" t="s">
        <v>360</v>
      </c>
      <c r="K139" s="66" t="s">
        <v>415</v>
      </c>
      <c r="L139" s="66" t="s">
        <v>416</v>
      </c>
      <c r="M139" s="67"/>
      <c r="N139" s="68" t="s">
        <v>258</v>
      </c>
      <c r="O139" s="69">
        <v>11</v>
      </c>
      <c r="P139" s="70">
        <v>3</v>
      </c>
      <c r="Q139" s="71">
        <v>4</v>
      </c>
      <c r="R139" s="72">
        <v>12</v>
      </c>
      <c r="S139" s="69">
        <v>12</v>
      </c>
      <c r="T139" s="70">
        <v>1</v>
      </c>
      <c r="U139" s="71">
        <v>12</v>
      </c>
      <c r="V139" s="72">
        <v>12</v>
      </c>
      <c r="W139" s="67">
        <v>15</v>
      </c>
      <c r="X139" s="71">
        <v>65</v>
      </c>
      <c r="Y139" s="122">
        <v>20</v>
      </c>
      <c r="Z139" s="75">
        <f t="shared" si="8"/>
        <v>100</v>
      </c>
      <c r="AA139" s="75">
        <v>30</v>
      </c>
      <c r="AB139" s="55">
        <v>30</v>
      </c>
      <c r="AC139" s="56">
        <v>40</v>
      </c>
    </row>
    <row r="140" spans="9:29">
      <c r="I140" s="47">
        <f t="shared" si="9"/>
        <v>1</v>
      </c>
      <c r="J140" s="48" t="s">
        <v>360</v>
      </c>
      <c r="K140" s="48" t="s">
        <v>415</v>
      </c>
      <c r="L140" s="48" t="s">
        <v>417</v>
      </c>
      <c r="M140" s="49"/>
      <c r="N140" s="50" t="s">
        <v>258</v>
      </c>
      <c r="O140" s="51">
        <v>11</v>
      </c>
      <c r="P140" s="52">
        <v>3</v>
      </c>
      <c r="Q140" s="53">
        <v>4</v>
      </c>
      <c r="R140" s="54">
        <v>12</v>
      </c>
      <c r="S140" s="51">
        <v>12</v>
      </c>
      <c r="T140" s="52">
        <v>1</v>
      </c>
      <c r="U140" s="53">
        <v>12</v>
      </c>
      <c r="V140" s="54">
        <v>12</v>
      </c>
      <c r="W140" s="49">
        <v>15</v>
      </c>
      <c r="X140" s="53">
        <v>65</v>
      </c>
      <c r="Y140" s="6">
        <v>20</v>
      </c>
      <c r="Z140" s="55">
        <f t="shared" si="8"/>
        <v>100</v>
      </c>
      <c r="AA140" s="55">
        <v>30</v>
      </c>
      <c r="AB140" s="55">
        <v>30</v>
      </c>
      <c r="AC140" s="56">
        <v>40</v>
      </c>
    </row>
    <row r="141" spans="9:29">
      <c r="I141" s="112">
        <f t="shared" si="9"/>
        <v>1</v>
      </c>
      <c r="J141" s="113" t="s">
        <v>360</v>
      </c>
      <c r="K141" s="113" t="s">
        <v>415</v>
      </c>
      <c r="L141" s="113" t="s">
        <v>418</v>
      </c>
      <c r="M141" s="114"/>
      <c r="N141" s="115" t="s">
        <v>258</v>
      </c>
      <c r="O141" s="116">
        <v>11</v>
      </c>
      <c r="P141" s="117">
        <v>3</v>
      </c>
      <c r="Q141" s="118">
        <v>4</v>
      </c>
      <c r="R141" s="119">
        <v>12</v>
      </c>
      <c r="S141" s="116">
        <v>12</v>
      </c>
      <c r="T141" s="117">
        <v>1</v>
      </c>
      <c r="U141" s="118">
        <v>12</v>
      </c>
      <c r="V141" s="119">
        <v>12</v>
      </c>
      <c r="W141" s="114">
        <v>15</v>
      </c>
      <c r="X141" s="118">
        <v>65</v>
      </c>
      <c r="Y141" s="120">
        <v>20</v>
      </c>
      <c r="Z141" s="121">
        <f t="shared" si="8"/>
        <v>100</v>
      </c>
      <c r="AA141" s="121">
        <v>30</v>
      </c>
      <c r="AB141" s="55">
        <v>30</v>
      </c>
      <c r="AC141" s="56">
        <v>40</v>
      </c>
    </row>
    <row r="142" spans="9:29">
      <c r="I142" s="22">
        <f t="shared" si="9"/>
        <v>0</v>
      </c>
      <c r="J142" s="66" t="s">
        <v>360</v>
      </c>
      <c r="K142" s="66" t="s">
        <v>419</v>
      </c>
      <c r="L142" s="66" t="s">
        <v>420</v>
      </c>
      <c r="M142" s="67">
        <v>320</v>
      </c>
      <c r="N142" s="68" t="s">
        <v>293</v>
      </c>
      <c r="O142" s="69" t="s">
        <v>249</v>
      </c>
      <c r="P142" s="70"/>
      <c r="Q142" s="71"/>
      <c r="R142" s="72"/>
      <c r="S142" s="69">
        <v>12</v>
      </c>
      <c r="T142" s="70">
        <v>1</v>
      </c>
      <c r="U142" s="71">
        <v>12</v>
      </c>
      <c r="V142" s="72">
        <v>12</v>
      </c>
      <c r="W142" s="67">
        <v>20</v>
      </c>
      <c r="X142" s="71">
        <v>80</v>
      </c>
      <c r="Y142" s="122"/>
      <c r="Z142" s="75">
        <f t="shared" si="8"/>
        <v>100</v>
      </c>
      <c r="AA142" s="75"/>
      <c r="AB142" s="55"/>
      <c r="AC142" s="56"/>
    </row>
    <row r="143" spans="9:29">
      <c r="I143" s="47">
        <f t="shared" si="9"/>
        <v>0</v>
      </c>
      <c r="J143" s="48" t="s">
        <v>360</v>
      </c>
      <c r="K143" s="48" t="s">
        <v>419</v>
      </c>
      <c r="L143" s="48" t="s">
        <v>421</v>
      </c>
      <c r="M143" s="49">
        <v>540</v>
      </c>
      <c r="N143" s="50" t="s">
        <v>293</v>
      </c>
      <c r="O143" s="51"/>
      <c r="P143" s="52"/>
      <c r="Q143" s="53"/>
      <c r="R143" s="54"/>
      <c r="S143" s="51">
        <v>12</v>
      </c>
      <c r="T143" s="52">
        <v>1</v>
      </c>
      <c r="U143" s="53">
        <v>21</v>
      </c>
      <c r="V143" s="54">
        <v>21</v>
      </c>
      <c r="W143" s="49">
        <v>20</v>
      </c>
      <c r="X143" s="53">
        <v>80</v>
      </c>
      <c r="Z143" s="55">
        <f t="shared" ref="Z143:Z147" si="10">SUM(W143:Y143)</f>
        <v>100</v>
      </c>
      <c r="AA143" s="55"/>
      <c r="AB143" s="55"/>
      <c r="AC143" s="56"/>
    </row>
    <row r="144" spans="9:29">
      <c r="I144" s="47">
        <f t="shared" si="9"/>
        <v>0</v>
      </c>
      <c r="J144" s="48" t="s">
        <v>360</v>
      </c>
      <c r="K144" s="48" t="s">
        <v>419</v>
      </c>
      <c r="L144" s="48" t="s">
        <v>422</v>
      </c>
      <c r="M144" s="49">
        <v>640</v>
      </c>
      <c r="N144" s="50" t="s">
        <v>293</v>
      </c>
      <c r="O144" s="51"/>
      <c r="P144" s="52"/>
      <c r="Q144" s="53"/>
      <c r="R144" s="54"/>
      <c r="S144" s="51">
        <v>12</v>
      </c>
      <c r="T144" s="52">
        <v>1</v>
      </c>
      <c r="U144" s="53">
        <v>24</v>
      </c>
      <c r="V144" s="54">
        <v>24</v>
      </c>
      <c r="W144" s="49">
        <v>20</v>
      </c>
      <c r="X144" s="53">
        <v>80</v>
      </c>
      <c r="Z144" s="55">
        <f t="shared" si="10"/>
        <v>100</v>
      </c>
      <c r="AA144" s="55"/>
      <c r="AB144" s="55"/>
      <c r="AC144" s="56"/>
    </row>
    <row r="145" spans="9:29">
      <c r="I145" s="47">
        <f t="shared" si="9"/>
        <v>0</v>
      </c>
      <c r="J145" s="48" t="s">
        <v>360</v>
      </c>
      <c r="K145" s="48" t="s">
        <v>419</v>
      </c>
      <c r="L145" s="48" t="s">
        <v>423</v>
      </c>
      <c r="M145" s="49">
        <v>540</v>
      </c>
      <c r="N145" s="50" t="s">
        <v>293</v>
      </c>
      <c r="O145" s="51"/>
      <c r="P145" s="52"/>
      <c r="Q145" s="53"/>
      <c r="R145" s="54"/>
      <c r="S145" s="51">
        <v>12</v>
      </c>
      <c r="T145" s="52">
        <v>2</v>
      </c>
      <c r="U145" s="53">
        <v>10.5</v>
      </c>
      <c r="V145" s="54">
        <v>21</v>
      </c>
      <c r="W145" s="49">
        <v>20</v>
      </c>
      <c r="X145" s="53">
        <v>80</v>
      </c>
      <c r="Z145" s="55">
        <f t="shared" si="10"/>
        <v>100</v>
      </c>
      <c r="AA145" s="55"/>
      <c r="AB145" s="55"/>
      <c r="AC145" s="56"/>
    </row>
    <row r="146" spans="9:29">
      <c r="I146" s="112">
        <f t="shared" si="9"/>
        <v>0</v>
      </c>
      <c r="J146" s="113" t="s">
        <v>360</v>
      </c>
      <c r="K146" s="113" t="s">
        <v>419</v>
      </c>
      <c r="L146" s="113" t="s">
        <v>424</v>
      </c>
      <c r="M146" s="114">
        <v>640</v>
      </c>
      <c r="N146" s="115" t="s">
        <v>293</v>
      </c>
      <c r="O146" s="116"/>
      <c r="P146" s="117"/>
      <c r="Q146" s="118"/>
      <c r="R146" s="119"/>
      <c r="S146" s="116">
        <v>12</v>
      </c>
      <c r="T146" s="117">
        <v>2</v>
      </c>
      <c r="U146" s="118">
        <v>12</v>
      </c>
      <c r="V146" s="119">
        <v>24</v>
      </c>
      <c r="W146" s="114">
        <v>20</v>
      </c>
      <c r="X146" s="118">
        <v>80</v>
      </c>
      <c r="Y146" s="120"/>
      <c r="Z146" s="121">
        <f t="shared" si="10"/>
        <v>100</v>
      </c>
      <c r="AA146" s="121"/>
      <c r="AB146" s="121"/>
      <c r="AC146" s="153"/>
    </row>
    <row r="147" spans="9:29">
      <c r="I147" s="140">
        <f t="shared" si="9"/>
        <v>1</v>
      </c>
      <c r="J147" s="141" t="s">
        <v>360</v>
      </c>
      <c r="K147" s="141" t="s">
        <v>157</v>
      </c>
      <c r="L147" s="142" t="str">
        <f>IF(G21=2,G10,"")</f>
        <v/>
      </c>
      <c r="M147" s="143"/>
      <c r="N147" s="144" t="s">
        <v>258</v>
      </c>
      <c r="O147" s="145">
        <v>11</v>
      </c>
      <c r="P147" s="146" t="str">
        <f>IF($G$21=2,'INPUT DATA'!$F$51,"")</f>
        <v/>
      </c>
      <c r="Q147" s="146" t="str">
        <f>IF($G$21=2,'INPUT DATA'!$F$52,"")</f>
        <v/>
      </c>
      <c r="R147" s="147" t="str">
        <f>IF($G$21=2,'INPUT DATA'!$F$53,"")</f>
        <v/>
      </c>
      <c r="S147" s="145">
        <v>12</v>
      </c>
      <c r="T147" s="146" t="str">
        <f>IF($G$21=2,'INPUT DATA'!$F$51,"")</f>
        <v/>
      </c>
      <c r="U147" s="146" t="str">
        <f>IF($G$21=2,'INPUT DATA'!$F$52,"")</f>
        <v/>
      </c>
      <c r="V147" s="147" t="str">
        <f>IF($G$21=2,'INPUT DATA'!$F$53,"")</f>
        <v/>
      </c>
      <c r="W147" s="148" t="e">
        <f>IF($G$21=2,'INPUT DATA'!$F$43,"")*100</f>
        <v>#VALUE!</v>
      </c>
      <c r="X147" s="149" t="e">
        <f>IF($G$21=2,'INPUT DATA'!$F$44,"")*100</f>
        <v>#VALUE!</v>
      </c>
      <c r="Y147" s="149" t="e">
        <f>IF($G$21=2,'INPUT DATA'!$F$45,"")*100</f>
        <v>#VALUE!</v>
      </c>
      <c r="Z147" s="150" t="e">
        <f t="shared" si="10"/>
        <v>#VALUE!</v>
      </c>
      <c r="AA147" s="151" t="e">
        <f>IF($G$21=2,'INPUT DATA'!$F$46,"")*100</f>
        <v>#VALUE!</v>
      </c>
      <c r="AB147" s="151" t="e">
        <f>IF($G$21=2,'INPUT DATA'!$F$47,"")*100</f>
        <v>#VALUE!</v>
      </c>
      <c r="AC147" s="154" t="e">
        <f>IF($G$21=2,'INPUT DATA'!$F$48,"")*100</f>
        <v>#VALUE!</v>
      </c>
    </row>
    <row r="148" spans="9:29">
      <c r="I148" s="155"/>
      <c r="J148" s="156"/>
      <c r="K148" s="156"/>
      <c r="L148" s="157"/>
      <c r="M148" s="158"/>
      <c r="N148" s="159"/>
      <c r="O148" s="160"/>
      <c r="P148" s="161"/>
      <c r="Q148" s="161"/>
      <c r="R148" s="162"/>
      <c r="S148" s="160"/>
      <c r="T148" s="161"/>
      <c r="U148" s="161"/>
      <c r="V148" s="162"/>
      <c r="W148" s="163"/>
      <c r="X148" s="164"/>
      <c r="Y148" s="164"/>
      <c r="Z148" s="165"/>
      <c r="AA148" s="166"/>
      <c r="AB148" s="166"/>
      <c r="AC148" s="167"/>
    </row>
    <row r="149" spans="9:29">
      <c r="I149" s="155"/>
      <c r="J149" s="156"/>
      <c r="K149" s="156"/>
      <c r="L149" s="157"/>
      <c r="M149" s="158"/>
      <c r="N149" s="159"/>
      <c r="O149" s="160"/>
      <c r="P149" s="161"/>
      <c r="Q149" s="161"/>
      <c r="R149" s="162"/>
      <c r="S149" s="160"/>
      <c r="T149" s="161"/>
      <c r="U149" s="161"/>
      <c r="V149" s="162"/>
      <c r="W149" s="163"/>
      <c r="X149" s="164"/>
      <c r="Y149" s="164"/>
      <c r="Z149" s="165"/>
      <c r="AA149" s="166"/>
      <c r="AB149" s="166"/>
      <c r="AC149" s="167"/>
    </row>
    <row r="150" spans="9:29">
      <c r="I150" s="155"/>
      <c r="J150" s="156"/>
      <c r="K150" s="156"/>
      <c r="L150" s="157"/>
      <c r="M150" s="158"/>
      <c r="N150" s="159"/>
      <c r="O150" s="160"/>
      <c r="P150" s="161"/>
      <c r="Q150" s="161"/>
      <c r="R150" s="162"/>
      <c r="S150" s="160"/>
      <c r="T150" s="161"/>
      <c r="U150" s="161"/>
      <c r="V150" s="162"/>
      <c r="W150" s="163"/>
      <c r="X150" s="164"/>
      <c r="Y150" s="164"/>
      <c r="Z150" s="165"/>
      <c r="AA150" s="166"/>
      <c r="AB150" s="166"/>
      <c r="AC150" s="167"/>
    </row>
    <row r="151" spans="9:29">
      <c r="I151" s="155"/>
      <c r="J151" s="156"/>
      <c r="K151" s="156"/>
      <c r="L151" s="157"/>
      <c r="M151" s="158"/>
      <c r="N151" s="159"/>
      <c r="O151" s="160"/>
      <c r="P151" s="161"/>
      <c r="Q151" s="161"/>
      <c r="R151" s="162"/>
      <c r="S151" s="160"/>
      <c r="T151" s="161"/>
      <c r="U151" s="161"/>
      <c r="V151" s="162"/>
      <c r="W151" s="163"/>
      <c r="X151" s="164"/>
      <c r="Y151" s="164"/>
      <c r="Z151" s="165"/>
      <c r="AA151" s="166"/>
      <c r="AB151" s="166"/>
      <c r="AC151" s="167"/>
    </row>
    <row r="152" spans="9:29">
      <c r="I152" s="155"/>
      <c r="J152" s="156"/>
      <c r="K152" s="156"/>
      <c r="L152" s="157"/>
      <c r="M152" s="158"/>
      <c r="N152" s="159"/>
      <c r="O152" s="160"/>
      <c r="P152" s="161"/>
      <c r="Q152" s="161"/>
      <c r="R152" s="162"/>
      <c r="S152" s="160"/>
      <c r="T152" s="161"/>
      <c r="U152" s="161"/>
      <c r="V152" s="162"/>
      <c r="W152" s="163"/>
      <c r="X152" s="164"/>
      <c r="Y152" s="164"/>
      <c r="Z152" s="168"/>
      <c r="AA152" s="169"/>
      <c r="AB152" s="169"/>
      <c r="AC152" s="170"/>
    </row>
    <row r="153" spans="9:29">
      <c r="I153" s="155"/>
      <c r="J153" s="156"/>
      <c r="K153" s="156"/>
      <c r="L153" s="157"/>
      <c r="M153" s="158"/>
      <c r="N153" s="159"/>
      <c r="O153" s="160"/>
      <c r="P153" s="161"/>
      <c r="Q153" s="161"/>
      <c r="R153" s="162"/>
      <c r="S153" s="160"/>
      <c r="T153" s="161"/>
      <c r="U153" s="161"/>
      <c r="V153" s="162"/>
      <c r="W153" s="163"/>
      <c r="X153" s="164"/>
      <c r="Y153" s="164"/>
      <c r="Z153" s="168"/>
      <c r="AA153" s="169"/>
      <c r="AB153" s="169"/>
      <c r="AC153" s="170"/>
    </row>
    <row r="154" spans="9:29">
      <c r="I154" s="155"/>
      <c r="J154" s="156"/>
      <c r="K154" s="156"/>
      <c r="L154" s="157"/>
      <c r="M154" s="158"/>
      <c r="N154" s="159"/>
      <c r="O154" s="160"/>
      <c r="P154" s="161"/>
      <c r="Q154" s="161"/>
      <c r="R154" s="162"/>
      <c r="S154" s="160"/>
      <c r="T154" s="161"/>
      <c r="U154" s="161"/>
      <c r="V154" s="162"/>
      <c r="W154" s="163"/>
      <c r="X154" s="164"/>
      <c r="Y154" s="164"/>
      <c r="Z154" s="168"/>
      <c r="AA154" s="169"/>
      <c r="AB154" s="169"/>
      <c r="AC154" s="170"/>
    </row>
    <row r="155" spans="9:29">
      <c r="I155" s="155"/>
      <c r="J155" s="156"/>
      <c r="K155" s="156"/>
      <c r="L155" s="157"/>
      <c r="M155" s="158"/>
      <c r="N155" s="159"/>
      <c r="O155" s="160"/>
      <c r="P155" s="161"/>
      <c r="Q155" s="161"/>
      <c r="R155" s="162"/>
      <c r="S155" s="160"/>
      <c r="T155" s="161"/>
      <c r="U155" s="161"/>
      <c r="V155" s="162"/>
      <c r="W155" s="163"/>
      <c r="X155" s="164"/>
      <c r="Y155" s="164"/>
      <c r="Z155" s="168"/>
      <c r="AA155" s="169"/>
      <c r="AB155" s="169"/>
      <c r="AC155" s="170"/>
    </row>
    <row r="156" spans="9:29">
      <c r="I156" s="171"/>
      <c r="J156" s="171"/>
      <c r="K156" s="171"/>
      <c r="L156" s="171"/>
      <c r="M156" s="171"/>
      <c r="N156" s="171"/>
      <c r="O156" s="171"/>
      <c r="P156" s="171"/>
      <c r="Q156" s="171"/>
      <c r="R156" s="171"/>
      <c r="S156" s="171"/>
      <c r="T156" s="171"/>
      <c r="U156" s="171"/>
      <c r="V156" s="171"/>
      <c r="W156" s="171"/>
      <c r="X156" s="171"/>
      <c r="Y156" s="171"/>
      <c r="Z156" s="171"/>
      <c r="AA156" s="171"/>
      <c r="AB156" s="171"/>
      <c r="AC156" s="171"/>
    </row>
    <row r="157" spans="9:29">
      <c r="I157" s="171"/>
      <c r="J157" s="171"/>
      <c r="K157" s="171"/>
      <c r="L157" s="171"/>
      <c r="M157" s="171"/>
      <c r="N157" s="171"/>
      <c r="O157" s="171"/>
      <c r="P157" s="171"/>
      <c r="Q157" s="171"/>
      <c r="R157" s="171"/>
      <c r="S157" s="171"/>
      <c r="T157" s="171"/>
      <c r="U157" s="171"/>
      <c r="V157" s="171"/>
      <c r="W157" s="171"/>
      <c r="X157" s="171"/>
      <c r="Y157" s="171"/>
      <c r="Z157" s="171"/>
      <c r="AA157" s="171"/>
      <c r="AB157" s="171"/>
      <c r="AC157" s="171"/>
    </row>
    <row r="158" spans="9:29">
      <c r="I158" s="171"/>
      <c r="J158" s="171"/>
      <c r="K158" s="171"/>
      <c r="L158" s="171"/>
      <c r="M158" s="171"/>
      <c r="N158" s="171"/>
      <c r="O158" s="171"/>
      <c r="P158" s="171"/>
      <c r="Q158" s="171"/>
      <c r="R158" s="171"/>
      <c r="S158" s="171"/>
      <c r="T158" s="171"/>
      <c r="U158" s="171"/>
      <c r="V158" s="171"/>
      <c r="W158" s="171"/>
      <c r="X158" s="171"/>
      <c r="Y158" s="171"/>
      <c r="Z158" s="171"/>
      <c r="AA158" s="171"/>
      <c r="AB158" s="171"/>
      <c r="AC158" s="171"/>
    </row>
    <row r="159" spans="9:29">
      <c r="I159" s="171"/>
      <c r="J159" s="171"/>
      <c r="K159" s="171"/>
      <c r="L159" s="171"/>
      <c r="M159" s="171"/>
      <c r="N159" s="171"/>
      <c r="O159" s="171"/>
      <c r="P159" s="171"/>
      <c r="Q159" s="171"/>
      <c r="R159" s="171"/>
      <c r="S159" s="171"/>
      <c r="T159" s="171"/>
      <c r="U159" s="171"/>
      <c r="V159" s="171"/>
      <c r="W159" s="171"/>
      <c r="X159" s="171"/>
      <c r="Y159" s="171"/>
      <c r="Z159" s="171"/>
      <c r="AA159" s="171"/>
      <c r="AB159" s="171"/>
      <c r="AC159" s="171"/>
    </row>
    <row r="160" spans="9:29">
      <c r="I160" s="171"/>
      <c r="J160" s="171"/>
      <c r="K160" s="171"/>
      <c r="L160" s="171"/>
      <c r="M160" s="171"/>
      <c r="N160" s="171"/>
      <c r="O160" s="171"/>
      <c r="P160" s="171"/>
      <c r="Q160" s="171"/>
      <c r="R160" s="171"/>
      <c r="S160" s="171"/>
      <c r="T160" s="171"/>
      <c r="U160" s="171"/>
      <c r="V160" s="171"/>
      <c r="W160" s="171"/>
      <c r="X160" s="171"/>
      <c r="Y160" s="171"/>
      <c r="Z160" s="171"/>
      <c r="AA160" s="171"/>
      <c r="AB160" s="171"/>
      <c r="AC160" s="171"/>
    </row>
    <row r="161" spans="9:1024 1025:16383">
      <c r="I161" s="171"/>
      <c r="J161" s="171"/>
      <c r="K161" s="171"/>
      <c r="L161" s="171"/>
      <c r="M161" s="171"/>
      <c r="N161" s="171"/>
      <c r="O161" s="171"/>
      <c r="P161" s="171"/>
      <c r="Q161" s="171"/>
      <c r="R161" s="171"/>
      <c r="S161" s="171"/>
      <c r="T161" s="171"/>
      <c r="U161" s="171"/>
      <c r="V161" s="171"/>
      <c r="W161" s="171"/>
      <c r="X161" s="171"/>
      <c r="Y161" s="171"/>
      <c r="Z161" s="171"/>
      <c r="AA161" s="171"/>
      <c r="AB161" s="171"/>
      <c r="AC161" s="171"/>
    </row>
    <row r="162" spans="9:1024 1025: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024 1025: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IFl2NpdJYdkVmM8Xs88VNrwvwKtNsijxkZOwMdO3aGbOtARqL3laclyZtq/tT832UM3y1/Y6FkAiPkhCm6yJQw==" saltValue="APohBbuuMBwuxyDZfXcWDQ==" spinCount="100000" sheet="1" selectLockedCells="1" selectUnlockedCells="1"/>
  <autoFilter xmlns:etc="http://www.wps.cn/officeDocument/2017/etCustomData" ref="J6:Z163" etc:filterBottomFollowUsedRange="0">
    <sortState ref="J6:Z163">
      <sortCondition ref="J6:J163"/>
    </sortState>
    <extLst/>
  </autoFilter>
  <mergeCells count="1">
    <mergeCell ref="AG5:AH5"/>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33" master="" otherUserPermission="visible"/>
  <rangeList sheetStid="26" master="" otherUserPermission="visible"/>
  <rangeList sheetStid="30" master="" otherUserPermission="visible"/>
  <rangeList sheetStid="34" master="" otherUserPermission="visible"/>
  <rangeList sheetStid="35" master="" otherUserPermission="visible"/>
  <rangeList sheetStid="29" master="" otherUserPermission="visible"/>
  <rangeList sheetStid="3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2003EF-95FF-4FE3-817C-85BC98C4FD8E}">
  <ds:schemaRefs/>
</ds:datastoreItem>
</file>

<file path=customXml/itemProps3.xml><?xml version="1.0" encoding="utf-8"?>
<ds:datastoreItem xmlns:ds="http://schemas.openxmlformats.org/officeDocument/2006/customXml" ds:itemID="{AAAB09D3-F6C9-4EEC-BBC6-95D374D1F11F}">
  <ds:schemaRefs/>
</ds:datastoreItem>
</file>

<file path=customXml/itemProps4.xml><?xml version="1.0" encoding="utf-8"?>
<ds:datastoreItem xmlns:ds="http://schemas.openxmlformats.org/officeDocument/2006/customXml" ds:itemID="{CBD57AB5-3FEB-4902-B975-83CA9FF1FC0B}">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INSTRUCTIONS</vt: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Lj Calica</cp:lastModifiedBy>
  <dcterms:created xsi:type="dcterms:W3CDTF">2015-06-02T20:29:00Z</dcterms:created>
  <cp:lastPrinted>2026-09-03T06:15:00Z</cp:lastPrinted>
  <dcterms:modified xsi:type="dcterms:W3CDTF">2026-09-28T09:26:13Z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y fmtid="{D5CDD505-2E9C-101B-9397-08002B2CF9AE}" pid="3" name="ICV">
    <vt:lpwstr>BA877D241F8140E289124405598FA995_13</vt:lpwstr>
  </property>
  <property fmtid="{D5CDD505-2E9C-101B-9397-08002B2CF9AE}" pid="4" name="KSOProductBuildVer">
    <vt:lpwstr>1033-12.1.0.28485</vt:lpwstr>
  </property>
  <property fmtid="{D5CDD505-2E9C-101B-9397-08002B2CF9AE}" pid="5" name="CalculationRule">
    <vt:i4>0</vt:i4>
  </property>
</Properties>
</file>