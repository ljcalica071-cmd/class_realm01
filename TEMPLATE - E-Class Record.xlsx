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Admin\Desktop\SY26-27\GENERAL MATHEMATICS\Class Record\EDITED Class Record V2\"/>
    </mc:Choice>
  </mc:AlternateContent>
  <xr:revisionPtr revIDLastSave="0" documentId="13_ncr:1_{5411C19B-F69E-414C-A240-5A39B6890451}" xr6:coauthVersionLast="47" xr6:coauthVersionMax="47" xr10:uidLastSave="{00000000-0000-0000-0000-000000000000}"/>
  <bookViews>
    <workbookView xWindow="-110" yWindow="-110" windowWidth="19420" windowHeight="11500" activeTab="4" xr2:uid="{00000000-000D-0000-FFFF-FFFF00000000}"/>
  </bookViews>
  <sheets>
    <sheet name="INSTRUCTIONS" sheetId="33" r:id="rId1"/>
    <sheet name="INPUT DATA" sheetId="26" r:id="rId2"/>
    <sheet name="Term 1" sheetId="30" r:id="rId3"/>
    <sheet name="Term 2" sheetId="34" r:id="rId4"/>
    <sheet name="Term 3" sheetId="35" r:id="rId5"/>
    <sheet name="FINAL GRADES" sheetId="29" r:id="rId6"/>
    <sheet name="HELPER" sheetId="31" state="hidden" r:id="rId7"/>
  </sheets>
  <externalReferences>
    <externalReference r:id="rId8"/>
  </externalReferences>
  <definedNames>
    <definedName name="_xlnm._FilterDatabase" localSheetId="5" hidden="1">'FINAL GRADES'!$C$16:$C$117</definedName>
    <definedName name="_xlnm._FilterDatabase" localSheetId="6" hidden="1">HELPER!$J$6:$Z$163</definedName>
    <definedName name="_xlnm._FilterDatabase" localSheetId="2" hidden="1">'Term 1'!$C$15:$C$118</definedName>
    <definedName name="_xlnm._FilterDatabase" localSheetId="3" hidden="1">'Term 2'!$C$15:$C$118</definedName>
    <definedName name="_xlnm._FilterDatabase" localSheetId="4" hidden="1">'Term 3'!$C$15:$C$118</definedName>
    <definedName name="PERFORMANCETASKS">#REF!</definedName>
    <definedName name="_xlnm.Print_Area" localSheetId="5">'FINAL GRADES'!$A$1:$K$125</definedName>
    <definedName name="_xlnm.Print_Area" localSheetId="2">'Term 1'!$A$1:$AN$119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117" i="35" l="1"/>
  <c r="AH117" i="35"/>
  <c r="AG117" i="35"/>
  <c r="AA117" i="35"/>
  <c r="AB117" i="35" s="1"/>
  <c r="AC117" i="35" s="1"/>
  <c r="N117" i="35"/>
  <c r="O117" i="35" s="1"/>
  <c r="P117" i="35" s="1"/>
  <c r="AI116" i="35"/>
  <c r="AH116" i="35"/>
  <c r="AG116" i="35"/>
  <c r="AA116" i="35"/>
  <c r="AB116" i="35" s="1"/>
  <c r="AC116" i="35" s="1"/>
  <c r="N116" i="35"/>
  <c r="O116" i="35" s="1"/>
  <c r="P116" i="35" s="1"/>
  <c r="AI115" i="35"/>
  <c r="AH115" i="35"/>
  <c r="AG115" i="35"/>
  <c r="AA115" i="35"/>
  <c r="AB115" i="35" s="1"/>
  <c r="AC115" i="35" s="1"/>
  <c r="N115" i="35"/>
  <c r="O115" i="35" s="1"/>
  <c r="P115" i="35" s="1"/>
  <c r="AI114" i="35"/>
  <c r="AH114" i="35"/>
  <c r="AG114" i="35"/>
  <c r="AA114" i="35"/>
  <c r="AB114" i="35" s="1"/>
  <c r="AC114" i="35" s="1"/>
  <c r="N114" i="35"/>
  <c r="O114" i="35" s="1"/>
  <c r="P114" i="35" s="1"/>
  <c r="AI113" i="35"/>
  <c r="AH113" i="35"/>
  <c r="AG113" i="35"/>
  <c r="AA113" i="35"/>
  <c r="AB113" i="35" s="1"/>
  <c r="AC113" i="35" s="1"/>
  <c r="N113" i="35"/>
  <c r="O113" i="35" s="1"/>
  <c r="P113" i="35" s="1"/>
  <c r="AI112" i="35"/>
  <c r="AH112" i="35"/>
  <c r="AG112" i="35"/>
  <c r="AA112" i="35"/>
  <c r="AB112" i="35" s="1"/>
  <c r="AC112" i="35" s="1"/>
  <c r="N112" i="35"/>
  <c r="O112" i="35" s="1"/>
  <c r="P112" i="35" s="1"/>
  <c r="AI111" i="35"/>
  <c r="AH111" i="35"/>
  <c r="AG111" i="35"/>
  <c r="AA111" i="35"/>
  <c r="AB111" i="35" s="1"/>
  <c r="AC111" i="35" s="1"/>
  <c r="N111" i="35"/>
  <c r="O111" i="35" s="1"/>
  <c r="P111" i="35" s="1"/>
  <c r="AI110" i="35"/>
  <c r="AH110" i="35"/>
  <c r="AG110" i="35"/>
  <c r="AA110" i="35"/>
  <c r="AB110" i="35" s="1"/>
  <c r="AC110" i="35" s="1"/>
  <c r="O110" i="35"/>
  <c r="P110" i="35" s="1"/>
  <c r="N110" i="35"/>
  <c r="AI109" i="35"/>
  <c r="AH109" i="35"/>
  <c r="AG109" i="35"/>
  <c r="AA109" i="35"/>
  <c r="AB109" i="35" s="1"/>
  <c r="AC109" i="35" s="1"/>
  <c r="N109" i="35"/>
  <c r="O109" i="35" s="1"/>
  <c r="P109" i="35" s="1"/>
  <c r="AI108" i="35"/>
  <c r="AH108" i="35"/>
  <c r="AG108" i="35"/>
  <c r="AA108" i="35"/>
  <c r="AB108" i="35" s="1"/>
  <c r="AC108" i="35" s="1"/>
  <c r="N108" i="35"/>
  <c r="O108" i="35" s="1"/>
  <c r="P108" i="35" s="1"/>
  <c r="AI107" i="35"/>
  <c r="AH107" i="35"/>
  <c r="AG107" i="35"/>
  <c r="AA107" i="35"/>
  <c r="AB107" i="35" s="1"/>
  <c r="AC107" i="35" s="1"/>
  <c r="N107" i="35"/>
  <c r="O107" i="35" s="1"/>
  <c r="P107" i="35" s="1"/>
  <c r="AI106" i="35"/>
  <c r="AH106" i="35"/>
  <c r="AG106" i="35"/>
  <c r="AA106" i="35"/>
  <c r="AB106" i="35" s="1"/>
  <c r="AC106" i="35" s="1"/>
  <c r="N106" i="35"/>
  <c r="O106" i="35" s="1"/>
  <c r="P106" i="35" s="1"/>
  <c r="AI105" i="35"/>
  <c r="AH105" i="35"/>
  <c r="AG105" i="35"/>
  <c r="AA105" i="35"/>
  <c r="AB105" i="35" s="1"/>
  <c r="AC105" i="35" s="1"/>
  <c r="N105" i="35"/>
  <c r="O105" i="35" s="1"/>
  <c r="P105" i="35" s="1"/>
  <c r="AI104" i="35"/>
  <c r="AH104" i="35"/>
  <c r="AG104" i="35"/>
  <c r="AA104" i="35"/>
  <c r="AB104" i="35" s="1"/>
  <c r="AC104" i="35" s="1"/>
  <c r="O104" i="35"/>
  <c r="P104" i="35" s="1"/>
  <c r="N104" i="35"/>
  <c r="AI103" i="35"/>
  <c r="AH103" i="35"/>
  <c r="AG103" i="35"/>
  <c r="AA103" i="35"/>
  <c r="AB103" i="35" s="1"/>
  <c r="AC103" i="35" s="1"/>
  <c r="N103" i="35"/>
  <c r="O103" i="35" s="1"/>
  <c r="P103" i="35" s="1"/>
  <c r="AI102" i="35"/>
  <c r="AH102" i="35"/>
  <c r="AG102" i="35"/>
  <c r="AA102" i="35"/>
  <c r="AB102" i="35" s="1"/>
  <c r="AC102" i="35" s="1"/>
  <c r="O102" i="35"/>
  <c r="P102" i="35" s="1"/>
  <c r="N102" i="35"/>
  <c r="AI101" i="35"/>
  <c r="AH101" i="35"/>
  <c r="AG101" i="35"/>
  <c r="AA101" i="35"/>
  <c r="AB101" i="35" s="1"/>
  <c r="AC101" i="35" s="1"/>
  <c r="N101" i="35"/>
  <c r="O101" i="35" s="1"/>
  <c r="P101" i="35" s="1"/>
  <c r="AI100" i="35"/>
  <c r="AH100" i="35"/>
  <c r="AG100" i="35"/>
  <c r="AA100" i="35"/>
  <c r="AB100" i="35" s="1"/>
  <c r="AC100" i="35" s="1"/>
  <c r="N100" i="35"/>
  <c r="O100" i="35" s="1"/>
  <c r="P100" i="35" s="1"/>
  <c r="AI99" i="35"/>
  <c r="AH99" i="35"/>
  <c r="AG99" i="35"/>
  <c r="AA99" i="35"/>
  <c r="AB99" i="35" s="1"/>
  <c r="AC99" i="35" s="1"/>
  <c r="O99" i="35"/>
  <c r="P99" i="35" s="1"/>
  <c r="N99" i="35"/>
  <c r="AI98" i="35"/>
  <c r="AH98" i="35"/>
  <c r="AG98" i="35"/>
  <c r="AA98" i="35"/>
  <c r="AB98" i="35" s="1"/>
  <c r="AC98" i="35" s="1"/>
  <c r="N98" i="35"/>
  <c r="O98" i="35" s="1"/>
  <c r="P98" i="35" s="1"/>
  <c r="AI97" i="35"/>
  <c r="AH97" i="35"/>
  <c r="AG97" i="35"/>
  <c r="AA97" i="35"/>
  <c r="AB97" i="35" s="1"/>
  <c r="AC97" i="35" s="1"/>
  <c r="N97" i="35"/>
  <c r="O97" i="35" s="1"/>
  <c r="P97" i="35" s="1"/>
  <c r="AI96" i="35"/>
  <c r="AH96" i="35"/>
  <c r="AG96" i="35"/>
  <c r="AA96" i="35"/>
  <c r="AB96" i="35" s="1"/>
  <c r="AC96" i="35" s="1"/>
  <c r="N96" i="35"/>
  <c r="O96" i="35" s="1"/>
  <c r="P96" i="35" s="1"/>
  <c r="AI95" i="35"/>
  <c r="AH95" i="35"/>
  <c r="AG95" i="35"/>
  <c r="AA95" i="35"/>
  <c r="AB95" i="35" s="1"/>
  <c r="AC95" i="35" s="1"/>
  <c r="N95" i="35"/>
  <c r="O95" i="35" s="1"/>
  <c r="P95" i="35" s="1"/>
  <c r="AI94" i="35"/>
  <c r="AH94" i="35"/>
  <c r="AG94" i="35"/>
  <c r="AA94" i="35"/>
  <c r="AB94" i="35" s="1"/>
  <c r="AC94" i="35" s="1"/>
  <c r="N94" i="35"/>
  <c r="O94" i="35" s="1"/>
  <c r="P94" i="35" s="1"/>
  <c r="AI93" i="35"/>
  <c r="AH93" i="35"/>
  <c r="AG93" i="35"/>
  <c r="AA93" i="35"/>
  <c r="AB93" i="35" s="1"/>
  <c r="AC93" i="35" s="1"/>
  <c r="N93" i="35"/>
  <c r="O93" i="35" s="1"/>
  <c r="P93" i="35" s="1"/>
  <c r="AI92" i="35"/>
  <c r="AH92" i="35"/>
  <c r="AG92" i="35"/>
  <c r="AA92" i="35"/>
  <c r="AB92" i="35" s="1"/>
  <c r="AC92" i="35" s="1"/>
  <c r="N92" i="35"/>
  <c r="O92" i="35" s="1"/>
  <c r="P92" i="35" s="1"/>
  <c r="AI91" i="35"/>
  <c r="AH91" i="35"/>
  <c r="AG91" i="35"/>
  <c r="AA91" i="35"/>
  <c r="AB91" i="35" s="1"/>
  <c r="AC91" i="35" s="1"/>
  <c r="N91" i="35"/>
  <c r="O91" i="35" s="1"/>
  <c r="P91" i="35" s="1"/>
  <c r="AI90" i="35"/>
  <c r="AH90" i="35"/>
  <c r="AG90" i="35"/>
  <c r="AA90" i="35"/>
  <c r="AB90" i="35" s="1"/>
  <c r="AC90" i="35" s="1"/>
  <c r="N90" i="35"/>
  <c r="O90" i="35" s="1"/>
  <c r="P90" i="35" s="1"/>
  <c r="AI89" i="35"/>
  <c r="AH89" i="35"/>
  <c r="AG89" i="35"/>
  <c r="AA89" i="35"/>
  <c r="AB89" i="35" s="1"/>
  <c r="AC89" i="35" s="1"/>
  <c r="N89" i="35"/>
  <c r="O89" i="35" s="1"/>
  <c r="P89" i="35" s="1"/>
  <c r="AI88" i="35"/>
  <c r="AH88" i="35"/>
  <c r="AG88" i="35"/>
  <c r="AA88" i="35"/>
  <c r="AB88" i="35" s="1"/>
  <c r="AC88" i="35" s="1"/>
  <c r="N88" i="35"/>
  <c r="O88" i="35" s="1"/>
  <c r="P88" i="35" s="1"/>
  <c r="AI87" i="35"/>
  <c r="AH87" i="35"/>
  <c r="AG87" i="35"/>
  <c r="AA87" i="35"/>
  <c r="AB87" i="35" s="1"/>
  <c r="AC87" i="35" s="1"/>
  <c r="N87" i="35"/>
  <c r="O87" i="35" s="1"/>
  <c r="P87" i="35" s="1"/>
  <c r="AI86" i="35"/>
  <c r="AH86" i="35"/>
  <c r="AG86" i="35"/>
  <c r="AA86" i="35"/>
  <c r="AB86" i="35" s="1"/>
  <c r="AC86" i="35" s="1"/>
  <c r="N86" i="35"/>
  <c r="O86" i="35" s="1"/>
  <c r="P86" i="35" s="1"/>
  <c r="AI85" i="35"/>
  <c r="AH85" i="35"/>
  <c r="AG85" i="35"/>
  <c r="AA85" i="35"/>
  <c r="AB85" i="35" s="1"/>
  <c r="AC85" i="35" s="1"/>
  <c r="N85" i="35"/>
  <c r="O85" i="35" s="1"/>
  <c r="P85" i="35" s="1"/>
  <c r="AI84" i="35"/>
  <c r="AH84" i="35"/>
  <c r="AG84" i="35"/>
  <c r="AA84" i="35"/>
  <c r="AB84" i="35" s="1"/>
  <c r="AC84" i="35" s="1"/>
  <c r="N84" i="35"/>
  <c r="O84" i="35" s="1"/>
  <c r="P84" i="35" s="1"/>
  <c r="AI83" i="35"/>
  <c r="AH83" i="35"/>
  <c r="AG83" i="35"/>
  <c r="AA83" i="35"/>
  <c r="AB83" i="35" s="1"/>
  <c r="AC83" i="35" s="1"/>
  <c r="N83" i="35"/>
  <c r="O83" i="35" s="1"/>
  <c r="P83" i="35" s="1"/>
  <c r="AI82" i="35"/>
  <c r="AH82" i="35"/>
  <c r="AG82" i="35"/>
  <c r="AA82" i="35"/>
  <c r="AB82" i="35" s="1"/>
  <c r="AC82" i="35" s="1"/>
  <c r="O82" i="35"/>
  <c r="P82" i="35" s="1"/>
  <c r="N82" i="35"/>
  <c r="AI81" i="35"/>
  <c r="AH81" i="35"/>
  <c r="AG81" i="35"/>
  <c r="AA81" i="35"/>
  <c r="AB81" i="35" s="1"/>
  <c r="AC81" i="35" s="1"/>
  <c r="O81" i="35"/>
  <c r="P81" i="35" s="1"/>
  <c r="N81" i="35"/>
  <c r="AI80" i="35"/>
  <c r="AH80" i="35"/>
  <c r="AG80" i="35"/>
  <c r="AA80" i="35"/>
  <c r="AB80" i="35" s="1"/>
  <c r="AC80" i="35" s="1"/>
  <c r="O80" i="35"/>
  <c r="P80" i="35" s="1"/>
  <c r="N80" i="35"/>
  <c r="AI79" i="35"/>
  <c r="AH79" i="35"/>
  <c r="AG79" i="35"/>
  <c r="AA79" i="35"/>
  <c r="AB79" i="35" s="1"/>
  <c r="AC79" i="35" s="1"/>
  <c r="N79" i="35"/>
  <c r="O79" i="35" s="1"/>
  <c r="P79" i="35" s="1"/>
  <c r="AI78" i="35"/>
  <c r="AH78" i="35"/>
  <c r="AG78" i="35"/>
  <c r="AA78" i="35"/>
  <c r="AB78" i="35" s="1"/>
  <c r="AC78" i="35" s="1"/>
  <c r="O78" i="35"/>
  <c r="P78" i="35" s="1"/>
  <c r="N78" i="35"/>
  <c r="AI77" i="35"/>
  <c r="AH77" i="35"/>
  <c r="AG77" i="35"/>
  <c r="AA77" i="35"/>
  <c r="AB77" i="35" s="1"/>
  <c r="AC77" i="35" s="1"/>
  <c r="N77" i="35"/>
  <c r="O77" i="35" s="1"/>
  <c r="P77" i="35" s="1"/>
  <c r="AI76" i="35"/>
  <c r="AH76" i="35"/>
  <c r="AG76" i="35"/>
  <c r="AA76" i="35"/>
  <c r="AB76" i="35" s="1"/>
  <c r="AC76" i="35" s="1"/>
  <c r="O76" i="35"/>
  <c r="P76" i="35" s="1"/>
  <c r="N76" i="35"/>
  <c r="AI75" i="35"/>
  <c r="AH75" i="35"/>
  <c r="AG75" i="35"/>
  <c r="AA75" i="35"/>
  <c r="AB75" i="35" s="1"/>
  <c r="AC75" i="35" s="1"/>
  <c r="O75" i="35"/>
  <c r="P75" i="35" s="1"/>
  <c r="N75" i="35"/>
  <c r="AI74" i="35"/>
  <c r="AH74" i="35"/>
  <c r="AG74" i="35"/>
  <c r="AA74" i="35"/>
  <c r="AB74" i="35" s="1"/>
  <c r="AC74" i="35" s="1"/>
  <c r="O74" i="35"/>
  <c r="P74" i="35" s="1"/>
  <c r="N74" i="35"/>
  <c r="AI73" i="35"/>
  <c r="AH73" i="35"/>
  <c r="AG73" i="35"/>
  <c r="AA73" i="35"/>
  <c r="AB73" i="35" s="1"/>
  <c r="AC73" i="35" s="1"/>
  <c r="N73" i="35"/>
  <c r="O73" i="35" s="1"/>
  <c r="P73" i="35" s="1"/>
  <c r="AI72" i="35"/>
  <c r="AH72" i="35"/>
  <c r="AG72" i="35"/>
  <c r="AA72" i="35"/>
  <c r="AB72" i="35" s="1"/>
  <c r="AC72" i="35" s="1"/>
  <c r="O72" i="35"/>
  <c r="P72" i="35" s="1"/>
  <c r="N72" i="35"/>
  <c r="AI71" i="35"/>
  <c r="AH71" i="35"/>
  <c r="AG71" i="35"/>
  <c r="AA71" i="35"/>
  <c r="AB71" i="35" s="1"/>
  <c r="AC71" i="35" s="1"/>
  <c r="O71" i="35"/>
  <c r="P71" i="35" s="1"/>
  <c r="N71" i="35"/>
  <c r="AI70" i="35"/>
  <c r="AH70" i="35"/>
  <c r="AG70" i="35"/>
  <c r="AA70" i="35"/>
  <c r="AB70" i="35" s="1"/>
  <c r="AC70" i="35" s="1"/>
  <c r="O70" i="35"/>
  <c r="P70" i="35" s="1"/>
  <c r="N70" i="35"/>
  <c r="AI69" i="35"/>
  <c r="AH69" i="35"/>
  <c r="AG69" i="35"/>
  <c r="AA69" i="35"/>
  <c r="AB69" i="35" s="1"/>
  <c r="AC69" i="35" s="1"/>
  <c r="O69" i="35"/>
  <c r="P69" i="35" s="1"/>
  <c r="N69" i="35"/>
  <c r="AI68" i="35"/>
  <c r="AH68" i="35"/>
  <c r="AG68" i="35"/>
  <c r="AA68" i="35"/>
  <c r="AB68" i="35" s="1"/>
  <c r="AC68" i="35" s="1"/>
  <c r="O68" i="35"/>
  <c r="P68" i="35" s="1"/>
  <c r="N68" i="35"/>
  <c r="AI66" i="35"/>
  <c r="AH66" i="35"/>
  <c r="AG66" i="35"/>
  <c r="AA66" i="35"/>
  <c r="AB66" i="35" s="1"/>
  <c r="AC66" i="35" s="1"/>
  <c r="N66" i="35"/>
  <c r="O66" i="35" s="1"/>
  <c r="P66" i="35" s="1"/>
  <c r="AI65" i="35"/>
  <c r="AH65" i="35"/>
  <c r="AG65" i="35"/>
  <c r="AA65" i="35"/>
  <c r="AB65" i="35" s="1"/>
  <c r="AC65" i="35" s="1"/>
  <c r="O65" i="35"/>
  <c r="P65" i="35" s="1"/>
  <c r="N65" i="35"/>
  <c r="AI64" i="35"/>
  <c r="AH64" i="35"/>
  <c r="AG64" i="35"/>
  <c r="AA64" i="35"/>
  <c r="AB64" i="35" s="1"/>
  <c r="AC64" i="35" s="1"/>
  <c r="N64" i="35"/>
  <c r="O64" i="35" s="1"/>
  <c r="P64" i="35" s="1"/>
  <c r="AI63" i="35"/>
  <c r="AH63" i="35"/>
  <c r="AG63" i="35"/>
  <c r="AA63" i="35"/>
  <c r="AB63" i="35" s="1"/>
  <c r="AC63" i="35" s="1"/>
  <c r="O63" i="35"/>
  <c r="P63" i="35" s="1"/>
  <c r="N63" i="35"/>
  <c r="AI62" i="35"/>
  <c r="AH62" i="35"/>
  <c r="AG62" i="35"/>
  <c r="AA62" i="35"/>
  <c r="AB62" i="35" s="1"/>
  <c r="AC62" i="35" s="1"/>
  <c r="N62" i="35"/>
  <c r="O62" i="35" s="1"/>
  <c r="P62" i="35" s="1"/>
  <c r="AI61" i="35"/>
  <c r="AH61" i="35"/>
  <c r="AG61" i="35"/>
  <c r="AA61" i="35"/>
  <c r="AB61" i="35" s="1"/>
  <c r="AC61" i="35" s="1"/>
  <c r="O61" i="35"/>
  <c r="P61" i="35" s="1"/>
  <c r="N61" i="35"/>
  <c r="AI60" i="35"/>
  <c r="AH60" i="35"/>
  <c r="AG60" i="35"/>
  <c r="AA60" i="35"/>
  <c r="AB60" i="35" s="1"/>
  <c r="AC60" i="35" s="1"/>
  <c r="N60" i="35"/>
  <c r="O60" i="35" s="1"/>
  <c r="P60" i="35" s="1"/>
  <c r="AI59" i="35"/>
  <c r="AH59" i="35"/>
  <c r="AG59" i="35"/>
  <c r="AA59" i="35"/>
  <c r="AB59" i="35" s="1"/>
  <c r="AC59" i="35" s="1"/>
  <c r="N59" i="35"/>
  <c r="O59" i="35" s="1"/>
  <c r="P59" i="35" s="1"/>
  <c r="AI58" i="35"/>
  <c r="AH58" i="35"/>
  <c r="AG58" i="35"/>
  <c r="AA58" i="35"/>
  <c r="AB58" i="35" s="1"/>
  <c r="AC58" i="35" s="1"/>
  <c r="N58" i="35"/>
  <c r="O58" i="35" s="1"/>
  <c r="P58" i="35" s="1"/>
  <c r="AI57" i="35"/>
  <c r="AH57" i="35"/>
  <c r="AG57" i="35"/>
  <c r="AA57" i="35"/>
  <c r="AB57" i="35" s="1"/>
  <c r="AC57" i="35" s="1"/>
  <c r="N57" i="35"/>
  <c r="O57" i="35" s="1"/>
  <c r="P57" i="35" s="1"/>
  <c r="AI56" i="35"/>
  <c r="AH56" i="35"/>
  <c r="AG56" i="35"/>
  <c r="AA56" i="35"/>
  <c r="AB56" i="35" s="1"/>
  <c r="AC56" i="35" s="1"/>
  <c r="N56" i="35"/>
  <c r="O56" i="35" s="1"/>
  <c r="P56" i="35" s="1"/>
  <c r="AI55" i="35"/>
  <c r="AH55" i="35"/>
  <c r="AG55" i="35"/>
  <c r="AA55" i="35"/>
  <c r="AB55" i="35" s="1"/>
  <c r="AC55" i="35" s="1"/>
  <c r="N55" i="35"/>
  <c r="O55" i="35" s="1"/>
  <c r="P55" i="35" s="1"/>
  <c r="AI54" i="35"/>
  <c r="AH54" i="35"/>
  <c r="AG54" i="35"/>
  <c r="AA54" i="35"/>
  <c r="AB54" i="35" s="1"/>
  <c r="AC54" i="35" s="1"/>
  <c r="N54" i="35"/>
  <c r="O54" i="35" s="1"/>
  <c r="P54" i="35" s="1"/>
  <c r="AI53" i="35"/>
  <c r="AH53" i="35"/>
  <c r="AG53" i="35"/>
  <c r="AA53" i="35"/>
  <c r="AB53" i="35" s="1"/>
  <c r="AC53" i="35" s="1"/>
  <c r="N53" i="35"/>
  <c r="O53" i="35" s="1"/>
  <c r="P53" i="35" s="1"/>
  <c r="AI52" i="35"/>
  <c r="AH52" i="35"/>
  <c r="AG52" i="35"/>
  <c r="AA52" i="35"/>
  <c r="AB52" i="35" s="1"/>
  <c r="AC52" i="35" s="1"/>
  <c r="N52" i="35"/>
  <c r="O52" i="35" s="1"/>
  <c r="P52" i="35" s="1"/>
  <c r="AI51" i="35"/>
  <c r="AH51" i="35"/>
  <c r="AG51" i="35"/>
  <c r="AA51" i="35"/>
  <c r="AB51" i="35" s="1"/>
  <c r="AC51" i="35" s="1"/>
  <c r="N51" i="35"/>
  <c r="O51" i="35" s="1"/>
  <c r="P51" i="35" s="1"/>
  <c r="AI50" i="35"/>
  <c r="AH50" i="35"/>
  <c r="AG50" i="35"/>
  <c r="AA50" i="35"/>
  <c r="AB50" i="35" s="1"/>
  <c r="AC50" i="35" s="1"/>
  <c r="N50" i="35"/>
  <c r="O50" i="35" s="1"/>
  <c r="P50" i="35" s="1"/>
  <c r="AI49" i="35"/>
  <c r="AH49" i="35"/>
  <c r="AG49" i="35"/>
  <c r="AA49" i="35"/>
  <c r="AB49" i="35" s="1"/>
  <c r="AC49" i="35" s="1"/>
  <c r="N49" i="35"/>
  <c r="O49" i="35" s="1"/>
  <c r="P49" i="35" s="1"/>
  <c r="AI48" i="35"/>
  <c r="AH48" i="35"/>
  <c r="AG48" i="35"/>
  <c r="AA48" i="35"/>
  <c r="AB48" i="35" s="1"/>
  <c r="AC48" i="35" s="1"/>
  <c r="N48" i="35"/>
  <c r="O48" i="35" s="1"/>
  <c r="P48" i="35" s="1"/>
  <c r="AI47" i="35"/>
  <c r="AH47" i="35"/>
  <c r="AG47" i="35"/>
  <c r="AA47" i="35"/>
  <c r="AB47" i="35" s="1"/>
  <c r="AC47" i="35" s="1"/>
  <c r="N47" i="35"/>
  <c r="O47" i="35" s="1"/>
  <c r="P47" i="35" s="1"/>
  <c r="AI46" i="35"/>
  <c r="AH46" i="35"/>
  <c r="AG46" i="35"/>
  <c r="AA46" i="35"/>
  <c r="AB46" i="35" s="1"/>
  <c r="AC46" i="35" s="1"/>
  <c r="N46" i="35"/>
  <c r="O46" i="35" s="1"/>
  <c r="P46" i="35" s="1"/>
  <c r="AI45" i="35"/>
  <c r="AH45" i="35"/>
  <c r="AG45" i="35"/>
  <c r="AA45" i="35"/>
  <c r="AB45" i="35" s="1"/>
  <c r="AC45" i="35" s="1"/>
  <c r="N45" i="35"/>
  <c r="O45" i="35" s="1"/>
  <c r="P45" i="35" s="1"/>
  <c r="AI44" i="35"/>
  <c r="AH44" i="35"/>
  <c r="AG44" i="35"/>
  <c r="AA44" i="35"/>
  <c r="AB44" i="35" s="1"/>
  <c r="AC44" i="35" s="1"/>
  <c r="N44" i="35"/>
  <c r="O44" i="35" s="1"/>
  <c r="P44" i="35" s="1"/>
  <c r="AI43" i="35"/>
  <c r="AH43" i="35"/>
  <c r="AG43" i="35"/>
  <c r="AA43" i="35"/>
  <c r="AB43" i="35" s="1"/>
  <c r="AC43" i="35" s="1"/>
  <c r="N43" i="35"/>
  <c r="O43" i="35" s="1"/>
  <c r="P43" i="35" s="1"/>
  <c r="AI42" i="35"/>
  <c r="AH42" i="35"/>
  <c r="AG42" i="35"/>
  <c r="AA42" i="35"/>
  <c r="AB42" i="35" s="1"/>
  <c r="AC42" i="35" s="1"/>
  <c r="N42" i="35"/>
  <c r="O42" i="35" s="1"/>
  <c r="P42" i="35" s="1"/>
  <c r="AI41" i="35"/>
  <c r="AH41" i="35"/>
  <c r="AG41" i="35"/>
  <c r="AA41" i="35"/>
  <c r="AB41" i="35" s="1"/>
  <c r="AC41" i="35" s="1"/>
  <c r="N41" i="35"/>
  <c r="O41" i="35" s="1"/>
  <c r="P41" i="35" s="1"/>
  <c r="AI40" i="35"/>
  <c r="AH40" i="35"/>
  <c r="AG40" i="35"/>
  <c r="AA40" i="35"/>
  <c r="AB40" i="35" s="1"/>
  <c r="AC40" i="35" s="1"/>
  <c r="O40" i="35"/>
  <c r="P40" i="35" s="1"/>
  <c r="N40" i="35"/>
  <c r="AI39" i="35"/>
  <c r="AH39" i="35"/>
  <c r="AG39" i="35"/>
  <c r="AA39" i="35"/>
  <c r="AB39" i="35" s="1"/>
  <c r="AC39" i="35" s="1"/>
  <c r="N39" i="35"/>
  <c r="O39" i="35" s="1"/>
  <c r="P39" i="35" s="1"/>
  <c r="AI38" i="35"/>
  <c r="AH38" i="35"/>
  <c r="AG38" i="35"/>
  <c r="AA38" i="35"/>
  <c r="AB38" i="35" s="1"/>
  <c r="AC38" i="35" s="1"/>
  <c r="O38" i="35"/>
  <c r="P38" i="35" s="1"/>
  <c r="N38" i="35"/>
  <c r="AI37" i="35"/>
  <c r="AH37" i="35"/>
  <c r="AG37" i="35"/>
  <c r="AA37" i="35"/>
  <c r="AB37" i="35" s="1"/>
  <c r="AC37" i="35" s="1"/>
  <c r="N37" i="35"/>
  <c r="O37" i="35" s="1"/>
  <c r="P37" i="35" s="1"/>
  <c r="AI36" i="35"/>
  <c r="AH36" i="35"/>
  <c r="AG36" i="35"/>
  <c r="AA36" i="35"/>
  <c r="AB36" i="35" s="1"/>
  <c r="AC36" i="35" s="1"/>
  <c r="N36" i="35"/>
  <c r="O36" i="35" s="1"/>
  <c r="P36" i="35" s="1"/>
  <c r="AI35" i="35"/>
  <c r="AH35" i="35"/>
  <c r="AG35" i="35"/>
  <c r="AA35" i="35"/>
  <c r="AB35" i="35" s="1"/>
  <c r="AC35" i="35" s="1"/>
  <c r="N35" i="35"/>
  <c r="O35" i="35" s="1"/>
  <c r="P35" i="35" s="1"/>
  <c r="AI34" i="35"/>
  <c r="AH34" i="35"/>
  <c r="AG34" i="35"/>
  <c r="AA34" i="35"/>
  <c r="AB34" i="35" s="1"/>
  <c r="AC34" i="35" s="1"/>
  <c r="O34" i="35"/>
  <c r="P34" i="35" s="1"/>
  <c r="N34" i="35"/>
  <c r="AI33" i="35"/>
  <c r="AH33" i="35"/>
  <c r="AG33" i="35"/>
  <c r="AA33" i="35"/>
  <c r="AB33" i="35" s="1"/>
  <c r="AC33" i="35" s="1"/>
  <c r="N33" i="35"/>
  <c r="O33" i="35" s="1"/>
  <c r="P33" i="35" s="1"/>
  <c r="AI32" i="35"/>
  <c r="AH32" i="35"/>
  <c r="AG32" i="35"/>
  <c r="AA32" i="35"/>
  <c r="AB32" i="35" s="1"/>
  <c r="AC32" i="35" s="1"/>
  <c r="O32" i="35"/>
  <c r="P32" i="35" s="1"/>
  <c r="N32" i="35"/>
  <c r="AI31" i="35"/>
  <c r="AH31" i="35"/>
  <c r="AG31" i="35"/>
  <c r="AA31" i="35"/>
  <c r="AB31" i="35" s="1"/>
  <c r="AC31" i="35" s="1"/>
  <c r="N31" i="35"/>
  <c r="O31" i="35" s="1"/>
  <c r="P31" i="35" s="1"/>
  <c r="AI30" i="35"/>
  <c r="AH30" i="35"/>
  <c r="AG30" i="35"/>
  <c r="AA30" i="35"/>
  <c r="AB30" i="35" s="1"/>
  <c r="AC30" i="35" s="1"/>
  <c r="N30" i="35"/>
  <c r="O30" i="35" s="1"/>
  <c r="P30" i="35" s="1"/>
  <c r="AI29" i="35"/>
  <c r="AH29" i="35"/>
  <c r="AG29" i="35"/>
  <c r="AA29" i="35"/>
  <c r="AB29" i="35" s="1"/>
  <c r="AC29" i="35" s="1"/>
  <c r="N29" i="35"/>
  <c r="O29" i="35" s="1"/>
  <c r="P29" i="35" s="1"/>
  <c r="AI28" i="35"/>
  <c r="AH28" i="35"/>
  <c r="AG28" i="35"/>
  <c r="AA28" i="35"/>
  <c r="AB28" i="35" s="1"/>
  <c r="AC28" i="35" s="1"/>
  <c r="O28" i="35"/>
  <c r="P28" i="35" s="1"/>
  <c r="N28" i="35"/>
  <c r="AI27" i="35"/>
  <c r="AH27" i="35"/>
  <c r="AG27" i="35"/>
  <c r="AA27" i="35"/>
  <c r="AB27" i="35" s="1"/>
  <c r="AC27" i="35" s="1"/>
  <c r="N27" i="35"/>
  <c r="O27" i="35" s="1"/>
  <c r="P27" i="35" s="1"/>
  <c r="AI26" i="35"/>
  <c r="AH26" i="35"/>
  <c r="AG26" i="35"/>
  <c r="AA26" i="35"/>
  <c r="AB26" i="35" s="1"/>
  <c r="AC26" i="35" s="1"/>
  <c r="O26" i="35"/>
  <c r="P26" i="35" s="1"/>
  <c r="N26" i="35"/>
  <c r="AI25" i="35"/>
  <c r="AH25" i="35"/>
  <c r="AG25" i="35"/>
  <c r="AA25" i="35"/>
  <c r="AB25" i="35" s="1"/>
  <c r="AC25" i="35" s="1"/>
  <c r="O25" i="35"/>
  <c r="P25" i="35" s="1"/>
  <c r="N25" i="35"/>
  <c r="AI24" i="35"/>
  <c r="AH24" i="35"/>
  <c r="AG24" i="35"/>
  <c r="AA24" i="35"/>
  <c r="AB24" i="35" s="1"/>
  <c r="AC24" i="35" s="1"/>
  <c r="O24" i="35"/>
  <c r="P24" i="35" s="1"/>
  <c r="N24" i="35"/>
  <c r="AI23" i="35"/>
  <c r="AH23" i="35"/>
  <c r="AG23" i="35"/>
  <c r="AA23" i="35"/>
  <c r="AB23" i="35" s="1"/>
  <c r="AC23" i="35" s="1"/>
  <c r="O23" i="35"/>
  <c r="P23" i="35" s="1"/>
  <c r="N23" i="35"/>
  <c r="AI22" i="35"/>
  <c r="AH22" i="35"/>
  <c r="AG22" i="35"/>
  <c r="AA22" i="35"/>
  <c r="AB22" i="35" s="1"/>
  <c r="AC22" i="35" s="1"/>
  <c r="O22" i="35"/>
  <c r="P22" i="35" s="1"/>
  <c r="N22" i="35"/>
  <c r="AI21" i="35"/>
  <c r="AH21" i="35"/>
  <c r="AG21" i="35"/>
  <c r="AA21" i="35"/>
  <c r="AB21" i="35" s="1"/>
  <c r="AC21" i="35" s="1"/>
  <c r="O21" i="35"/>
  <c r="P21" i="35" s="1"/>
  <c r="N21" i="35"/>
  <c r="AI20" i="35"/>
  <c r="AH20" i="35"/>
  <c r="AG20" i="35"/>
  <c r="AA20" i="35"/>
  <c r="AB20" i="35" s="1"/>
  <c r="AC20" i="35" s="1"/>
  <c r="O20" i="35"/>
  <c r="P20" i="35" s="1"/>
  <c r="N20" i="35"/>
  <c r="AI19" i="35"/>
  <c r="AH19" i="35"/>
  <c r="AG19" i="35"/>
  <c r="AA19" i="35"/>
  <c r="AB19" i="35" s="1"/>
  <c r="AC19" i="35" s="1"/>
  <c r="O19" i="35"/>
  <c r="P19" i="35" s="1"/>
  <c r="N19" i="35"/>
  <c r="AI18" i="35"/>
  <c r="AH18" i="35"/>
  <c r="AG18" i="35"/>
  <c r="AA18" i="35"/>
  <c r="AB18" i="35" s="1"/>
  <c r="AC18" i="35" s="1"/>
  <c r="O18" i="35"/>
  <c r="P18" i="35" s="1"/>
  <c r="N18" i="35"/>
  <c r="AI17" i="35"/>
  <c r="AH17" i="35"/>
  <c r="AG17" i="35"/>
  <c r="AA17" i="35"/>
  <c r="AB17" i="35" s="1"/>
  <c r="AC17" i="35" s="1"/>
  <c r="N17" i="35"/>
  <c r="AA14" i="35"/>
  <c r="N14" i="35"/>
  <c r="AI117" i="34"/>
  <c r="AH117" i="34"/>
  <c r="AG117" i="34"/>
  <c r="AA117" i="34"/>
  <c r="AB117" i="34" s="1"/>
  <c r="AC117" i="34" s="1"/>
  <c r="N117" i="34"/>
  <c r="O117" i="34" s="1"/>
  <c r="P117" i="34" s="1"/>
  <c r="AI116" i="34"/>
  <c r="AH116" i="34"/>
  <c r="AG116" i="34"/>
  <c r="AA116" i="34"/>
  <c r="AB116" i="34" s="1"/>
  <c r="AC116" i="34" s="1"/>
  <c r="N116" i="34"/>
  <c r="O116" i="34" s="1"/>
  <c r="P116" i="34" s="1"/>
  <c r="AI115" i="34"/>
  <c r="AH115" i="34"/>
  <c r="AG115" i="34"/>
  <c r="AA115" i="34"/>
  <c r="AB115" i="34" s="1"/>
  <c r="AC115" i="34" s="1"/>
  <c r="N115" i="34"/>
  <c r="O115" i="34" s="1"/>
  <c r="P115" i="34" s="1"/>
  <c r="AI114" i="34"/>
  <c r="AH114" i="34"/>
  <c r="AG114" i="34"/>
  <c r="AA114" i="34"/>
  <c r="AB114" i="34" s="1"/>
  <c r="AC114" i="34" s="1"/>
  <c r="N114" i="34"/>
  <c r="O114" i="34" s="1"/>
  <c r="P114" i="34" s="1"/>
  <c r="AI113" i="34"/>
  <c r="AH113" i="34"/>
  <c r="AG113" i="34"/>
  <c r="AB113" i="34"/>
  <c r="AC113" i="34" s="1"/>
  <c r="AA113" i="34"/>
  <c r="N113" i="34"/>
  <c r="O113" i="34" s="1"/>
  <c r="P113" i="34" s="1"/>
  <c r="AI112" i="34"/>
  <c r="AH112" i="34"/>
  <c r="AG112" i="34"/>
  <c r="AA112" i="34"/>
  <c r="AB112" i="34" s="1"/>
  <c r="AC112" i="34" s="1"/>
  <c r="N112" i="34"/>
  <c r="O112" i="34" s="1"/>
  <c r="P112" i="34" s="1"/>
  <c r="AI111" i="34"/>
  <c r="AH111" i="34"/>
  <c r="AG111" i="34"/>
  <c r="AA111" i="34"/>
  <c r="AB111" i="34" s="1"/>
  <c r="AC111" i="34" s="1"/>
  <c r="N111" i="34"/>
  <c r="O111" i="34" s="1"/>
  <c r="P111" i="34" s="1"/>
  <c r="AI110" i="34"/>
  <c r="AH110" i="34"/>
  <c r="AG110" i="34"/>
  <c r="AA110" i="34"/>
  <c r="AB110" i="34" s="1"/>
  <c r="AC110" i="34" s="1"/>
  <c r="N110" i="34"/>
  <c r="O110" i="34" s="1"/>
  <c r="P110" i="34" s="1"/>
  <c r="AI109" i="34"/>
  <c r="AH109" i="34"/>
  <c r="AG109" i="34"/>
  <c r="AA109" i="34"/>
  <c r="AB109" i="34" s="1"/>
  <c r="AC109" i="34" s="1"/>
  <c r="N109" i="34"/>
  <c r="O109" i="34" s="1"/>
  <c r="P109" i="34" s="1"/>
  <c r="AI108" i="34"/>
  <c r="AH108" i="34"/>
  <c r="AG108" i="34"/>
  <c r="AA108" i="34"/>
  <c r="AB108" i="34" s="1"/>
  <c r="AC108" i="34" s="1"/>
  <c r="N108" i="34"/>
  <c r="O108" i="34" s="1"/>
  <c r="P108" i="34" s="1"/>
  <c r="AI107" i="34"/>
  <c r="AH107" i="34"/>
  <c r="AG107" i="34"/>
  <c r="AB107" i="34"/>
  <c r="AC107" i="34" s="1"/>
  <c r="AA107" i="34"/>
  <c r="N107" i="34"/>
  <c r="O107" i="34" s="1"/>
  <c r="P107" i="34" s="1"/>
  <c r="AI106" i="34"/>
  <c r="AH106" i="34"/>
  <c r="AG106" i="34"/>
  <c r="AA106" i="34"/>
  <c r="AB106" i="34" s="1"/>
  <c r="AC106" i="34" s="1"/>
  <c r="N106" i="34"/>
  <c r="O106" i="34" s="1"/>
  <c r="P106" i="34" s="1"/>
  <c r="AI105" i="34"/>
  <c r="AH105" i="34"/>
  <c r="AG105" i="34"/>
  <c r="AA105" i="34"/>
  <c r="AB105" i="34" s="1"/>
  <c r="AC105" i="34" s="1"/>
  <c r="N105" i="34"/>
  <c r="O105" i="34" s="1"/>
  <c r="P105" i="34" s="1"/>
  <c r="AI104" i="34"/>
  <c r="AH104" i="34"/>
  <c r="AG104" i="34"/>
  <c r="AA104" i="34"/>
  <c r="AB104" i="34" s="1"/>
  <c r="AC104" i="34" s="1"/>
  <c r="N104" i="34"/>
  <c r="O104" i="34" s="1"/>
  <c r="P104" i="34" s="1"/>
  <c r="AI103" i="34"/>
  <c r="AH103" i="34"/>
  <c r="AG103" i="34"/>
  <c r="AA103" i="34"/>
  <c r="AB103" i="34" s="1"/>
  <c r="AC103" i="34" s="1"/>
  <c r="N103" i="34"/>
  <c r="O103" i="34" s="1"/>
  <c r="P103" i="34" s="1"/>
  <c r="AI102" i="34"/>
  <c r="AH102" i="34"/>
  <c r="AG102" i="34"/>
  <c r="AA102" i="34"/>
  <c r="AB102" i="34" s="1"/>
  <c r="AC102" i="34" s="1"/>
  <c r="N102" i="34"/>
  <c r="O102" i="34" s="1"/>
  <c r="P102" i="34" s="1"/>
  <c r="AI101" i="34"/>
  <c r="AH101" i="34"/>
  <c r="AG101" i="34"/>
  <c r="AB101" i="34"/>
  <c r="AC101" i="34" s="1"/>
  <c r="AA101" i="34"/>
  <c r="N101" i="34"/>
  <c r="O101" i="34" s="1"/>
  <c r="P101" i="34" s="1"/>
  <c r="AI100" i="34"/>
  <c r="AH100" i="34"/>
  <c r="AG100" i="34"/>
  <c r="AA100" i="34"/>
  <c r="AB100" i="34" s="1"/>
  <c r="AC100" i="34" s="1"/>
  <c r="N100" i="34"/>
  <c r="O100" i="34" s="1"/>
  <c r="P100" i="34" s="1"/>
  <c r="AI99" i="34"/>
  <c r="AH99" i="34"/>
  <c r="AG99" i="34"/>
  <c r="AA99" i="34"/>
  <c r="AB99" i="34" s="1"/>
  <c r="AC99" i="34" s="1"/>
  <c r="N99" i="34"/>
  <c r="O99" i="34" s="1"/>
  <c r="P99" i="34" s="1"/>
  <c r="AI98" i="34"/>
  <c r="AH98" i="34"/>
  <c r="AG98" i="34"/>
  <c r="AA98" i="34"/>
  <c r="AB98" i="34" s="1"/>
  <c r="AC98" i="34" s="1"/>
  <c r="N98" i="34"/>
  <c r="O98" i="34" s="1"/>
  <c r="P98" i="34" s="1"/>
  <c r="AI97" i="34"/>
  <c r="AH97" i="34"/>
  <c r="AG97" i="34"/>
  <c r="AA97" i="34"/>
  <c r="AB97" i="34" s="1"/>
  <c r="AC97" i="34" s="1"/>
  <c r="N97" i="34"/>
  <c r="O97" i="34" s="1"/>
  <c r="P97" i="34" s="1"/>
  <c r="AI96" i="34"/>
  <c r="AH96" i="34"/>
  <c r="AG96" i="34"/>
  <c r="AA96" i="34"/>
  <c r="AB96" i="34" s="1"/>
  <c r="AC96" i="34" s="1"/>
  <c r="N96" i="34"/>
  <c r="O96" i="34" s="1"/>
  <c r="P96" i="34" s="1"/>
  <c r="AI95" i="34"/>
  <c r="AH95" i="34"/>
  <c r="AG95" i="34"/>
  <c r="AA95" i="34"/>
  <c r="AB95" i="34" s="1"/>
  <c r="AC95" i="34" s="1"/>
  <c r="N95" i="34"/>
  <c r="O95" i="34" s="1"/>
  <c r="P95" i="34" s="1"/>
  <c r="AI94" i="34"/>
  <c r="AH94" i="34"/>
  <c r="AG94" i="34"/>
  <c r="AA94" i="34"/>
  <c r="AB94" i="34" s="1"/>
  <c r="AC94" i="34" s="1"/>
  <c r="N94" i="34"/>
  <c r="O94" i="34" s="1"/>
  <c r="P94" i="34" s="1"/>
  <c r="AI93" i="34"/>
  <c r="AH93" i="34"/>
  <c r="AG93" i="34"/>
  <c r="AA93" i="34"/>
  <c r="AB93" i="34" s="1"/>
  <c r="AC93" i="34" s="1"/>
  <c r="N93" i="34"/>
  <c r="O93" i="34" s="1"/>
  <c r="P93" i="34" s="1"/>
  <c r="AI92" i="34"/>
  <c r="AH92" i="34"/>
  <c r="AG92" i="34"/>
  <c r="AA92" i="34"/>
  <c r="AB92" i="34" s="1"/>
  <c r="AC92" i="34" s="1"/>
  <c r="N92" i="34"/>
  <c r="O92" i="34" s="1"/>
  <c r="P92" i="34" s="1"/>
  <c r="AI91" i="34"/>
  <c r="AH91" i="34"/>
  <c r="AG91" i="34"/>
  <c r="AA91" i="34"/>
  <c r="AB91" i="34" s="1"/>
  <c r="AC91" i="34" s="1"/>
  <c r="N91" i="34"/>
  <c r="O91" i="34" s="1"/>
  <c r="P91" i="34" s="1"/>
  <c r="AI90" i="34"/>
  <c r="AH90" i="34"/>
  <c r="AG90" i="34"/>
  <c r="AA90" i="34"/>
  <c r="AB90" i="34" s="1"/>
  <c r="AC90" i="34" s="1"/>
  <c r="N90" i="34"/>
  <c r="O90" i="34" s="1"/>
  <c r="P90" i="34" s="1"/>
  <c r="AI89" i="34"/>
  <c r="AH89" i="34"/>
  <c r="AG89" i="34"/>
  <c r="AA89" i="34"/>
  <c r="AB89" i="34" s="1"/>
  <c r="AC89" i="34" s="1"/>
  <c r="O89" i="34"/>
  <c r="P89" i="34" s="1"/>
  <c r="N89" i="34"/>
  <c r="AI88" i="34"/>
  <c r="AH88" i="34"/>
  <c r="AG88" i="34"/>
  <c r="AA88" i="34"/>
  <c r="AB88" i="34" s="1"/>
  <c r="AC88" i="34" s="1"/>
  <c r="O88" i="34"/>
  <c r="P88" i="34" s="1"/>
  <c r="N88" i="34"/>
  <c r="AI87" i="34"/>
  <c r="AH87" i="34"/>
  <c r="AG87" i="34"/>
  <c r="AA87" i="34"/>
  <c r="AB87" i="34" s="1"/>
  <c r="AC87" i="34" s="1"/>
  <c r="O87" i="34"/>
  <c r="P87" i="34" s="1"/>
  <c r="N87" i="34"/>
  <c r="AI86" i="34"/>
  <c r="AH86" i="34"/>
  <c r="AG86" i="34"/>
  <c r="AA86" i="34"/>
  <c r="AB86" i="34" s="1"/>
  <c r="AC86" i="34" s="1"/>
  <c r="O86" i="34"/>
  <c r="P86" i="34" s="1"/>
  <c r="N86" i="34"/>
  <c r="AI85" i="34"/>
  <c r="AH85" i="34"/>
  <c r="AG85" i="34"/>
  <c r="AA85" i="34"/>
  <c r="AB85" i="34" s="1"/>
  <c r="AC85" i="34" s="1"/>
  <c r="N85" i="34"/>
  <c r="O85" i="34" s="1"/>
  <c r="P85" i="34" s="1"/>
  <c r="AI84" i="34"/>
  <c r="AH84" i="34"/>
  <c r="AG84" i="34"/>
  <c r="AA84" i="34"/>
  <c r="AB84" i="34" s="1"/>
  <c r="AC84" i="34" s="1"/>
  <c r="N84" i="34"/>
  <c r="O84" i="34" s="1"/>
  <c r="P84" i="34" s="1"/>
  <c r="AI83" i="34"/>
  <c r="AH83" i="34"/>
  <c r="AG83" i="34"/>
  <c r="AA83" i="34"/>
  <c r="AB83" i="34" s="1"/>
  <c r="AC83" i="34" s="1"/>
  <c r="N83" i="34"/>
  <c r="O83" i="34" s="1"/>
  <c r="P83" i="34" s="1"/>
  <c r="AI82" i="34"/>
  <c r="AH82" i="34"/>
  <c r="AG82" i="34"/>
  <c r="AA82" i="34"/>
  <c r="AB82" i="34" s="1"/>
  <c r="AC82" i="34" s="1"/>
  <c r="O82" i="34"/>
  <c r="P82" i="34" s="1"/>
  <c r="N82" i="34"/>
  <c r="AI81" i="34"/>
  <c r="AH81" i="34"/>
  <c r="AG81" i="34"/>
  <c r="AA81" i="34"/>
  <c r="AB81" i="34" s="1"/>
  <c r="AC81" i="34" s="1"/>
  <c r="O81" i="34"/>
  <c r="P81" i="34" s="1"/>
  <c r="N81" i="34"/>
  <c r="AI80" i="34"/>
  <c r="AH80" i="34"/>
  <c r="AG80" i="34"/>
  <c r="AA80" i="34"/>
  <c r="AB80" i="34" s="1"/>
  <c r="AC80" i="34" s="1"/>
  <c r="O80" i="34"/>
  <c r="P80" i="34" s="1"/>
  <c r="N80" i="34"/>
  <c r="AI79" i="34"/>
  <c r="AH79" i="34"/>
  <c r="AG79" i="34"/>
  <c r="AA79" i="34"/>
  <c r="AB79" i="34" s="1"/>
  <c r="AC79" i="34" s="1"/>
  <c r="N79" i="34"/>
  <c r="O79" i="34" s="1"/>
  <c r="P79" i="34" s="1"/>
  <c r="AI78" i="34"/>
  <c r="AH78" i="34"/>
  <c r="AG78" i="34"/>
  <c r="AB78" i="34"/>
  <c r="AC78" i="34" s="1"/>
  <c r="AA78" i="34"/>
  <c r="N78" i="34"/>
  <c r="O78" i="34" s="1"/>
  <c r="P78" i="34" s="1"/>
  <c r="AI77" i="34"/>
  <c r="AH77" i="34"/>
  <c r="AG77" i="34"/>
  <c r="AB77" i="34"/>
  <c r="AC77" i="34" s="1"/>
  <c r="AA77" i="34"/>
  <c r="O77" i="34"/>
  <c r="P77" i="34" s="1"/>
  <c r="N77" i="34"/>
  <c r="AI76" i="34"/>
  <c r="AH76" i="34"/>
  <c r="AG76" i="34"/>
  <c r="AA76" i="34"/>
  <c r="AB76" i="34" s="1"/>
  <c r="AC76" i="34" s="1"/>
  <c r="O76" i="34"/>
  <c r="P76" i="34" s="1"/>
  <c r="N76" i="34"/>
  <c r="AI75" i="34"/>
  <c r="AH75" i="34"/>
  <c r="AG75" i="34"/>
  <c r="AA75" i="34"/>
  <c r="AB75" i="34" s="1"/>
  <c r="AC75" i="34" s="1"/>
  <c r="O75" i="34"/>
  <c r="P75" i="34" s="1"/>
  <c r="N75" i="34"/>
  <c r="AI74" i="34"/>
  <c r="AH74" i="34"/>
  <c r="AG74" i="34"/>
  <c r="AA74" i="34"/>
  <c r="AB74" i="34" s="1"/>
  <c r="AC74" i="34" s="1"/>
  <c r="O74" i="34"/>
  <c r="P74" i="34" s="1"/>
  <c r="N74" i="34"/>
  <c r="AI73" i="34"/>
  <c r="AH73" i="34"/>
  <c r="AG73" i="34"/>
  <c r="AA73" i="34"/>
  <c r="AB73" i="34" s="1"/>
  <c r="AC73" i="34" s="1"/>
  <c r="N73" i="34"/>
  <c r="O73" i="34" s="1"/>
  <c r="P73" i="34" s="1"/>
  <c r="AI72" i="34"/>
  <c r="AH72" i="34"/>
  <c r="AG72" i="34"/>
  <c r="AB72" i="34"/>
  <c r="AC72" i="34" s="1"/>
  <c r="AA72" i="34"/>
  <c r="N72" i="34"/>
  <c r="O72" i="34" s="1"/>
  <c r="P72" i="34" s="1"/>
  <c r="AI71" i="34"/>
  <c r="AH71" i="34"/>
  <c r="AG71" i="34"/>
  <c r="AB71" i="34"/>
  <c r="AC71" i="34" s="1"/>
  <c r="AA71" i="34"/>
  <c r="O71" i="34"/>
  <c r="P71" i="34" s="1"/>
  <c r="N71" i="34"/>
  <c r="AI70" i="34"/>
  <c r="AH70" i="34"/>
  <c r="AG70" i="34"/>
  <c r="AA70" i="34"/>
  <c r="AB70" i="34" s="1"/>
  <c r="AC70" i="34" s="1"/>
  <c r="O70" i="34"/>
  <c r="P70" i="34" s="1"/>
  <c r="N70" i="34"/>
  <c r="AI69" i="34"/>
  <c r="AH69" i="34"/>
  <c r="AG69" i="34"/>
  <c r="AA69" i="34"/>
  <c r="AB69" i="34" s="1"/>
  <c r="AC69" i="34" s="1"/>
  <c r="O69" i="34"/>
  <c r="P69" i="34" s="1"/>
  <c r="N69" i="34"/>
  <c r="AI68" i="34"/>
  <c r="AH68" i="34"/>
  <c r="AG68" i="34"/>
  <c r="AA68" i="34"/>
  <c r="AB68" i="34" s="1"/>
  <c r="AC68" i="34" s="1"/>
  <c r="O68" i="34"/>
  <c r="P68" i="34" s="1"/>
  <c r="N68" i="34"/>
  <c r="AI66" i="34"/>
  <c r="AH66" i="34"/>
  <c r="AG66" i="34"/>
  <c r="AA66" i="34"/>
  <c r="AB66" i="34" s="1"/>
  <c r="AC66" i="34" s="1"/>
  <c r="N66" i="34"/>
  <c r="O66" i="34" s="1"/>
  <c r="P66" i="34" s="1"/>
  <c r="AI65" i="34"/>
  <c r="AH65" i="34"/>
  <c r="AG65" i="34"/>
  <c r="AA65" i="34"/>
  <c r="AB65" i="34" s="1"/>
  <c r="AC65" i="34" s="1"/>
  <c r="N65" i="34"/>
  <c r="O65" i="34" s="1"/>
  <c r="P65" i="34" s="1"/>
  <c r="AI64" i="34"/>
  <c r="AH64" i="34"/>
  <c r="AG64" i="34"/>
  <c r="AA64" i="34"/>
  <c r="AB64" i="34" s="1"/>
  <c r="AC64" i="34" s="1"/>
  <c r="N64" i="34"/>
  <c r="O64" i="34" s="1"/>
  <c r="P64" i="34" s="1"/>
  <c r="AI63" i="34"/>
  <c r="AH63" i="34"/>
  <c r="AG63" i="34"/>
  <c r="AA63" i="34"/>
  <c r="AB63" i="34" s="1"/>
  <c r="AC63" i="34" s="1"/>
  <c r="O63" i="34"/>
  <c r="P63" i="34" s="1"/>
  <c r="N63" i="34"/>
  <c r="AI62" i="34"/>
  <c r="AH62" i="34"/>
  <c r="AG62" i="34"/>
  <c r="AA62" i="34"/>
  <c r="AB62" i="34" s="1"/>
  <c r="AC62" i="34" s="1"/>
  <c r="N62" i="34"/>
  <c r="O62" i="34" s="1"/>
  <c r="P62" i="34" s="1"/>
  <c r="AI61" i="34"/>
  <c r="AH61" i="34"/>
  <c r="AG61" i="34"/>
  <c r="AA61" i="34"/>
  <c r="AB61" i="34" s="1"/>
  <c r="AC61" i="34" s="1"/>
  <c r="N61" i="34"/>
  <c r="O61" i="34" s="1"/>
  <c r="P61" i="34" s="1"/>
  <c r="AI60" i="34"/>
  <c r="AH60" i="34"/>
  <c r="AG60" i="34"/>
  <c r="AA60" i="34"/>
  <c r="AB60" i="34" s="1"/>
  <c r="AC60" i="34" s="1"/>
  <c r="N60" i="34"/>
  <c r="O60" i="34" s="1"/>
  <c r="P60" i="34" s="1"/>
  <c r="AI59" i="34"/>
  <c r="AH59" i="34"/>
  <c r="AG59" i="34"/>
  <c r="AA59" i="34"/>
  <c r="AB59" i="34" s="1"/>
  <c r="AC59" i="34" s="1"/>
  <c r="N59" i="34"/>
  <c r="O59" i="34" s="1"/>
  <c r="P59" i="34" s="1"/>
  <c r="AI58" i="34"/>
  <c r="AH58" i="34"/>
  <c r="AG58" i="34"/>
  <c r="AA58" i="34"/>
  <c r="AB58" i="34" s="1"/>
  <c r="AC58" i="34" s="1"/>
  <c r="N58" i="34"/>
  <c r="O58" i="34" s="1"/>
  <c r="P58" i="34" s="1"/>
  <c r="AI57" i="34"/>
  <c r="AH57" i="34"/>
  <c r="AG57" i="34"/>
  <c r="AA57" i="34"/>
  <c r="AB57" i="34" s="1"/>
  <c r="AC57" i="34" s="1"/>
  <c r="N57" i="34"/>
  <c r="O57" i="34" s="1"/>
  <c r="P57" i="34" s="1"/>
  <c r="AI56" i="34"/>
  <c r="AH56" i="34"/>
  <c r="AG56" i="34"/>
  <c r="AA56" i="34"/>
  <c r="AB56" i="34" s="1"/>
  <c r="AC56" i="34" s="1"/>
  <c r="N56" i="34"/>
  <c r="O56" i="34" s="1"/>
  <c r="P56" i="34" s="1"/>
  <c r="AI55" i="34"/>
  <c r="AH55" i="34"/>
  <c r="AG55" i="34"/>
  <c r="AA55" i="34"/>
  <c r="AB55" i="34" s="1"/>
  <c r="AC55" i="34" s="1"/>
  <c r="N55" i="34"/>
  <c r="O55" i="34" s="1"/>
  <c r="P55" i="34" s="1"/>
  <c r="AI54" i="34"/>
  <c r="AH54" i="34"/>
  <c r="AG54" i="34"/>
  <c r="AA54" i="34"/>
  <c r="AB54" i="34" s="1"/>
  <c r="AC54" i="34" s="1"/>
  <c r="N54" i="34"/>
  <c r="O54" i="34" s="1"/>
  <c r="P54" i="34" s="1"/>
  <c r="AI53" i="34"/>
  <c r="AH53" i="34"/>
  <c r="AG53" i="34"/>
  <c r="AA53" i="34"/>
  <c r="AB53" i="34" s="1"/>
  <c r="AC53" i="34" s="1"/>
  <c r="N53" i="34"/>
  <c r="O53" i="34" s="1"/>
  <c r="P53" i="34" s="1"/>
  <c r="AI52" i="34"/>
  <c r="AH52" i="34"/>
  <c r="AG52" i="34"/>
  <c r="AA52" i="34"/>
  <c r="AB52" i="34" s="1"/>
  <c r="AC52" i="34" s="1"/>
  <c r="N52" i="34"/>
  <c r="O52" i="34" s="1"/>
  <c r="P52" i="34" s="1"/>
  <c r="AI51" i="34"/>
  <c r="AH51" i="34"/>
  <c r="AG51" i="34"/>
  <c r="AA51" i="34"/>
  <c r="AB51" i="34" s="1"/>
  <c r="AC51" i="34" s="1"/>
  <c r="N51" i="34"/>
  <c r="O51" i="34" s="1"/>
  <c r="P51" i="34" s="1"/>
  <c r="AI50" i="34"/>
  <c r="AH50" i="34"/>
  <c r="AG50" i="34"/>
  <c r="AA50" i="34"/>
  <c r="AB50" i="34" s="1"/>
  <c r="AC50" i="34" s="1"/>
  <c r="N50" i="34"/>
  <c r="O50" i="34" s="1"/>
  <c r="P50" i="34" s="1"/>
  <c r="AI49" i="34"/>
  <c r="AH49" i="34"/>
  <c r="AG49" i="34"/>
  <c r="AA49" i="34"/>
  <c r="AB49" i="34" s="1"/>
  <c r="AC49" i="34" s="1"/>
  <c r="N49" i="34"/>
  <c r="O49" i="34" s="1"/>
  <c r="P49" i="34" s="1"/>
  <c r="AI48" i="34"/>
  <c r="AH48" i="34"/>
  <c r="AG48" i="34"/>
  <c r="AA48" i="34"/>
  <c r="AB48" i="34" s="1"/>
  <c r="AC48" i="34" s="1"/>
  <c r="N48" i="34"/>
  <c r="O48" i="34" s="1"/>
  <c r="P48" i="34" s="1"/>
  <c r="AI47" i="34"/>
  <c r="AH47" i="34"/>
  <c r="AG47" i="34"/>
  <c r="AA47" i="34"/>
  <c r="AB47" i="34" s="1"/>
  <c r="AC47" i="34" s="1"/>
  <c r="N47" i="34"/>
  <c r="O47" i="34" s="1"/>
  <c r="P47" i="34" s="1"/>
  <c r="AI46" i="34"/>
  <c r="AH46" i="34"/>
  <c r="AG46" i="34"/>
  <c r="AA46" i="34"/>
  <c r="AB46" i="34" s="1"/>
  <c r="AC46" i="34" s="1"/>
  <c r="N46" i="34"/>
  <c r="O46" i="34" s="1"/>
  <c r="P46" i="34" s="1"/>
  <c r="AI45" i="34"/>
  <c r="AH45" i="34"/>
  <c r="AG45" i="34"/>
  <c r="AA45" i="34"/>
  <c r="AB45" i="34" s="1"/>
  <c r="AC45" i="34" s="1"/>
  <c r="N45" i="34"/>
  <c r="O45" i="34" s="1"/>
  <c r="P45" i="34" s="1"/>
  <c r="AI44" i="34"/>
  <c r="AH44" i="34"/>
  <c r="AG44" i="34"/>
  <c r="AA44" i="34"/>
  <c r="AB44" i="34" s="1"/>
  <c r="AC44" i="34" s="1"/>
  <c r="N44" i="34"/>
  <c r="O44" i="34" s="1"/>
  <c r="P44" i="34" s="1"/>
  <c r="AI43" i="34"/>
  <c r="AH43" i="34"/>
  <c r="AG43" i="34"/>
  <c r="AA43" i="34"/>
  <c r="AB43" i="34" s="1"/>
  <c r="AC43" i="34" s="1"/>
  <c r="N43" i="34"/>
  <c r="O43" i="34" s="1"/>
  <c r="P43" i="34" s="1"/>
  <c r="AI42" i="34"/>
  <c r="AH42" i="34"/>
  <c r="AG42" i="34"/>
  <c r="AA42" i="34"/>
  <c r="AB42" i="34" s="1"/>
  <c r="AC42" i="34" s="1"/>
  <c r="N42" i="34"/>
  <c r="O42" i="34" s="1"/>
  <c r="P42" i="34" s="1"/>
  <c r="AI41" i="34"/>
  <c r="AH41" i="34"/>
  <c r="AG41" i="34"/>
  <c r="AA41" i="34"/>
  <c r="AB41" i="34" s="1"/>
  <c r="AC41" i="34" s="1"/>
  <c r="N41" i="34"/>
  <c r="O41" i="34" s="1"/>
  <c r="P41" i="34" s="1"/>
  <c r="AI40" i="34"/>
  <c r="AH40" i="34"/>
  <c r="AG40" i="34"/>
  <c r="AA40" i="34"/>
  <c r="AB40" i="34" s="1"/>
  <c r="AC40" i="34" s="1"/>
  <c r="N40" i="34"/>
  <c r="O40" i="34" s="1"/>
  <c r="P40" i="34" s="1"/>
  <c r="AI39" i="34"/>
  <c r="AH39" i="34"/>
  <c r="AG39" i="34"/>
  <c r="AA39" i="34"/>
  <c r="AB39" i="34" s="1"/>
  <c r="AC39" i="34" s="1"/>
  <c r="N39" i="34"/>
  <c r="O39" i="34" s="1"/>
  <c r="P39" i="34" s="1"/>
  <c r="AI38" i="34"/>
  <c r="AH38" i="34"/>
  <c r="AG38" i="34"/>
  <c r="AA38" i="34"/>
  <c r="AB38" i="34" s="1"/>
  <c r="AC38" i="34" s="1"/>
  <c r="N38" i="34"/>
  <c r="O38" i="34" s="1"/>
  <c r="P38" i="34" s="1"/>
  <c r="AI37" i="34"/>
  <c r="AH37" i="34"/>
  <c r="AG37" i="34"/>
  <c r="AA37" i="34"/>
  <c r="AB37" i="34" s="1"/>
  <c r="AC37" i="34" s="1"/>
  <c r="N37" i="34"/>
  <c r="O37" i="34" s="1"/>
  <c r="P37" i="34" s="1"/>
  <c r="AI36" i="34"/>
  <c r="AH36" i="34"/>
  <c r="AG36" i="34"/>
  <c r="AA36" i="34"/>
  <c r="AB36" i="34" s="1"/>
  <c r="AC36" i="34" s="1"/>
  <c r="N36" i="34"/>
  <c r="O36" i="34" s="1"/>
  <c r="P36" i="34" s="1"/>
  <c r="AI35" i="34"/>
  <c r="AH35" i="34"/>
  <c r="AG35" i="34"/>
  <c r="AA35" i="34"/>
  <c r="AB35" i="34" s="1"/>
  <c r="AC35" i="34" s="1"/>
  <c r="N35" i="34"/>
  <c r="O35" i="34" s="1"/>
  <c r="P35" i="34" s="1"/>
  <c r="AI34" i="34"/>
  <c r="AH34" i="34"/>
  <c r="AG34" i="34"/>
  <c r="AA34" i="34"/>
  <c r="AB34" i="34" s="1"/>
  <c r="AC34" i="34" s="1"/>
  <c r="N34" i="34"/>
  <c r="O34" i="34" s="1"/>
  <c r="P34" i="34" s="1"/>
  <c r="AI33" i="34"/>
  <c r="AH33" i="34"/>
  <c r="AG33" i="34"/>
  <c r="AA33" i="34"/>
  <c r="AB33" i="34" s="1"/>
  <c r="AC33" i="34" s="1"/>
  <c r="O33" i="34"/>
  <c r="P33" i="34" s="1"/>
  <c r="N33" i="34"/>
  <c r="AI32" i="34"/>
  <c r="AH32" i="34"/>
  <c r="AG32" i="34"/>
  <c r="AA32" i="34"/>
  <c r="AB32" i="34" s="1"/>
  <c r="AC32" i="34" s="1"/>
  <c r="N32" i="34"/>
  <c r="O32" i="34" s="1"/>
  <c r="P32" i="34" s="1"/>
  <c r="AI31" i="34"/>
  <c r="AH31" i="34"/>
  <c r="AG31" i="34"/>
  <c r="AA31" i="34"/>
  <c r="AB31" i="34" s="1"/>
  <c r="AC31" i="34" s="1"/>
  <c r="O31" i="34"/>
  <c r="P31" i="34" s="1"/>
  <c r="N31" i="34"/>
  <c r="AI30" i="34"/>
  <c r="AH30" i="34"/>
  <c r="AG30" i="34"/>
  <c r="AA30" i="34"/>
  <c r="AB30" i="34" s="1"/>
  <c r="AC30" i="34" s="1"/>
  <c r="N30" i="34"/>
  <c r="O30" i="34" s="1"/>
  <c r="P30" i="34" s="1"/>
  <c r="AI29" i="34"/>
  <c r="AH29" i="34"/>
  <c r="AG29" i="34"/>
  <c r="AA29" i="34"/>
  <c r="AB29" i="34" s="1"/>
  <c r="AC29" i="34" s="1"/>
  <c r="N29" i="34"/>
  <c r="O29" i="34" s="1"/>
  <c r="P29" i="34" s="1"/>
  <c r="AI28" i="34"/>
  <c r="AH28" i="34"/>
  <c r="AG28" i="34"/>
  <c r="AA28" i="34"/>
  <c r="AB28" i="34" s="1"/>
  <c r="AC28" i="34" s="1"/>
  <c r="N28" i="34"/>
  <c r="O28" i="34" s="1"/>
  <c r="P28" i="34" s="1"/>
  <c r="AI27" i="34"/>
  <c r="AH27" i="34"/>
  <c r="AG27" i="34"/>
  <c r="AA27" i="34"/>
  <c r="AB27" i="34" s="1"/>
  <c r="AC27" i="34" s="1"/>
  <c r="N27" i="34"/>
  <c r="O27" i="34" s="1"/>
  <c r="P27" i="34" s="1"/>
  <c r="AI26" i="34"/>
  <c r="AH26" i="34"/>
  <c r="AG26" i="34"/>
  <c r="AA26" i="34"/>
  <c r="AB26" i="34" s="1"/>
  <c r="AC26" i="34" s="1"/>
  <c r="O26" i="34"/>
  <c r="P26" i="34" s="1"/>
  <c r="N26" i="34"/>
  <c r="AI25" i="34"/>
  <c r="AH25" i="34"/>
  <c r="AG25" i="34"/>
  <c r="AA25" i="34"/>
  <c r="AB25" i="34" s="1"/>
  <c r="AC25" i="34" s="1"/>
  <c r="O25" i="34"/>
  <c r="P25" i="34" s="1"/>
  <c r="N25" i="34"/>
  <c r="AI24" i="34"/>
  <c r="AH24" i="34"/>
  <c r="AG24" i="34"/>
  <c r="AA24" i="34"/>
  <c r="AB24" i="34" s="1"/>
  <c r="AC24" i="34" s="1"/>
  <c r="N24" i="34"/>
  <c r="O24" i="34" s="1"/>
  <c r="P24" i="34" s="1"/>
  <c r="AI23" i="34"/>
  <c r="AH23" i="34"/>
  <c r="AG23" i="34"/>
  <c r="AB23" i="34"/>
  <c r="AC23" i="34" s="1"/>
  <c r="AA23" i="34"/>
  <c r="N23" i="34"/>
  <c r="O23" i="34" s="1"/>
  <c r="P23" i="34" s="1"/>
  <c r="AI22" i="34"/>
  <c r="AH22" i="34"/>
  <c r="AG22" i="34"/>
  <c r="AB22" i="34"/>
  <c r="AC22" i="34" s="1"/>
  <c r="AA22" i="34"/>
  <c r="O22" i="34"/>
  <c r="P22" i="34" s="1"/>
  <c r="N22" i="34"/>
  <c r="AI21" i="34"/>
  <c r="AH21" i="34"/>
  <c r="AG21" i="34"/>
  <c r="AA21" i="34"/>
  <c r="AB21" i="34" s="1"/>
  <c r="AC21" i="34" s="1"/>
  <c r="O21" i="34"/>
  <c r="P21" i="34" s="1"/>
  <c r="N21" i="34"/>
  <c r="AI20" i="34"/>
  <c r="AH20" i="34"/>
  <c r="AG20" i="34"/>
  <c r="AA20" i="34"/>
  <c r="AB20" i="34" s="1"/>
  <c r="AC20" i="34" s="1"/>
  <c r="O20" i="34"/>
  <c r="P20" i="34" s="1"/>
  <c r="N20" i="34"/>
  <c r="AI19" i="34"/>
  <c r="AH19" i="34"/>
  <c r="AG19" i="34"/>
  <c r="AA19" i="34"/>
  <c r="AB19" i="34" s="1"/>
  <c r="AC19" i="34" s="1"/>
  <c r="O19" i="34"/>
  <c r="P19" i="34" s="1"/>
  <c r="N19" i="34"/>
  <c r="AI18" i="34"/>
  <c r="AH18" i="34"/>
  <c r="AG18" i="34"/>
  <c r="AA18" i="34"/>
  <c r="AB18" i="34" s="1"/>
  <c r="AC18" i="34" s="1"/>
  <c r="N18" i="34"/>
  <c r="O18" i="34" s="1"/>
  <c r="P18" i="34" s="1"/>
  <c r="AI17" i="34"/>
  <c r="AH17" i="34"/>
  <c r="AG17" i="34"/>
  <c r="AA17" i="34"/>
  <c r="AB17" i="34" s="1"/>
  <c r="AC17" i="34" s="1"/>
  <c r="N17" i="34"/>
  <c r="O17" i="34" s="1"/>
  <c r="P17" i="34" s="1"/>
  <c r="AA14" i="34"/>
  <c r="N14" i="34"/>
  <c r="O17" i="35" l="1"/>
  <c r="P17" i="35" s="1"/>
  <c r="C69" i="29"/>
  <c r="D69" i="29"/>
  <c r="C70" i="29"/>
  <c r="D70" i="29"/>
  <c r="C71" i="29"/>
  <c r="D71" i="29"/>
  <c r="C72" i="29"/>
  <c r="D72" i="29"/>
  <c r="C73" i="29"/>
  <c r="D73" i="29"/>
  <c r="C74" i="29"/>
  <c r="D74" i="29"/>
  <c r="C75" i="29"/>
  <c r="D75" i="29"/>
  <c r="C76" i="29"/>
  <c r="D76" i="29"/>
  <c r="C77" i="29"/>
  <c r="D77" i="29"/>
  <c r="C78" i="29"/>
  <c r="D78" i="29"/>
  <c r="C79" i="29"/>
  <c r="D79" i="29"/>
  <c r="C80" i="29"/>
  <c r="D80" i="29"/>
  <c r="C81" i="29"/>
  <c r="D81" i="29"/>
  <c r="C82" i="29"/>
  <c r="D82" i="29"/>
  <c r="C83" i="29"/>
  <c r="D83" i="29"/>
  <c r="C84" i="29"/>
  <c r="D84" i="29"/>
  <c r="C85" i="29"/>
  <c r="D85" i="29"/>
  <c r="C86" i="29"/>
  <c r="D86" i="29"/>
  <c r="C87" i="29"/>
  <c r="D87" i="29"/>
  <c r="C88" i="29"/>
  <c r="D88" i="29"/>
  <c r="C89" i="29"/>
  <c r="D89" i="29"/>
  <c r="C90" i="29"/>
  <c r="D90" i="29"/>
  <c r="C91" i="29"/>
  <c r="D91" i="29"/>
  <c r="C92" i="29"/>
  <c r="D92" i="29"/>
  <c r="C93" i="29"/>
  <c r="D93" i="29"/>
  <c r="C94" i="29"/>
  <c r="D94" i="29"/>
  <c r="C95" i="29"/>
  <c r="D95" i="29"/>
  <c r="C96" i="29"/>
  <c r="D96" i="29"/>
  <c r="C97" i="29"/>
  <c r="D97" i="29"/>
  <c r="C98" i="29"/>
  <c r="D98" i="29"/>
  <c r="C99" i="29"/>
  <c r="D99" i="29"/>
  <c r="C100" i="29"/>
  <c r="D100" i="29"/>
  <c r="C101" i="29"/>
  <c r="D101" i="29"/>
  <c r="C102" i="29"/>
  <c r="D102" i="29"/>
  <c r="C103" i="29"/>
  <c r="D103" i="29"/>
  <c r="C104" i="29"/>
  <c r="D104" i="29"/>
  <c r="C105" i="29"/>
  <c r="D105" i="29"/>
  <c r="C106" i="29"/>
  <c r="D106" i="29"/>
  <c r="C107" i="29"/>
  <c r="D107" i="29"/>
  <c r="C108" i="29"/>
  <c r="D108" i="29"/>
  <c r="C109" i="29"/>
  <c r="D109" i="29"/>
  <c r="C110" i="29"/>
  <c r="D110" i="29"/>
  <c r="C111" i="29"/>
  <c r="D111" i="29"/>
  <c r="C112" i="29"/>
  <c r="D112" i="29"/>
  <c r="C113" i="29"/>
  <c r="D113" i="29"/>
  <c r="C114" i="29"/>
  <c r="D114" i="29"/>
  <c r="C115" i="29"/>
  <c r="D115" i="29"/>
  <c r="C116" i="29"/>
  <c r="D116" i="29"/>
  <c r="C117" i="29"/>
  <c r="D117" i="29"/>
  <c r="C68" i="29"/>
  <c r="D68" i="29"/>
  <c r="D66" i="29"/>
  <c r="C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D29" i="29"/>
  <c r="C29" i="29"/>
  <c r="D28" i="29"/>
  <c r="C28" i="29"/>
  <c r="D27" i="29"/>
  <c r="C27" i="29"/>
  <c r="D26" i="29"/>
  <c r="C26" i="29"/>
  <c r="D25" i="29"/>
  <c r="C25" i="29"/>
  <c r="D24" i="29"/>
  <c r="C24" i="29"/>
  <c r="D23" i="29"/>
  <c r="C23" i="29"/>
  <c r="D22" i="29"/>
  <c r="C22" i="29"/>
  <c r="D21" i="29"/>
  <c r="C21" i="29"/>
  <c r="D20" i="29"/>
  <c r="C20" i="29"/>
  <c r="D19" i="29"/>
  <c r="C19" i="29"/>
  <c r="D18" i="29"/>
  <c r="C18" i="29"/>
  <c r="AI117" i="30"/>
  <c r="AH117" i="30"/>
  <c r="AG117" i="30"/>
  <c r="AA117" i="30"/>
  <c r="AB117" i="30" s="1"/>
  <c r="AC117" i="30" s="1"/>
  <c r="N117" i="30"/>
  <c r="O117" i="30" s="1"/>
  <c r="P117" i="30" s="1"/>
  <c r="AI116" i="30"/>
  <c r="AH116" i="30"/>
  <c r="AG116" i="30"/>
  <c r="AA116" i="30"/>
  <c r="AB116" i="30" s="1"/>
  <c r="AC116" i="30" s="1"/>
  <c r="N116" i="30"/>
  <c r="O116" i="30" s="1"/>
  <c r="P116" i="30" s="1"/>
  <c r="AI115" i="30"/>
  <c r="AH115" i="30"/>
  <c r="AG115" i="30"/>
  <c r="AA115" i="30"/>
  <c r="AB115" i="30" s="1"/>
  <c r="AC115" i="30" s="1"/>
  <c r="N115" i="30"/>
  <c r="O115" i="30" s="1"/>
  <c r="P115" i="30" s="1"/>
  <c r="AI114" i="30"/>
  <c r="AH114" i="30"/>
  <c r="AG114" i="30"/>
  <c r="AA114" i="30"/>
  <c r="AB114" i="30" s="1"/>
  <c r="AC114" i="30" s="1"/>
  <c r="N114" i="30"/>
  <c r="O114" i="30" s="1"/>
  <c r="P114" i="30" s="1"/>
  <c r="AI113" i="30"/>
  <c r="AH113" i="30"/>
  <c r="AG113" i="30"/>
  <c r="AA113" i="30"/>
  <c r="AB113" i="30" s="1"/>
  <c r="AC113" i="30" s="1"/>
  <c r="N113" i="30"/>
  <c r="O113" i="30" s="1"/>
  <c r="P113" i="30" s="1"/>
  <c r="AI112" i="30"/>
  <c r="AH112" i="30"/>
  <c r="AG112" i="30"/>
  <c r="AA112" i="30"/>
  <c r="AB112" i="30" s="1"/>
  <c r="AC112" i="30" s="1"/>
  <c r="N112" i="30"/>
  <c r="O112" i="30" s="1"/>
  <c r="P112" i="30" s="1"/>
  <c r="AI111" i="30"/>
  <c r="AH111" i="30"/>
  <c r="AG111" i="30"/>
  <c r="AA111" i="30"/>
  <c r="AB111" i="30" s="1"/>
  <c r="AC111" i="30" s="1"/>
  <c r="N111" i="30"/>
  <c r="O111" i="30" s="1"/>
  <c r="P111" i="30" s="1"/>
  <c r="AI110" i="30"/>
  <c r="AH110" i="30"/>
  <c r="AG110" i="30"/>
  <c r="AA110" i="30"/>
  <c r="AB110" i="30" s="1"/>
  <c r="AC110" i="30" s="1"/>
  <c r="N110" i="30"/>
  <c r="O110" i="30" s="1"/>
  <c r="P110" i="30" s="1"/>
  <c r="AI109" i="30"/>
  <c r="AH109" i="30"/>
  <c r="AG109" i="30"/>
  <c r="AA109" i="30"/>
  <c r="AB109" i="30" s="1"/>
  <c r="AC109" i="30" s="1"/>
  <c r="N109" i="30"/>
  <c r="O109" i="30" s="1"/>
  <c r="P109" i="30" s="1"/>
  <c r="AI108" i="30"/>
  <c r="AH108" i="30"/>
  <c r="AG108" i="30"/>
  <c r="AA108" i="30"/>
  <c r="AB108" i="30" s="1"/>
  <c r="AC108" i="30" s="1"/>
  <c r="N108" i="30"/>
  <c r="O108" i="30" s="1"/>
  <c r="P108" i="30" s="1"/>
  <c r="AI107" i="30"/>
  <c r="AH107" i="30"/>
  <c r="AG107" i="30"/>
  <c r="AA107" i="30"/>
  <c r="AB107" i="30" s="1"/>
  <c r="AC107" i="30" s="1"/>
  <c r="N107" i="30"/>
  <c r="O107" i="30" s="1"/>
  <c r="P107" i="30" s="1"/>
  <c r="AI106" i="30"/>
  <c r="AH106" i="30"/>
  <c r="AG106" i="30"/>
  <c r="AA106" i="30"/>
  <c r="AB106" i="30" s="1"/>
  <c r="AC106" i="30" s="1"/>
  <c r="N106" i="30"/>
  <c r="O106" i="30" s="1"/>
  <c r="P106" i="30" s="1"/>
  <c r="AI105" i="30"/>
  <c r="AH105" i="30"/>
  <c r="AG105" i="30"/>
  <c r="AA105" i="30"/>
  <c r="AB105" i="30" s="1"/>
  <c r="AC105" i="30" s="1"/>
  <c r="N105" i="30"/>
  <c r="O105" i="30" s="1"/>
  <c r="P105" i="30" s="1"/>
  <c r="AI104" i="30"/>
  <c r="AH104" i="30"/>
  <c r="AG104" i="30"/>
  <c r="AA104" i="30"/>
  <c r="AB104" i="30" s="1"/>
  <c r="AC104" i="30" s="1"/>
  <c r="N104" i="30"/>
  <c r="O104" i="30" s="1"/>
  <c r="P104" i="30" s="1"/>
  <c r="AI103" i="30"/>
  <c r="AH103" i="30"/>
  <c r="AG103" i="30"/>
  <c r="AA103" i="30"/>
  <c r="AB103" i="30" s="1"/>
  <c r="AC103" i="30" s="1"/>
  <c r="N103" i="30"/>
  <c r="O103" i="30" s="1"/>
  <c r="P103" i="30" s="1"/>
  <c r="AI102" i="30"/>
  <c r="AH102" i="30"/>
  <c r="AG102" i="30"/>
  <c r="AA102" i="30"/>
  <c r="AB102" i="30" s="1"/>
  <c r="AC102" i="30" s="1"/>
  <c r="N102" i="30"/>
  <c r="O102" i="30" s="1"/>
  <c r="P102" i="30" s="1"/>
  <c r="AI101" i="30"/>
  <c r="AH101" i="30"/>
  <c r="AG101" i="30"/>
  <c r="AA101" i="30"/>
  <c r="AB101" i="30" s="1"/>
  <c r="AC101" i="30" s="1"/>
  <c r="N101" i="30"/>
  <c r="O101" i="30" s="1"/>
  <c r="P101" i="30" s="1"/>
  <c r="AI100" i="30"/>
  <c r="AH100" i="30"/>
  <c r="AG100" i="30"/>
  <c r="AA100" i="30"/>
  <c r="AB100" i="30" s="1"/>
  <c r="AC100" i="30" s="1"/>
  <c r="N100" i="30"/>
  <c r="O100" i="30" s="1"/>
  <c r="P100" i="30" s="1"/>
  <c r="AI99" i="30"/>
  <c r="AH99" i="30"/>
  <c r="AG99" i="30"/>
  <c r="AA99" i="30"/>
  <c r="AB99" i="30" s="1"/>
  <c r="AC99" i="30" s="1"/>
  <c r="N99" i="30"/>
  <c r="O99" i="30" s="1"/>
  <c r="P99" i="30" s="1"/>
  <c r="AI98" i="30"/>
  <c r="AH98" i="30"/>
  <c r="AG98" i="30"/>
  <c r="AA98" i="30"/>
  <c r="AB98" i="30" s="1"/>
  <c r="AC98" i="30" s="1"/>
  <c r="N98" i="30"/>
  <c r="O98" i="30" s="1"/>
  <c r="P98" i="30" s="1"/>
  <c r="AI97" i="30"/>
  <c r="AH97" i="30"/>
  <c r="AG97" i="30"/>
  <c r="AA97" i="30"/>
  <c r="AB97" i="30" s="1"/>
  <c r="AC97" i="30" s="1"/>
  <c r="N97" i="30"/>
  <c r="O97" i="30" s="1"/>
  <c r="P97" i="30" s="1"/>
  <c r="AI96" i="30"/>
  <c r="AH96" i="30"/>
  <c r="AG96" i="30"/>
  <c r="AA96" i="30"/>
  <c r="AB96" i="30" s="1"/>
  <c r="AC96" i="30" s="1"/>
  <c r="N96" i="30"/>
  <c r="O96" i="30" s="1"/>
  <c r="P96" i="30" s="1"/>
  <c r="AI95" i="30"/>
  <c r="AH95" i="30"/>
  <c r="AG95" i="30"/>
  <c r="AA95" i="30"/>
  <c r="AB95" i="30" s="1"/>
  <c r="AC95" i="30" s="1"/>
  <c r="N95" i="30"/>
  <c r="O95" i="30" s="1"/>
  <c r="P95" i="30" s="1"/>
  <c r="AI94" i="30"/>
  <c r="AH94" i="30"/>
  <c r="AG94" i="30"/>
  <c r="AA94" i="30"/>
  <c r="AB94" i="30" s="1"/>
  <c r="AC94" i="30" s="1"/>
  <c r="N94" i="30"/>
  <c r="O94" i="30" s="1"/>
  <c r="P94" i="30" s="1"/>
  <c r="AI93" i="30"/>
  <c r="AH93" i="30"/>
  <c r="AG93" i="30"/>
  <c r="AA93" i="30"/>
  <c r="AB93" i="30" s="1"/>
  <c r="AC93" i="30" s="1"/>
  <c r="N93" i="30"/>
  <c r="O93" i="30" s="1"/>
  <c r="P93" i="30" s="1"/>
  <c r="AI92" i="30"/>
  <c r="AH92" i="30"/>
  <c r="AG92" i="30"/>
  <c r="AA92" i="30"/>
  <c r="AB92" i="30" s="1"/>
  <c r="AC92" i="30" s="1"/>
  <c r="N92" i="30"/>
  <c r="O92" i="30" s="1"/>
  <c r="P92" i="30" s="1"/>
  <c r="AI91" i="30"/>
  <c r="AH91" i="30"/>
  <c r="AG91" i="30"/>
  <c r="AA91" i="30"/>
  <c r="AB91" i="30" s="1"/>
  <c r="AC91" i="30" s="1"/>
  <c r="N91" i="30"/>
  <c r="O91" i="30" s="1"/>
  <c r="P91" i="30" s="1"/>
  <c r="AI90" i="30"/>
  <c r="AH90" i="30"/>
  <c r="AG90" i="30"/>
  <c r="AA90" i="30"/>
  <c r="AB90" i="30" s="1"/>
  <c r="AC90" i="30" s="1"/>
  <c r="N90" i="30"/>
  <c r="O90" i="30" s="1"/>
  <c r="P90" i="30" s="1"/>
  <c r="AI89" i="30"/>
  <c r="AH89" i="30"/>
  <c r="AG89" i="30"/>
  <c r="AA89" i="30"/>
  <c r="AB89" i="30" s="1"/>
  <c r="AC89" i="30" s="1"/>
  <c r="N89" i="30"/>
  <c r="O89" i="30" s="1"/>
  <c r="P89" i="30" s="1"/>
  <c r="AI88" i="30"/>
  <c r="AH88" i="30"/>
  <c r="AG88" i="30"/>
  <c r="AB88" i="30"/>
  <c r="AC88" i="30" s="1"/>
  <c r="AA88" i="30"/>
  <c r="N88" i="30"/>
  <c r="O88" i="30" s="1"/>
  <c r="P88" i="30" s="1"/>
  <c r="AI87" i="30"/>
  <c r="AH87" i="30"/>
  <c r="AG87" i="30"/>
  <c r="AA87" i="30"/>
  <c r="AB87" i="30" s="1"/>
  <c r="AC87" i="30" s="1"/>
  <c r="N87" i="30"/>
  <c r="O87" i="30" s="1"/>
  <c r="P87" i="30" s="1"/>
  <c r="AI86" i="30"/>
  <c r="AH86" i="30"/>
  <c r="AG86" i="30"/>
  <c r="AA86" i="30"/>
  <c r="AB86" i="30" s="1"/>
  <c r="AC86" i="30" s="1"/>
  <c r="N86" i="30"/>
  <c r="O86" i="30" s="1"/>
  <c r="P86" i="30" s="1"/>
  <c r="AI85" i="30"/>
  <c r="AH85" i="30"/>
  <c r="AG85" i="30"/>
  <c r="AA85" i="30"/>
  <c r="AB85" i="30" s="1"/>
  <c r="AC85" i="30" s="1"/>
  <c r="N85" i="30"/>
  <c r="O85" i="30" s="1"/>
  <c r="P85" i="30" s="1"/>
  <c r="AI84" i="30"/>
  <c r="AH84" i="30"/>
  <c r="AG84" i="30"/>
  <c r="AA84" i="30"/>
  <c r="AB84" i="30" s="1"/>
  <c r="AC84" i="30" s="1"/>
  <c r="N84" i="30"/>
  <c r="O84" i="30" s="1"/>
  <c r="P84" i="30" s="1"/>
  <c r="AI83" i="30"/>
  <c r="AH83" i="30"/>
  <c r="AG83" i="30"/>
  <c r="AA83" i="30"/>
  <c r="AB83" i="30" s="1"/>
  <c r="AC83" i="30" s="1"/>
  <c r="N83" i="30"/>
  <c r="O83" i="30" s="1"/>
  <c r="P83" i="30" s="1"/>
  <c r="AI82" i="30"/>
  <c r="AH82" i="30"/>
  <c r="AG82" i="30"/>
  <c r="AA82" i="30"/>
  <c r="AB82" i="30" s="1"/>
  <c r="AC82" i="30" s="1"/>
  <c r="N82" i="30"/>
  <c r="O82" i="30" s="1"/>
  <c r="P82" i="30" s="1"/>
  <c r="AI81" i="30"/>
  <c r="AH81" i="30"/>
  <c r="AG81" i="30"/>
  <c r="AA81" i="30"/>
  <c r="AB81" i="30" s="1"/>
  <c r="AC81" i="30" s="1"/>
  <c r="N81" i="30"/>
  <c r="O81" i="30" s="1"/>
  <c r="P81" i="30" s="1"/>
  <c r="AI80" i="30"/>
  <c r="AH80" i="30"/>
  <c r="AG80" i="30"/>
  <c r="AB80" i="30"/>
  <c r="AC80" i="30" s="1"/>
  <c r="AA80" i="30"/>
  <c r="N80" i="30"/>
  <c r="O80" i="30" s="1"/>
  <c r="P80" i="30" s="1"/>
  <c r="AI79" i="30"/>
  <c r="AH79" i="30"/>
  <c r="AG79" i="30"/>
  <c r="AA79" i="30"/>
  <c r="N79" i="30"/>
  <c r="AI78" i="30"/>
  <c r="AH78" i="30"/>
  <c r="AG78" i="30"/>
  <c r="AA78" i="30"/>
  <c r="N78" i="30"/>
  <c r="AI77" i="30"/>
  <c r="AH77" i="30"/>
  <c r="AG77" i="30"/>
  <c r="AA77" i="30"/>
  <c r="N77" i="30"/>
  <c r="AI76" i="30"/>
  <c r="AH76" i="30"/>
  <c r="AG76" i="30"/>
  <c r="AA76" i="30"/>
  <c r="N76" i="30"/>
  <c r="AI75" i="30"/>
  <c r="AH75" i="30"/>
  <c r="AG75" i="30"/>
  <c r="AA75" i="30"/>
  <c r="N75" i="30"/>
  <c r="AI74" i="30"/>
  <c r="AH74" i="30"/>
  <c r="AG74" i="30"/>
  <c r="AA74" i="30"/>
  <c r="N74" i="30"/>
  <c r="AI73" i="30"/>
  <c r="AH73" i="30"/>
  <c r="AG73" i="30"/>
  <c r="AA73" i="30"/>
  <c r="N73" i="30"/>
  <c r="AI72" i="30"/>
  <c r="AH72" i="30"/>
  <c r="AG72" i="30"/>
  <c r="AA72" i="30"/>
  <c r="N72" i="30"/>
  <c r="AI71" i="30"/>
  <c r="AH71" i="30"/>
  <c r="AG71" i="30"/>
  <c r="AA71" i="30"/>
  <c r="N71" i="30"/>
  <c r="AI70" i="30"/>
  <c r="AH70" i="30"/>
  <c r="AG70" i="30"/>
  <c r="AA70" i="30"/>
  <c r="N70" i="30"/>
  <c r="AI69" i="30"/>
  <c r="AH69" i="30"/>
  <c r="AG69" i="30"/>
  <c r="AA69" i="30"/>
  <c r="N69" i="30"/>
  <c r="AI68" i="30"/>
  <c r="AH68" i="30"/>
  <c r="AG68" i="30"/>
  <c r="AA68" i="30"/>
  <c r="N68" i="30"/>
  <c r="AI66" i="30"/>
  <c r="AH66" i="30"/>
  <c r="AG66" i="30"/>
  <c r="AA66" i="30"/>
  <c r="AB66" i="30" s="1"/>
  <c r="AC66" i="30" s="1"/>
  <c r="N66" i="30"/>
  <c r="O66" i="30" s="1"/>
  <c r="P66" i="30" s="1"/>
  <c r="AI65" i="30"/>
  <c r="AH65" i="30"/>
  <c r="AG65" i="30"/>
  <c r="AA65" i="30"/>
  <c r="AB65" i="30" s="1"/>
  <c r="AC65" i="30" s="1"/>
  <c r="N65" i="30"/>
  <c r="O65" i="30" s="1"/>
  <c r="P65" i="30" s="1"/>
  <c r="AI64" i="30"/>
  <c r="AH64" i="30"/>
  <c r="AG64" i="30"/>
  <c r="AA64" i="30"/>
  <c r="AB64" i="30" s="1"/>
  <c r="AC64" i="30" s="1"/>
  <c r="N64" i="30"/>
  <c r="O64" i="30" s="1"/>
  <c r="P64" i="30" s="1"/>
  <c r="AI63" i="30"/>
  <c r="AH63" i="30"/>
  <c r="AG63" i="30"/>
  <c r="AA63" i="30"/>
  <c r="AB63" i="30" s="1"/>
  <c r="AC63" i="30" s="1"/>
  <c r="N63" i="30"/>
  <c r="O63" i="30" s="1"/>
  <c r="P63" i="30" s="1"/>
  <c r="AI62" i="30"/>
  <c r="AH62" i="30"/>
  <c r="AG62" i="30"/>
  <c r="AA62" i="30"/>
  <c r="AB62" i="30" s="1"/>
  <c r="AC62" i="30" s="1"/>
  <c r="N62" i="30"/>
  <c r="O62" i="30" s="1"/>
  <c r="P62" i="30" s="1"/>
  <c r="AI61" i="30"/>
  <c r="AH61" i="30"/>
  <c r="AG61" i="30"/>
  <c r="AA61" i="30"/>
  <c r="AB61" i="30" s="1"/>
  <c r="AC61" i="30" s="1"/>
  <c r="N61" i="30"/>
  <c r="O61" i="30" s="1"/>
  <c r="P61" i="30" s="1"/>
  <c r="AI60" i="30"/>
  <c r="AH60" i="30"/>
  <c r="AG60" i="30"/>
  <c r="AA60" i="30"/>
  <c r="AB60" i="30" s="1"/>
  <c r="AC60" i="30" s="1"/>
  <c r="N60" i="30"/>
  <c r="O60" i="30" s="1"/>
  <c r="P60" i="30" s="1"/>
  <c r="AI59" i="30"/>
  <c r="AH59" i="30"/>
  <c r="AG59" i="30"/>
  <c r="AA59" i="30"/>
  <c r="AB59" i="30" s="1"/>
  <c r="AC59" i="30" s="1"/>
  <c r="N59" i="30"/>
  <c r="O59" i="30" s="1"/>
  <c r="P59" i="30" s="1"/>
  <c r="AI58" i="30"/>
  <c r="AH58" i="30"/>
  <c r="AG58" i="30"/>
  <c r="AA58" i="30"/>
  <c r="AB58" i="30" s="1"/>
  <c r="AC58" i="30" s="1"/>
  <c r="N58" i="30"/>
  <c r="O58" i="30" s="1"/>
  <c r="P58" i="30" s="1"/>
  <c r="AI57" i="30"/>
  <c r="AH57" i="30"/>
  <c r="AG57" i="30"/>
  <c r="AA57" i="30"/>
  <c r="AB57" i="30" s="1"/>
  <c r="AC57" i="30" s="1"/>
  <c r="N57" i="30"/>
  <c r="O57" i="30" s="1"/>
  <c r="P57" i="30" s="1"/>
  <c r="AI56" i="30"/>
  <c r="AH56" i="30"/>
  <c r="AG56" i="30"/>
  <c r="AA56" i="30"/>
  <c r="AB56" i="30" s="1"/>
  <c r="AC56" i="30" s="1"/>
  <c r="N56" i="30"/>
  <c r="O56" i="30" s="1"/>
  <c r="P56" i="30" s="1"/>
  <c r="AI55" i="30"/>
  <c r="AH55" i="30"/>
  <c r="AG55" i="30"/>
  <c r="AA55" i="30"/>
  <c r="AB55" i="30" s="1"/>
  <c r="AC55" i="30" s="1"/>
  <c r="N55" i="30"/>
  <c r="O55" i="30" s="1"/>
  <c r="P55" i="30" s="1"/>
  <c r="AI54" i="30"/>
  <c r="AH54" i="30"/>
  <c r="AG54" i="30"/>
  <c r="AA54" i="30"/>
  <c r="AB54" i="30" s="1"/>
  <c r="AC54" i="30" s="1"/>
  <c r="N54" i="30"/>
  <c r="O54" i="30" s="1"/>
  <c r="P54" i="30" s="1"/>
  <c r="AI53" i="30"/>
  <c r="AH53" i="30"/>
  <c r="AG53" i="30"/>
  <c r="AA53" i="30"/>
  <c r="AB53" i="30" s="1"/>
  <c r="AC53" i="30" s="1"/>
  <c r="N53" i="30"/>
  <c r="O53" i="30" s="1"/>
  <c r="P53" i="30" s="1"/>
  <c r="AI52" i="30"/>
  <c r="AH52" i="30"/>
  <c r="AG52" i="30"/>
  <c r="AA52" i="30"/>
  <c r="AB52" i="30" s="1"/>
  <c r="AC52" i="30" s="1"/>
  <c r="N52" i="30"/>
  <c r="O52" i="30" s="1"/>
  <c r="P52" i="30" s="1"/>
  <c r="AI51" i="30"/>
  <c r="AH51" i="30"/>
  <c r="AG51" i="30"/>
  <c r="AA51" i="30"/>
  <c r="AB51" i="30" s="1"/>
  <c r="AC51" i="30" s="1"/>
  <c r="N51" i="30"/>
  <c r="O51" i="30" s="1"/>
  <c r="P51" i="30" s="1"/>
  <c r="AI50" i="30"/>
  <c r="AH50" i="30"/>
  <c r="AG50" i="30"/>
  <c r="AA50" i="30"/>
  <c r="AB50" i="30" s="1"/>
  <c r="AC50" i="30" s="1"/>
  <c r="N50" i="30"/>
  <c r="O50" i="30" s="1"/>
  <c r="P50" i="30" s="1"/>
  <c r="AI49" i="30"/>
  <c r="AH49" i="30"/>
  <c r="AG49" i="30"/>
  <c r="AA49" i="30"/>
  <c r="AB49" i="30" s="1"/>
  <c r="AC49" i="30" s="1"/>
  <c r="N49" i="30"/>
  <c r="O49" i="30" s="1"/>
  <c r="P49" i="30" s="1"/>
  <c r="AI48" i="30"/>
  <c r="AH48" i="30"/>
  <c r="AG48" i="30"/>
  <c r="AA48" i="30"/>
  <c r="AB48" i="30" s="1"/>
  <c r="AC48" i="30" s="1"/>
  <c r="N48" i="30"/>
  <c r="O48" i="30" s="1"/>
  <c r="P48" i="30" s="1"/>
  <c r="AI47" i="30"/>
  <c r="AH47" i="30"/>
  <c r="AG47" i="30"/>
  <c r="AB47" i="30"/>
  <c r="AC47" i="30" s="1"/>
  <c r="AA47" i="30"/>
  <c r="N47" i="30"/>
  <c r="O47" i="30" s="1"/>
  <c r="P47" i="30" s="1"/>
  <c r="AI46" i="30"/>
  <c r="AH46" i="30"/>
  <c r="AG46" i="30"/>
  <c r="AA46" i="30"/>
  <c r="AB46" i="30" s="1"/>
  <c r="AC46" i="30" s="1"/>
  <c r="N46" i="30"/>
  <c r="O46" i="30" s="1"/>
  <c r="P46" i="30" s="1"/>
  <c r="AI45" i="30"/>
  <c r="AH45" i="30"/>
  <c r="AG45" i="30"/>
  <c r="AA45" i="30"/>
  <c r="AB45" i="30" s="1"/>
  <c r="AC45" i="30" s="1"/>
  <c r="N45" i="30"/>
  <c r="O45" i="30" s="1"/>
  <c r="P45" i="30" s="1"/>
  <c r="AI44" i="30"/>
  <c r="AH44" i="30"/>
  <c r="AG44" i="30"/>
  <c r="AA44" i="30"/>
  <c r="AB44" i="30" s="1"/>
  <c r="AC44" i="30" s="1"/>
  <c r="N44" i="30"/>
  <c r="O44" i="30" s="1"/>
  <c r="P44" i="30" s="1"/>
  <c r="AI43" i="30"/>
  <c r="AH43" i="30"/>
  <c r="AG43" i="30"/>
  <c r="AA43" i="30"/>
  <c r="AB43" i="30" s="1"/>
  <c r="AC43" i="30" s="1"/>
  <c r="N43" i="30"/>
  <c r="O43" i="30" s="1"/>
  <c r="P43" i="30" s="1"/>
  <c r="AI42" i="30"/>
  <c r="AH42" i="30"/>
  <c r="AG42" i="30"/>
  <c r="AA42" i="30"/>
  <c r="AB42" i="30" s="1"/>
  <c r="AC42" i="30" s="1"/>
  <c r="N42" i="30"/>
  <c r="O42" i="30" s="1"/>
  <c r="P42" i="30" s="1"/>
  <c r="AI41" i="30"/>
  <c r="AH41" i="30"/>
  <c r="AG41" i="30"/>
  <c r="AA41" i="30"/>
  <c r="AB41" i="30" s="1"/>
  <c r="AC41" i="30" s="1"/>
  <c r="N41" i="30"/>
  <c r="O41" i="30" s="1"/>
  <c r="P41" i="30" s="1"/>
  <c r="AI40" i="30"/>
  <c r="AH40" i="30"/>
  <c r="AG40" i="30"/>
  <c r="AA40" i="30"/>
  <c r="AB40" i="30" s="1"/>
  <c r="AC40" i="30" s="1"/>
  <c r="N40" i="30"/>
  <c r="O40" i="30" s="1"/>
  <c r="P40" i="30" s="1"/>
  <c r="AI39" i="30"/>
  <c r="AH39" i="30"/>
  <c r="AG39" i="30"/>
  <c r="AA39" i="30"/>
  <c r="AB39" i="30" s="1"/>
  <c r="AC39" i="30" s="1"/>
  <c r="N39" i="30"/>
  <c r="O39" i="30" s="1"/>
  <c r="P39" i="30" s="1"/>
  <c r="AI38" i="30"/>
  <c r="AH38" i="30"/>
  <c r="AG38" i="30"/>
  <c r="AA38" i="30"/>
  <c r="AB38" i="30" s="1"/>
  <c r="AC38" i="30" s="1"/>
  <c r="N38" i="30"/>
  <c r="O38" i="30" s="1"/>
  <c r="P38" i="30" s="1"/>
  <c r="AI37" i="30"/>
  <c r="AH37" i="30"/>
  <c r="AG37" i="30"/>
  <c r="AA37" i="30"/>
  <c r="AB37" i="30" s="1"/>
  <c r="AC37" i="30" s="1"/>
  <c r="N37" i="30"/>
  <c r="O37" i="30" s="1"/>
  <c r="P37" i="30" s="1"/>
  <c r="AI36" i="30"/>
  <c r="AH36" i="30"/>
  <c r="AG36" i="30"/>
  <c r="AA36" i="30"/>
  <c r="AB36" i="30" s="1"/>
  <c r="AC36" i="30" s="1"/>
  <c r="N36" i="30"/>
  <c r="O36" i="30" s="1"/>
  <c r="P36" i="30" s="1"/>
  <c r="AI35" i="30"/>
  <c r="AH35" i="30"/>
  <c r="AG35" i="30"/>
  <c r="AA35" i="30"/>
  <c r="AB35" i="30" s="1"/>
  <c r="AC35" i="30" s="1"/>
  <c r="N35" i="30"/>
  <c r="O35" i="30" s="1"/>
  <c r="P35" i="30" s="1"/>
  <c r="AI34" i="30"/>
  <c r="AH34" i="30"/>
  <c r="AG34" i="30"/>
  <c r="AA34" i="30"/>
  <c r="AB34" i="30" s="1"/>
  <c r="AC34" i="30" s="1"/>
  <c r="N34" i="30"/>
  <c r="O34" i="30" s="1"/>
  <c r="P34" i="30" s="1"/>
  <c r="AI33" i="30"/>
  <c r="AH33" i="30"/>
  <c r="AG33" i="30"/>
  <c r="AA33" i="30"/>
  <c r="AB33" i="30" s="1"/>
  <c r="AC33" i="30" s="1"/>
  <c r="N33" i="30"/>
  <c r="O33" i="30" s="1"/>
  <c r="P33" i="30" s="1"/>
  <c r="AI32" i="30"/>
  <c r="AH32" i="30"/>
  <c r="AG32" i="30"/>
  <c r="AA32" i="30"/>
  <c r="AB32" i="30" s="1"/>
  <c r="AC32" i="30" s="1"/>
  <c r="N32" i="30"/>
  <c r="O32" i="30" s="1"/>
  <c r="P32" i="30" s="1"/>
  <c r="AI31" i="30"/>
  <c r="AH31" i="30"/>
  <c r="AG31" i="30"/>
  <c r="AA31" i="30"/>
  <c r="AB31" i="30" s="1"/>
  <c r="AC31" i="30" s="1"/>
  <c r="N31" i="30"/>
  <c r="O31" i="30" s="1"/>
  <c r="P31" i="30" s="1"/>
  <c r="AI30" i="30"/>
  <c r="AH30" i="30"/>
  <c r="AG30" i="30"/>
  <c r="AA30" i="30"/>
  <c r="AB30" i="30" s="1"/>
  <c r="AC30" i="30" s="1"/>
  <c r="N30" i="30"/>
  <c r="O30" i="30" s="1"/>
  <c r="P30" i="30" s="1"/>
  <c r="AI29" i="30"/>
  <c r="AH29" i="30"/>
  <c r="AG29" i="30"/>
  <c r="AA29" i="30"/>
  <c r="AB29" i="30" s="1"/>
  <c r="AC29" i="30" s="1"/>
  <c r="N29" i="30"/>
  <c r="O29" i="30" s="1"/>
  <c r="P29" i="30" s="1"/>
  <c r="AI28" i="30"/>
  <c r="AH28" i="30"/>
  <c r="AG28" i="30"/>
  <c r="AA28" i="30"/>
  <c r="AB28" i="30" s="1"/>
  <c r="AC28" i="30" s="1"/>
  <c r="N28" i="30"/>
  <c r="O28" i="30" s="1"/>
  <c r="P28" i="30" s="1"/>
  <c r="AI27" i="30"/>
  <c r="AH27" i="30"/>
  <c r="AG27" i="30"/>
  <c r="AA27" i="30"/>
  <c r="AB27" i="30" s="1"/>
  <c r="AC27" i="30" s="1"/>
  <c r="N27" i="30"/>
  <c r="O27" i="30" s="1"/>
  <c r="P27" i="30" s="1"/>
  <c r="AI26" i="30"/>
  <c r="AH26" i="30"/>
  <c r="AG26" i="30"/>
  <c r="AA26" i="30"/>
  <c r="AB26" i="30" s="1"/>
  <c r="AC26" i="30" s="1"/>
  <c r="N26" i="30"/>
  <c r="O26" i="30" s="1"/>
  <c r="P26" i="30" s="1"/>
  <c r="AI25" i="30"/>
  <c r="AH25" i="30"/>
  <c r="AG25" i="30"/>
  <c r="AA25" i="30"/>
  <c r="AB25" i="30" s="1"/>
  <c r="AC25" i="30" s="1"/>
  <c r="N25" i="30"/>
  <c r="O25" i="30" s="1"/>
  <c r="P25" i="30" s="1"/>
  <c r="AI24" i="30"/>
  <c r="AH24" i="30"/>
  <c r="AG24" i="30"/>
  <c r="AA24" i="30"/>
  <c r="N24" i="30"/>
  <c r="AI23" i="30"/>
  <c r="AH23" i="30"/>
  <c r="AG23" i="30"/>
  <c r="AA23" i="30"/>
  <c r="N23" i="30"/>
  <c r="AI22" i="30"/>
  <c r="AH22" i="30"/>
  <c r="AG22" i="30"/>
  <c r="AA22" i="30"/>
  <c r="N22" i="30"/>
  <c r="AI21" i="30"/>
  <c r="AH21" i="30"/>
  <c r="AG21" i="30"/>
  <c r="AA21" i="30"/>
  <c r="N21" i="30"/>
  <c r="AI20" i="30"/>
  <c r="AH20" i="30"/>
  <c r="AG20" i="30"/>
  <c r="AA20" i="30"/>
  <c r="N20" i="30"/>
  <c r="AI19" i="30"/>
  <c r="AH19" i="30"/>
  <c r="AG19" i="30"/>
  <c r="AA19" i="30"/>
  <c r="N19" i="30"/>
  <c r="AI18" i="30"/>
  <c r="AH18" i="30"/>
  <c r="AG18" i="30"/>
  <c r="AA18" i="30"/>
  <c r="N18" i="30"/>
  <c r="G16" i="26"/>
  <c r="AA7" i="34" s="1"/>
  <c r="AA7" i="30" l="1"/>
  <c r="AA7" i="35"/>
  <c r="I6" i="29"/>
  <c r="G21" i="31"/>
  <c r="X147" i="31" s="1"/>
  <c r="I51" i="26"/>
  <c r="H52" i="26" s="1"/>
  <c r="F53" i="26"/>
  <c r="AA147" i="31" l="1"/>
  <c r="AB147" i="31"/>
  <c r="AC147" i="31"/>
  <c r="P147" i="31"/>
  <c r="T147" i="31"/>
  <c r="W147" i="31"/>
  <c r="Y147" i="31"/>
  <c r="R147" i="31"/>
  <c r="Q147" i="31"/>
  <c r="U147" i="31"/>
  <c r="V147" i="31"/>
  <c r="N17" i="30"/>
  <c r="AF120" i="35" a="1"/>
  <c r="AF120" i="35" s="1"/>
  <c r="AE120" i="35" a="1"/>
  <c r="AE120" i="35" s="1"/>
  <c r="AD120" i="35" a="1"/>
  <c r="AD120" i="35" s="1"/>
  <c r="Z120" i="35" a="1"/>
  <c r="Z120" i="35" s="1"/>
  <c r="Y120" i="35" a="1"/>
  <c r="Y120" i="35" s="1"/>
  <c r="X120" i="35" a="1"/>
  <c r="X120" i="35" s="1"/>
  <c r="W120" i="35" a="1"/>
  <c r="W120" i="35" s="1"/>
  <c r="V120" i="35" a="1"/>
  <c r="V120" i="35" s="1"/>
  <c r="U120" i="35" a="1"/>
  <c r="U120" i="35" s="1"/>
  <c r="T120" i="35" a="1"/>
  <c r="T120" i="35" s="1"/>
  <c r="S120" i="35" a="1"/>
  <c r="S120" i="35" s="1"/>
  <c r="R120" i="35" a="1"/>
  <c r="R120" i="35" s="1"/>
  <c r="Q120" i="35" a="1"/>
  <c r="Q120" i="35" s="1"/>
  <c r="M120" i="35" a="1"/>
  <c r="M120" i="35" s="1"/>
  <c r="L120" i="35" a="1"/>
  <c r="L120" i="35" s="1"/>
  <c r="K120" i="35" a="1"/>
  <c r="K120" i="35" s="1"/>
  <c r="J120" i="35" a="1"/>
  <c r="J120" i="35" s="1"/>
  <c r="I120" i="35" a="1"/>
  <c r="I120" i="35" s="1"/>
  <c r="H120" i="35" a="1"/>
  <c r="H120" i="35" s="1"/>
  <c r="G120" i="35" a="1"/>
  <c r="G120" i="35" s="1"/>
  <c r="F120" i="35" a="1"/>
  <c r="F120" i="35" s="1"/>
  <c r="E120" i="35" a="1"/>
  <c r="E120" i="35" s="1"/>
  <c r="D120" i="35" a="1"/>
  <c r="D120" i="35" s="1"/>
  <c r="AM118" i="35"/>
  <c r="H7" i="35"/>
  <c r="AA6" i="35"/>
  <c r="P6" i="35"/>
  <c r="H6" i="35"/>
  <c r="AF120" i="34" a="1"/>
  <c r="AF120" i="34" s="1"/>
  <c r="AE120" i="34" a="1"/>
  <c r="AE120" i="34" s="1"/>
  <c r="AD120" i="34" a="1"/>
  <c r="AD120" i="34" s="1"/>
  <c r="Z120" i="34" a="1"/>
  <c r="Z120" i="34" s="1"/>
  <c r="Y120" i="34" a="1"/>
  <c r="Y120" i="34" s="1"/>
  <c r="X120" i="34" a="1"/>
  <c r="X120" i="34" s="1"/>
  <c r="W120" i="34" a="1"/>
  <c r="W120" i="34" s="1"/>
  <c r="V120" i="34" a="1"/>
  <c r="V120" i="34" s="1"/>
  <c r="U120" i="34" a="1"/>
  <c r="U120" i="34" s="1"/>
  <c r="T120" i="34" a="1"/>
  <c r="T120" i="34" s="1"/>
  <c r="S120" i="34" a="1"/>
  <c r="S120" i="34" s="1"/>
  <c r="R120" i="34" a="1"/>
  <c r="R120" i="34" s="1"/>
  <c r="Q120" i="34" a="1"/>
  <c r="Q120" i="34" s="1"/>
  <c r="M120" i="34" a="1"/>
  <c r="M120" i="34" s="1"/>
  <c r="L120" i="34" a="1"/>
  <c r="L120" i="34" s="1"/>
  <c r="K120" i="34" a="1"/>
  <c r="K120" i="34" s="1"/>
  <c r="J120" i="34" a="1"/>
  <c r="J120" i="34" s="1"/>
  <c r="I120" i="34" a="1"/>
  <c r="I120" i="34" s="1"/>
  <c r="H120" i="34" a="1"/>
  <c r="H120" i="34" s="1"/>
  <c r="G120" i="34" a="1"/>
  <c r="G120" i="34" s="1"/>
  <c r="F120" i="34" a="1"/>
  <c r="F120" i="34" s="1"/>
  <c r="E120" i="34" a="1"/>
  <c r="E120" i="34" s="1"/>
  <c r="D120" i="34" a="1"/>
  <c r="D120" i="34" s="1"/>
  <c r="H7" i="34"/>
  <c r="AA6" i="34"/>
  <c r="P6" i="34"/>
  <c r="H6" i="34"/>
  <c r="Z147" i="31" l="1"/>
  <c r="C17" i="29"/>
  <c r="D17" i="29"/>
  <c r="Z143" i="31"/>
  <c r="Z144" i="31"/>
  <c r="Z145" i="31"/>
  <c r="Z146" i="31"/>
  <c r="C38" i="26"/>
  <c r="AC93" i="31"/>
  <c r="AB93" i="31"/>
  <c r="AA93" i="31"/>
  <c r="I52" i="26" l="1"/>
  <c r="G53" i="26"/>
  <c r="D12" i="29" l="1"/>
  <c r="Y93" i="31"/>
  <c r="X93" i="31"/>
  <c r="W93" i="31"/>
  <c r="L93" i="31"/>
  <c r="V93" i="31"/>
  <c r="U93" i="31"/>
  <c r="T93" i="31"/>
  <c r="P93" i="31"/>
  <c r="G43" i="26"/>
  <c r="G46" i="26"/>
  <c r="D9" i="29"/>
  <c r="I5" i="29"/>
  <c r="AA6" i="30"/>
  <c r="Z93" i="31" l="1"/>
  <c r="AA17" i="30" l="1"/>
  <c r="Z8" i="31"/>
  <c r="Z9" i="31"/>
  <c r="Z10" i="31"/>
  <c r="Z11" i="31"/>
  <c r="Z12" i="31"/>
  <c r="Z13" i="31"/>
  <c r="Z14" i="31"/>
  <c r="Z15" i="31"/>
  <c r="Z16" i="31"/>
  <c r="Z17" i="31"/>
  <c r="Z18" i="31"/>
  <c r="Z19" i="31"/>
  <c r="Z20" i="31"/>
  <c r="Z21" i="31"/>
  <c r="Z22" i="31"/>
  <c r="Z23" i="31"/>
  <c r="Z24" i="31"/>
  <c r="Z25" i="31"/>
  <c r="Z26" i="31"/>
  <c r="Z27" i="31"/>
  <c r="Z28" i="31"/>
  <c r="Z29" i="31"/>
  <c r="Z30" i="31"/>
  <c r="Z31"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57" i="31"/>
  <c r="Z58" i="31"/>
  <c r="Z59" i="31"/>
  <c r="Z60" i="31"/>
  <c r="Z61" i="31"/>
  <c r="Z62" i="31"/>
  <c r="Z63" i="31"/>
  <c r="Z64" i="31"/>
  <c r="Z65" i="31"/>
  <c r="Z66" i="31"/>
  <c r="Z67" i="31"/>
  <c r="Z68" i="31"/>
  <c r="Z69" i="31"/>
  <c r="Z70" i="31"/>
  <c r="Z71" i="31"/>
  <c r="Z72" i="31"/>
  <c r="Z73" i="31"/>
  <c r="Z74" i="31"/>
  <c r="Z75" i="31"/>
  <c r="Z76" i="31"/>
  <c r="Z77" i="31"/>
  <c r="Z78" i="31"/>
  <c r="Z79" i="31"/>
  <c r="Z80" i="31"/>
  <c r="Z81" i="31"/>
  <c r="Z82" i="31"/>
  <c r="Z83" i="31"/>
  <c r="Z84" i="31"/>
  <c r="Z85" i="31"/>
  <c r="Z86" i="31"/>
  <c r="Z87" i="31"/>
  <c r="Z88" i="31"/>
  <c r="Z89" i="31"/>
  <c r="Z90" i="31"/>
  <c r="Z91" i="31"/>
  <c r="Z92" i="31"/>
  <c r="Z94" i="31"/>
  <c r="Z95" i="31"/>
  <c r="Z96" i="31"/>
  <c r="Z97" i="31"/>
  <c r="Z98" i="31"/>
  <c r="Z99" i="31"/>
  <c r="Z100" i="31"/>
  <c r="Z101" i="31"/>
  <c r="Z102" i="31"/>
  <c r="Z103" i="31"/>
  <c r="Z104" i="31"/>
  <c r="Z105" i="31"/>
  <c r="Z106" i="31"/>
  <c r="Z107" i="31"/>
  <c r="Z108" i="31"/>
  <c r="Z109" i="31"/>
  <c r="Z110" i="31"/>
  <c r="Z111" i="31"/>
  <c r="Z112" i="31"/>
  <c r="Z113" i="31"/>
  <c r="Z114" i="31"/>
  <c r="Z115" i="31"/>
  <c r="Z116" i="31"/>
  <c r="Z117" i="31"/>
  <c r="Z118" i="31"/>
  <c r="Z119" i="31"/>
  <c r="Z120" i="31"/>
  <c r="Z121" i="31"/>
  <c r="Z122" i="31"/>
  <c r="Z123" i="31"/>
  <c r="Z124" i="31"/>
  <c r="Z125" i="31"/>
  <c r="Z126" i="31"/>
  <c r="Z127" i="31"/>
  <c r="Z128" i="31"/>
  <c r="Z129" i="31"/>
  <c r="Z130" i="31"/>
  <c r="Z131" i="31"/>
  <c r="Z132" i="31"/>
  <c r="Z133" i="31"/>
  <c r="Z134" i="31"/>
  <c r="Z135" i="31"/>
  <c r="Z136" i="31"/>
  <c r="Z137" i="31"/>
  <c r="Z138" i="31"/>
  <c r="Z139" i="31"/>
  <c r="Z140" i="31"/>
  <c r="Z141" i="31"/>
  <c r="Z142" i="31"/>
  <c r="G11" i="29"/>
  <c r="F7" i="31"/>
  <c r="G9" i="31"/>
  <c r="G10" i="31" s="1"/>
  <c r="G8" i="31"/>
  <c r="F9" i="31" s="1" a="1"/>
  <c r="Z7" i="31"/>
  <c r="H7" i="30"/>
  <c r="H6" i="30"/>
  <c r="P6" i="30"/>
  <c r="E120" i="30" a="1"/>
  <c r="F120" i="30" a="1"/>
  <c r="G120" i="30" a="1"/>
  <c r="H120" i="30" a="1"/>
  <c r="I120" i="30" a="1"/>
  <c r="J120" i="30" a="1"/>
  <c r="K120" i="30" a="1"/>
  <c r="L120" i="30" a="1"/>
  <c r="M120" i="30" a="1"/>
  <c r="Q120" i="30" a="1"/>
  <c r="R120" i="30" a="1"/>
  <c r="S120" i="30" a="1"/>
  <c r="T120" i="30" a="1"/>
  <c r="U120" i="30" a="1"/>
  <c r="V120" i="30" a="1"/>
  <c r="W120" i="30" a="1"/>
  <c r="X120" i="30" a="1"/>
  <c r="Y120" i="30" a="1"/>
  <c r="Z120" i="30" a="1"/>
  <c r="AD120" i="30" a="1"/>
  <c r="AE120" i="30" a="1"/>
  <c r="AF120" i="30" a="1"/>
  <c r="D120" i="30" a="1"/>
  <c r="AA14" i="30"/>
  <c r="N14" i="30"/>
  <c r="D10" i="29"/>
  <c r="G5" i="29"/>
  <c r="E5" i="29"/>
  <c r="E6" i="29"/>
  <c r="O22" i="30" l="1"/>
  <c r="P22" i="30" s="1"/>
  <c r="O20" i="30"/>
  <c r="P20" i="30" s="1"/>
  <c r="O72" i="30"/>
  <c r="P72" i="30" s="1"/>
  <c r="O76" i="30"/>
  <c r="P76" i="30" s="1"/>
  <c r="O21" i="30"/>
  <c r="P21" i="30" s="1"/>
  <c r="O69" i="30"/>
  <c r="O77" i="30"/>
  <c r="P77" i="30" s="1"/>
  <c r="O18" i="30"/>
  <c r="P18" i="30" s="1"/>
  <c r="O70" i="30"/>
  <c r="P70" i="30" s="1"/>
  <c r="O74" i="30"/>
  <c r="P74" i="30" s="1"/>
  <c r="O19" i="30"/>
  <c r="P19" i="30" s="1"/>
  <c r="O23" i="30"/>
  <c r="P23" i="30" s="1"/>
  <c r="O75" i="30"/>
  <c r="P75" i="30" s="1"/>
  <c r="O79" i="30"/>
  <c r="P79" i="30" s="1"/>
  <c r="O24" i="30"/>
  <c r="P24" i="30" s="1"/>
  <c r="O68" i="30"/>
  <c r="O73" i="30"/>
  <c r="P73" i="30" s="1"/>
  <c r="O78" i="30"/>
  <c r="P78" i="30" s="1"/>
  <c r="O71" i="30"/>
  <c r="P71" i="30" s="1"/>
  <c r="AB71" i="30"/>
  <c r="AC71" i="30" s="1"/>
  <c r="AB76" i="30"/>
  <c r="AC76" i="30" s="1"/>
  <c r="AB79" i="30"/>
  <c r="AC79" i="30" s="1"/>
  <c r="AB23" i="30"/>
  <c r="AC23" i="30" s="1"/>
  <c r="AB21" i="30"/>
  <c r="AC21" i="30" s="1"/>
  <c r="AB72" i="30"/>
  <c r="AC72" i="30" s="1"/>
  <c r="AB77" i="30"/>
  <c r="AC77" i="30" s="1"/>
  <c r="AB73" i="30"/>
  <c r="AC73" i="30" s="1"/>
  <c r="AB70" i="30"/>
  <c r="AC70" i="30" s="1"/>
  <c r="AB69" i="30"/>
  <c r="AB19" i="30"/>
  <c r="AC19" i="30" s="1"/>
  <c r="AB18" i="30"/>
  <c r="AC18" i="30" s="1"/>
  <c r="AB75" i="30"/>
  <c r="AC75" i="30" s="1"/>
  <c r="AB74" i="30"/>
  <c r="AC74" i="30" s="1"/>
  <c r="AB24" i="30"/>
  <c r="AC24" i="30" s="1"/>
  <c r="AB68" i="30"/>
  <c r="AB22" i="30"/>
  <c r="AC22" i="30" s="1"/>
  <c r="AB78" i="30"/>
  <c r="AC78" i="30" s="1"/>
  <c r="AB20" i="30"/>
  <c r="AC20" i="30" s="1"/>
  <c r="L147" i="31"/>
  <c r="G9" i="29"/>
  <c r="I147" i="31"/>
  <c r="I146" i="31"/>
  <c r="I145" i="31"/>
  <c r="I143" i="31"/>
  <c r="I144" i="31"/>
  <c r="I25" i="31"/>
  <c r="I26" i="31"/>
  <c r="I97" i="31"/>
  <c r="I93" i="31"/>
  <c r="I22" i="31"/>
  <c r="I20" i="31"/>
  <c r="I21" i="31"/>
  <c r="AB17" i="30"/>
  <c r="O17" i="30"/>
  <c r="I8" i="31"/>
  <c r="I9" i="31"/>
  <c r="I10" i="31"/>
  <c r="I11" i="31"/>
  <c r="I12" i="31"/>
  <c r="I18" i="31"/>
  <c r="I14" i="31"/>
  <c r="I15" i="31"/>
  <c r="I16" i="31"/>
  <c r="I17" i="31"/>
  <c r="I13" i="31"/>
  <c r="I19" i="31"/>
  <c r="I23" i="31"/>
  <c r="I24" i="31"/>
  <c r="I27" i="31"/>
  <c r="I28" i="31"/>
  <c r="I29" i="31"/>
  <c r="I30" i="31"/>
  <c r="I31" i="31"/>
  <c r="I32" i="31"/>
  <c r="I33" i="31"/>
  <c r="I34" i="31"/>
  <c r="I35" i="31"/>
  <c r="I36" i="31"/>
  <c r="I37" i="31"/>
  <c r="I38" i="31"/>
  <c r="I40" i="31"/>
  <c r="I41" i="31"/>
  <c r="I39" i="31"/>
  <c r="I42" i="31"/>
  <c r="I43" i="31"/>
  <c r="I44" i="31"/>
  <c r="I45" i="31"/>
  <c r="I46" i="31"/>
  <c r="I56" i="31"/>
  <c r="I47" i="31"/>
  <c r="I48" i="31"/>
  <c r="I49" i="31"/>
  <c r="I50" i="31"/>
  <c r="I51" i="31"/>
  <c r="I52" i="31"/>
  <c r="I53" i="31"/>
  <c r="I110" i="31"/>
  <c r="I112" i="31"/>
  <c r="I114" i="31"/>
  <c r="I117" i="31"/>
  <c r="I119" i="31"/>
  <c r="I122" i="31"/>
  <c r="I123" i="31"/>
  <c r="I127" i="31"/>
  <c r="I129" i="31"/>
  <c r="I131" i="31"/>
  <c r="I135" i="31"/>
  <c r="I137" i="31"/>
  <c r="I139" i="31"/>
  <c r="I141" i="31"/>
  <c r="I54" i="31"/>
  <c r="I55" i="31"/>
  <c r="I58" i="31"/>
  <c r="I57" i="31"/>
  <c r="I59" i="31"/>
  <c r="I60" i="31"/>
  <c r="I61" i="31"/>
  <c r="I62" i="31"/>
  <c r="I63" i="31"/>
  <c r="I64" i="31"/>
  <c r="I65" i="31"/>
  <c r="I66" i="31"/>
  <c r="I67" i="31"/>
  <c r="I68" i="31"/>
  <c r="I69" i="31"/>
  <c r="I70" i="31"/>
  <c r="I71" i="31"/>
  <c r="I72" i="31"/>
  <c r="I73" i="31"/>
  <c r="I74" i="31"/>
  <c r="I75" i="31"/>
  <c r="I76" i="31"/>
  <c r="I77" i="31"/>
  <c r="I78" i="31"/>
  <c r="I79" i="31"/>
  <c r="I80" i="31"/>
  <c r="I81" i="31"/>
  <c r="I82" i="31"/>
  <c r="I83" i="31"/>
  <c r="I84" i="31"/>
  <c r="I85" i="31"/>
  <c r="I86" i="31"/>
  <c r="I87" i="31"/>
  <c r="I88" i="31"/>
  <c r="I89" i="31"/>
  <c r="I90" i="31"/>
  <c r="I91" i="31"/>
  <c r="I92" i="31"/>
  <c r="I94" i="31"/>
  <c r="I95" i="31"/>
  <c r="I96" i="31"/>
  <c r="I98" i="31"/>
  <c r="I99" i="31"/>
  <c r="I100" i="31"/>
  <c r="I101" i="31"/>
  <c r="I102" i="31"/>
  <c r="I103" i="31"/>
  <c r="I104" i="31"/>
  <c r="I105" i="31"/>
  <c r="I106" i="31"/>
  <c r="I107" i="31"/>
  <c r="I108" i="31"/>
  <c r="I109" i="31"/>
  <c r="I111" i="31"/>
  <c r="I113" i="31"/>
  <c r="I115" i="31"/>
  <c r="I116" i="31"/>
  <c r="I118" i="31"/>
  <c r="I120" i="31"/>
  <c r="I121" i="31"/>
  <c r="I124" i="31"/>
  <c r="I125" i="31"/>
  <c r="I126" i="31"/>
  <c r="I128" i="31"/>
  <c r="I130" i="31"/>
  <c r="I132" i="31"/>
  <c r="I133" i="31"/>
  <c r="I134" i="31"/>
  <c r="I136" i="31"/>
  <c r="I138" i="31"/>
  <c r="I140" i="31"/>
  <c r="I142" i="31"/>
  <c r="I7" i="31"/>
  <c r="G19" i="31" l="1" a="1"/>
  <c r="G17" i="31" a="1"/>
  <c r="G18" i="31" a="1"/>
  <c r="G14" i="31" a="1"/>
  <c r="G15" i="31" a="1"/>
  <c r="G13" i="31" a="1"/>
  <c r="F10" i="31" a="1"/>
  <c r="F8" i="31" a="1"/>
  <c r="G19" i="31" l="1"/>
  <c r="G18" i="31"/>
  <c r="G17" i="31"/>
  <c r="G15" i="31"/>
  <c r="G14" i="31"/>
  <c r="G13" i="31"/>
  <c r="F10" i="31"/>
  <c r="F9" i="31"/>
  <c r="F8" i="31"/>
  <c r="AF120" i="30"/>
  <c r="AE120" i="30"/>
  <c r="AD120" i="30"/>
  <c r="Z120" i="30"/>
  <c r="Y120" i="30"/>
  <c r="X120" i="30"/>
  <c r="W120" i="30"/>
  <c r="V120" i="30"/>
  <c r="U120" i="30"/>
  <c r="T120" i="30"/>
  <c r="S120" i="30"/>
  <c r="R120" i="30"/>
  <c r="Q120" i="30"/>
  <c r="M120" i="30"/>
  <c r="L120" i="30"/>
  <c r="K120" i="30"/>
  <c r="J120" i="30"/>
  <c r="I120" i="30"/>
  <c r="H120" i="30"/>
  <c r="G120" i="30"/>
  <c r="F120" i="30"/>
  <c r="E120" i="30"/>
  <c r="D120" i="30"/>
  <c r="I28" i="26"/>
  <c r="I29" i="26"/>
  <c r="AG14" i="35" l="1"/>
  <c r="AG14" i="34"/>
  <c r="AH14" i="34"/>
  <c r="AH14" i="35"/>
  <c r="AI14" i="34"/>
  <c r="AI14" i="35"/>
  <c r="AG14" i="30"/>
  <c r="AH14" i="30"/>
  <c r="AI14" i="30"/>
  <c r="I30" i="26"/>
  <c r="AG17" i="30" l="1"/>
  <c r="AI17" i="30"/>
  <c r="AH17" i="30"/>
  <c r="F32" i="26"/>
  <c r="R93" i="31" l="1"/>
  <c r="F35" i="26" a="1"/>
  <c r="F35" i="26" s="1"/>
  <c r="F33" i="26" l="1" a="1"/>
  <c r="F33" i="26" s="1"/>
  <c r="Q93" i="31"/>
  <c r="F34" i="26" s="1" a="1"/>
  <c r="F34" i="26" s="1"/>
  <c r="G27" i="31" l="1" a="1"/>
  <c r="G27" i="31" s="1"/>
  <c r="G22" i="31"/>
  <c r="F13" i="29" s="1"/>
  <c r="G35" i="26"/>
  <c r="I33" i="26"/>
  <c r="H34" i="26"/>
  <c r="I34" i="26" l="1"/>
  <c r="F23" i="31" s="1"/>
  <c r="G28" i="31"/>
  <c r="J13" i="29" s="1"/>
  <c r="I13" i="29"/>
  <c r="G23" i="31" l="1"/>
  <c r="B8" i="30" l="1"/>
  <c r="C77" i="30" s="1"/>
  <c r="G13" i="29"/>
  <c r="B8" i="34"/>
  <c r="B8" i="35"/>
  <c r="G16" i="29"/>
  <c r="F16" i="29"/>
  <c r="E16" i="29"/>
  <c r="C104" i="30" l="1"/>
  <c r="C32" i="30"/>
  <c r="C43" i="30"/>
  <c r="C31" i="30"/>
  <c r="C19" i="30"/>
  <c r="C57" i="30"/>
  <c r="C29" i="30"/>
  <c r="C45" i="30"/>
  <c r="C68" i="30"/>
  <c r="C33" i="30"/>
  <c r="C94" i="30"/>
  <c r="C21" i="30"/>
  <c r="C82" i="30"/>
  <c r="AL10" i="30"/>
  <c r="C51" i="30"/>
  <c r="C56" i="30"/>
  <c r="C39" i="30"/>
  <c r="C44" i="30"/>
  <c r="C116" i="30"/>
  <c r="C55" i="30"/>
  <c r="C97" i="30"/>
  <c r="C84" i="30"/>
  <c r="H9" i="30"/>
  <c r="C74" i="30"/>
  <c r="C107" i="30"/>
  <c r="C105" i="30"/>
  <c r="C103" i="30"/>
  <c r="C109" i="30"/>
  <c r="C42" i="30"/>
  <c r="C85" i="30"/>
  <c r="C72" i="30"/>
  <c r="C40" i="30"/>
  <c r="C38" i="30"/>
  <c r="U10" i="30"/>
  <c r="C66" i="30"/>
  <c r="C117" i="30"/>
  <c r="C58" i="30"/>
  <c r="C87" i="30"/>
  <c r="C111" i="30"/>
  <c r="C22" i="30"/>
  <c r="C53" i="30"/>
  <c r="C81" i="30"/>
  <c r="C79" i="30"/>
  <c r="C110" i="30"/>
  <c r="C20" i="30"/>
  <c r="C108" i="30"/>
  <c r="C95" i="30"/>
  <c r="C80" i="30"/>
  <c r="C98" i="30"/>
  <c r="C96" i="30"/>
  <c r="C64" i="30"/>
  <c r="C86" i="30"/>
  <c r="C52" i="30"/>
  <c r="C73" i="30"/>
  <c r="C115" i="30"/>
  <c r="C46" i="30"/>
  <c r="C34" i="30"/>
  <c r="AJ10" i="30"/>
  <c r="C75" i="30"/>
  <c r="C99" i="30"/>
  <c r="C41" i="30"/>
  <c r="C63" i="30"/>
  <c r="C114" i="30"/>
  <c r="C102" i="30"/>
  <c r="C78" i="30"/>
  <c r="C65" i="30"/>
  <c r="C70" i="30"/>
  <c r="C93" i="30"/>
  <c r="C92" i="30"/>
  <c r="C91" i="30"/>
  <c r="C90" i="30"/>
  <c r="C83" i="30"/>
  <c r="C54" i="30"/>
  <c r="N9" i="30"/>
  <c r="C71" i="30"/>
  <c r="C61" i="30"/>
  <c r="C60" i="30"/>
  <c r="C106" i="30"/>
  <c r="C28" i="30"/>
  <c r="C27" i="30"/>
  <c r="C26" i="30"/>
  <c r="C49" i="30"/>
  <c r="C18" i="30"/>
  <c r="C59" i="30"/>
  <c r="C36" i="30"/>
  <c r="C47" i="30"/>
  <c r="C35" i="30"/>
  <c r="H10" i="30"/>
  <c r="U9" i="30"/>
  <c r="AD12" i="30" s="1"/>
  <c r="AJ17" i="30" s="1"/>
  <c r="AK17" i="30" s="1"/>
  <c r="C23" i="30"/>
  <c r="C112" i="30"/>
  <c r="C101" i="30"/>
  <c r="C89" i="30"/>
  <c r="C17" i="30"/>
  <c r="C100" i="30"/>
  <c r="C48" i="30"/>
  <c r="C69" i="30"/>
  <c r="C62" i="30"/>
  <c r="C37" i="30"/>
  <c r="C24" i="30"/>
  <c r="C88" i="30"/>
  <c r="C30" i="30"/>
  <c r="C50" i="30"/>
  <c r="C25" i="30"/>
  <c r="C113" i="30"/>
  <c r="C76" i="30"/>
  <c r="C111" i="35"/>
  <c r="C102" i="35"/>
  <c r="C79" i="35"/>
  <c r="C72" i="35"/>
  <c r="C59" i="35"/>
  <c r="C47" i="35"/>
  <c r="C35" i="35"/>
  <c r="C85" i="35"/>
  <c r="C109" i="35"/>
  <c r="C100" i="35"/>
  <c r="C93" i="35"/>
  <c r="C86" i="35"/>
  <c r="C23" i="35"/>
  <c r="C18" i="35"/>
  <c r="C91" i="35"/>
  <c r="C84" i="35"/>
  <c r="C77" i="35"/>
  <c r="C64" i="35"/>
  <c r="C52" i="35"/>
  <c r="C40" i="35"/>
  <c r="C28" i="35"/>
  <c r="C110" i="35"/>
  <c r="C78" i="35"/>
  <c r="C116" i="35"/>
  <c r="C107" i="35"/>
  <c r="C98" i="35"/>
  <c r="C70" i="35"/>
  <c r="C57" i="35"/>
  <c r="C45" i="35"/>
  <c r="C33" i="35"/>
  <c r="C114" i="35"/>
  <c r="C105" i="35"/>
  <c r="C96" i="35"/>
  <c r="C89" i="35"/>
  <c r="C82" i="35"/>
  <c r="C75" i="35"/>
  <c r="C62" i="35"/>
  <c r="C50" i="35"/>
  <c r="C38" i="35"/>
  <c r="C26" i="35"/>
  <c r="C21" i="35"/>
  <c r="C112" i="35"/>
  <c r="C103" i="35"/>
  <c r="C73" i="35"/>
  <c r="C68" i="35"/>
  <c r="C60" i="35"/>
  <c r="C55" i="35"/>
  <c r="C48" i="35"/>
  <c r="C43" i="35"/>
  <c r="C36" i="35"/>
  <c r="C31" i="35"/>
  <c r="AL10" i="35"/>
  <c r="C101" i="35"/>
  <c r="U10" i="35"/>
  <c r="C94" i="35"/>
  <c r="C87" i="35"/>
  <c r="C80" i="35"/>
  <c r="C65" i="35"/>
  <c r="C53" i="35"/>
  <c r="C41" i="35"/>
  <c r="C29" i="35"/>
  <c r="C24" i="35"/>
  <c r="C19" i="35"/>
  <c r="AJ10" i="35"/>
  <c r="C108" i="35"/>
  <c r="C99" i="35"/>
  <c r="C92" i="35"/>
  <c r="C71" i="35"/>
  <c r="C58" i="35"/>
  <c r="C46" i="35"/>
  <c r="C34" i="35"/>
  <c r="C17" i="35"/>
  <c r="H10" i="35"/>
  <c r="C113" i="35"/>
  <c r="C81" i="35"/>
  <c r="C49" i="35"/>
  <c r="C37" i="35"/>
  <c r="C25" i="35"/>
  <c r="C117" i="35"/>
  <c r="C115" i="35"/>
  <c r="C106" i="35"/>
  <c r="C97" i="35"/>
  <c r="C90" i="35"/>
  <c r="C83" i="35"/>
  <c r="C76" i="35"/>
  <c r="C63" i="35"/>
  <c r="C51" i="35"/>
  <c r="C39" i="35"/>
  <c r="C27" i="35"/>
  <c r="C22" i="35"/>
  <c r="U9" i="35"/>
  <c r="C95" i="35"/>
  <c r="C88" i="35"/>
  <c r="C74" i="35"/>
  <c r="C66" i="35"/>
  <c r="C61" i="35"/>
  <c r="C42" i="35"/>
  <c r="C30" i="35"/>
  <c r="H9" i="35"/>
  <c r="C69" i="35"/>
  <c r="C56" i="35"/>
  <c r="C44" i="35"/>
  <c r="C32" i="35"/>
  <c r="N9" i="35"/>
  <c r="C104" i="35"/>
  <c r="C54" i="35"/>
  <c r="C20" i="35"/>
  <c r="C111" i="34"/>
  <c r="C106" i="34"/>
  <c r="C101" i="34"/>
  <c r="C79" i="34"/>
  <c r="C51" i="34"/>
  <c r="C39" i="34"/>
  <c r="C34" i="34"/>
  <c r="U10" i="34"/>
  <c r="C116" i="34"/>
  <c r="C109" i="34"/>
  <c r="C84" i="34"/>
  <c r="C74" i="34"/>
  <c r="C69" i="34"/>
  <c r="C63" i="34"/>
  <c r="C56" i="34"/>
  <c r="C44" i="34"/>
  <c r="C17" i="34"/>
  <c r="H10" i="34"/>
  <c r="C115" i="34"/>
  <c r="C33" i="34"/>
  <c r="C104" i="34"/>
  <c r="C99" i="34"/>
  <c r="C94" i="34"/>
  <c r="C89" i="34"/>
  <c r="C66" i="34"/>
  <c r="C61" i="34"/>
  <c r="C54" i="34"/>
  <c r="C49" i="34"/>
  <c r="C42" i="34"/>
  <c r="C37" i="34"/>
  <c r="C32" i="34"/>
  <c r="C27" i="34"/>
  <c r="C22" i="34"/>
  <c r="U9" i="34"/>
  <c r="C110" i="34"/>
  <c r="C95" i="34"/>
  <c r="C73" i="34"/>
  <c r="C50" i="34"/>
  <c r="C114" i="34"/>
  <c r="C97" i="34"/>
  <c r="C72" i="34"/>
  <c r="C30" i="34"/>
  <c r="N9" i="34"/>
  <c r="C105" i="34"/>
  <c r="C102" i="34"/>
  <c r="C92" i="34"/>
  <c r="C87" i="34"/>
  <c r="C82" i="34"/>
  <c r="C77" i="34"/>
  <c r="C59" i="34"/>
  <c r="C47" i="34"/>
  <c r="C35" i="34"/>
  <c r="C25" i="34"/>
  <c r="C20" i="34"/>
  <c r="H9" i="34"/>
  <c r="C112" i="34"/>
  <c r="C107" i="34"/>
  <c r="C85" i="34"/>
  <c r="C52" i="34"/>
  <c r="C40" i="34"/>
  <c r="C18" i="34"/>
  <c r="C38" i="34"/>
  <c r="C28" i="34"/>
  <c r="C117" i="34"/>
  <c r="C90" i="34"/>
  <c r="C80" i="34"/>
  <c r="C75" i="34"/>
  <c r="C70" i="34"/>
  <c r="C64" i="34"/>
  <c r="C57" i="34"/>
  <c r="C45" i="34"/>
  <c r="C23" i="34"/>
  <c r="C100" i="34"/>
  <c r="C103" i="34"/>
  <c r="C78" i="34"/>
  <c r="C68" i="34"/>
  <c r="C62" i="34"/>
  <c r="C60" i="34"/>
  <c r="C55" i="34"/>
  <c r="C48" i="34"/>
  <c r="C43" i="34"/>
  <c r="C36" i="34"/>
  <c r="C96" i="34"/>
  <c r="C19" i="34"/>
  <c r="AJ10" i="34"/>
  <c r="C108" i="34"/>
  <c r="C98" i="34"/>
  <c r="C93" i="34"/>
  <c r="C88" i="34"/>
  <c r="C83" i="34"/>
  <c r="C31" i="34"/>
  <c r="C26" i="34"/>
  <c r="C21" i="34"/>
  <c r="C71" i="34"/>
  <c r="C58" i="34"/>
  <c r="C46" i="34"/>
  <c r="C29" i="34"/>
  <c r="C113" i="34"/>
  <c r="C91" i="34"/>
  <c r="C65" i="34"/>
  <c r="C53" i="34"/>
  <c r="C41" i="34"/>
  <c r="C24" i="34"/>
  <c r="AL10" i="34"/>
  <c r="C86" i="34"/>
  <c r="C81" i="34"/>
  <c r="C76" i="34"/>
  <c r="AJ101" i="30"/>
  <c r="AK101" i="30" s="1"/>
  <c r="AJ97" i="30"/>
  <c r="AK97" i="30" s="1"/>
  <c r="AJ82" i="30"/>
  <c r="AK82" i="30" s="1"/>
  <c r="AJ85" i="30"/>
  <c r="AK85" i="30" s="1"/>
  <c r="AJ33" i="30"/>
  <c r="AK33" i="30" s="1"/>
  <c r="AJ31" i="30"/>
  <c r="AK31" i="30" s="1"/>
  <c r="AJ18" i="30"/>
  <c r="AK18" i="30" s="1"/>
  <c r="AJ36" i="30"/>
  <c r="AK36" i="30" s="1"/>
  <c r="AJ77" i="30"/>
  <c r="AK77" i="30" s="1"/>
  <c r="AJ40" i="30"/>
  <c r="AK40" i="30" s="1"/>
  <c r="AJ99" i="30" l="1"/>
  <c r="AK99" i="30" s="1"/>
  <c r="AJ22" i="30"/>
  <c r="AK22" i="30" s="1"/>
  <c r="AJ52" i="30"/>
  <c r="AK52" i="30" s="1"/>
  <c r="AJ117" i="30"/>
  <c r="AK117" i="30" s="1"/>
  <c r="AJ23" i="30"/>
  <c r="AK23" i="30" s="1"/>
  <c r="AJ25" i="30"/>
  <c r="AK25" i="30" s="1"/>
  <c r="AJ72" i="30"/>
  <c r="AK72" i="30" s="1"/>
  <c r="AJ63" i="30"/>
  <c r="AK63" i="30" s="1"/>
  <c r="AJ91" i="30"/>
  <c r="AK91" i="30" s="1"/>
  <c r="AJ65" i="30"/>
  <c r="AK65" i="30" s="1"/>
  <c r="AJ93" i="30"/>
  <c r="AK93" i="30" s="1"/>
  <c r="AJ75" i="30"/>
  <c r="AK75" i="30" s="1"/>
  <c r="AJ21" i="30"/>
  <c r="AK21" i="30" s="1"/>
  <c r="AJ43" i="30"/>
  <c r="AK43" i="30" s="1"/>
  <c r="AJ114" i="30"/>
  <c r="AK114" i="30" s="1"/>
  <c r="AJ60" i="30"/>
  <c r="AK60" i="30" s="1"/>
  <c r="D12" i="30"/>
  <c r="P14" i="30" s="1"/>
  <c r="AJ24" i="30"/>
  <c r="AK24" i="30" s="1"/>
  <c r="AJ19" i="30"/>
  <c r="AK19" i="30" s="1"/>
  <c r="AK14" i="30"/>
  <c r="AJ92" i="30"/>
  <c r="AK92" i="30" s="1"/>
  <c r="AJ46" i="30"/>
  <c r="AK46" i="30" s="1"/>
  <c r="AJ35" i="30"/>
  <c r="AK35" i="30" s="1"/>
  <c r="AJ26" i="30"/>
  <c r="AK26" i="30" s="1"/>
  <c r="AJ76" i="30"/>
  <c r="AK76" i="30" s="1"/>
  <c r="AJ30" i="30"/>
  <c r="AK30" i="30" s="1"/>
  <c r="AJ50" i="30"/>
  <c r="AK50" i="30" s="1"/>
  <c r="AJ116" i="30"/>
  <c r="AK116" i="30" s="1"/>
  <c r="AJ90" i="30"/>
  <c r="AK90" i="30" s="1"/>
  <c r="AJ38" i="30"/>
  <c r="AK38" i="30" s="1"/>
  <c r="AJ94" i="30"/>
  <c r="AK94" i="30" s="1"/>
  <c r="AJ81" i="30"/>
  <c r="AK81" i="30" s="1"/>
  <c r="AJ37" i="30"/>
  <c r="AK37" i="30" s="1"/>
  <c r="AJ39" i="30"/>
  <c r="AK39" i="30" s="1"/>
  <c r="AJ78" i="30"/>
  <c r="AK78" i="30" s="1"/>
  <c r="AJ32" i="30"/>
  <c r="AK32" i="30" s="1"/>
  <c r="AJ105" i="30"/>
  <c r="AK105" i="30" s="1"/>
  <c r="AJ98" i="30"/>
  <c r="AK98" i="30" s="1"/>
  <c r="AJ96" i="30"/>
  <c r="AK96" i="30" s="1"/>
  <c r="AJ58" i="30"/>
  <c r="AK58" i="30" s="1"/>
  <c r="AJ111" i="30"/>
  <c r="AK111" i="30" s="1"/>
  <c r="AJ20" i="30"/>
  <c r="AK20" i="30" s="1"/>
  <c r="AJ64" i="30"/>
  <c r="AK64" i="30" s="1"/>
  <c r="AJ84" i="30"/>
  <c r="AK84" i="30" s="1"/>
  <c r="AJ41" i="30"/>
  <c r="AK41" i="30" s="1"/>
  <c r="AJ47" i="30"/>
  <c r="AK47" i="30" s="1"/>
  <c r="AJ71" i="30"/>
  <c r="AK71" i="30" s="1"/>
  <c r="AJ44" i="30"/>
  <c r="AK44" i="30" s="1"/>
  <c r="AJ102" i="30"/>
  <c r="AK102" i="30" s="1"/>
  <c r="AJ110" i="30"/>
  <c r="AK110" i="30" s="1"/>
  <c r="AJ56" i="30"/>
  <c r="AK56" i="30" s="1"/>
  <c r="AJ28" i="30"/>
  <c r="AK28" i="30" s="1"/>
  <c r="AJ69" i="30"/>
  <c r="AK69" i="30" s="1"/>
  <c r="AJ57" i="30"/>
  <c r="AK57" i="30" s="1"/>
  <c r="AJ73" i="30"/>
  <c r="AK73" i="30" s="1"/>
  <c r="AJ68" i="30"/>
  <c r="AK68" i="30" s="1"/>
  <c r="AJ34" i="30"/>
  <c r="AK34" i="30" s="1"/>
  <c r="AJ29" i="30"/>
  <c r="AK29" i="30" s="1"/>
  <c r="AJ51" i="30"/>
  <c r="AK51" i="30" s="1"/>
  <c r="AJ70" i="30"/>
  <c r="AK70" i="30" s="1"/>
  <c r="AJ95" i="30"/>
  <c r="AK95" i="30" s="1"/>
  <c r="AJ86" i="30"/>
  <c r="AK86" i="30" s="1"/>
  <c r="AJ59" i="30"/>
  <c r="AK59" i="30" s="1"/>
  <c r="AJ104" i="30"/>
  <c r="AK104" i="30" s="1"/>
  <c r="AJ112" i="30"/>
  <c r="AK112" i="30" s="1"/>
  <c r="AJ74" i="30"/>
  <c r="AK74" i="30" s="1"/>
  <c r="AJ66" i="30"/>
  <c r="AK66" i="30" s="1"/>
  <c r="AJ107" i="30"/>
  <c r="AK107" i="30" s="1"/>
  <c r="AJ53" i="30"/>
  <c r="AK53" i="30" s="1"/>
  <c r="AJ55" i="30"/>
  <c r="AK55" i="30" s="1"/>
  <c r="AJ42" i="30"/>
  <c r="AK42" i="30" s="1"/>
  <c r="AJ79" i="30"/>
  <c r="AK79" i="30" s="1"/>
  <c r="AJ100" i="30"/>
  <c r="AK100" i="30" s="1"/>
  <c r="AJ48" i="30"/>
  <c r="AK48" i="30" s="1"/>
  <c r="AJ83" i="30"/>
  <c r="AK83" i="30" s="1"/>
  <c r="AJ87" i="30"/>
  <c r="AK87" i="30" s="1"/>
  <c r="AJ54" i="30"/>
  <c r="AK54" i="30" s="1"/>
  <c r="AJ45" i="30"/>
  <c r="AK45" i="30" s="1"/>
  <c r="AJ14" i="30"/>
  <c r="AJ103" i="30"/>
  <c r="AK103" i="30" s="1"/>
  <c r="AJ49" i="30"/>
  <c r="AK49" i="30" s="1"/>
  <c r="Q12" i="30"/>
  <c r="AC14" i="30" s="1"/>
  <c r="AJ115" i="30"/>
  <c r="AK115" i="30" s="1"/>
  <c r="AJ88" i="30"/>
  <c r="AK88" i="30" s="1"/>
  <c r="AJ61" i="30"/>
  <c r="AK61" i="30" s="1"/>
  <c r="AJ27" i="30"/>
  <c r="AK27" i="30" s="1"/>
  <c r="AJ106" i="30"/>
  <c r="AK106" i="30" s="1"/>
  <c r="AJ108" i="30"/>
  <c r="AK108" i="30" s="1"/>
  <c r="AJ113" i="30"/>
  <c r="AK113" i="30" s="1"/>
  <c r="AJ109" i="30"/>
  <c r="AK109" i="30" s="1"/>
  <c r="AJ89" i="30"/>
  <c r="AK89" i="30" s="1"/>
  <c r="AJ62" i="30"/>
  <c r="AK62" i="30" s="1"/>
  <c r="AJ80" i="30"/>
  <c r="AK80" i="30" s="1"/>
  <c r="AD12" i="34"/>
  <c r="Q12" i="34"/>
  <c r="AC14" i="34" s="1"/>
  <c r="D12" i="34"/>
  <c r="P14" i="34" s="1"/>
  <c r="Q12" i="35"/>
  <c r="AC14" i="35" s="1"/>
  <c r="AD12" i="35"/>
  <c r="D12" i="35"/>
  <c r="P14" i="35" s="1"/>
  <c r="AC17" i="30"/>
  <c r="AC68" i="30"/>
  <c r="AC69" i="30"/>
  <c r="P17" i="30"/>
  <c r="P68" i="30"/>
  <c r="P69" i="30"/>
  <c r="AL62" i="30" l="1"/>
  <c r="AM62" i="30" s="1"/>
  <c r="E62" i="29" s="1"/>
  <c r="AL109" i="30"/>
  <c r="AM109" i="30" s="1"/>
  <c r="E109" i="29" s="1"/>
  <c r="AL57" i="30"/>
  <c r="AM57" i="30" s="1"/>
  <c r="E57" i="29" s="1"/>
  <c r="AL18" i="30"/>
  <c r="AM18" i="30" s="1"/>
  <c r="E18" i="29" s="1"/>
  <c r="AL29" i="30"/>
  <c r="AM29" i="30" s="1"/>
  <c r="E29" i="29" s="1"/>
  <c r="AL107" i="30"/>
  <c r="AM107" i="30" s="1"/>
  <c r="E107" i="29" s="1"/>
  <c r="AL22" i="30"/>
  <c r="AM22" i="30" s="1"/>
  <c r="E22" i="29" s="1"/>
  <c r="AL89" i="30"/>
  <c r="AM89" i="30" s="1"/>
  <c r="E89" i="29" s="1"/>
  <c r="AL83" i="30"/>
  <c r="AM83" i="30" s="1"/>
  <c r="E83" i="29" s="1"/>
  <c r="AL81" i="30"/>
  <c r="AM81" i="30" s="1"/>
  <c r="E81" i="29" s="1"/>
  <c r="AL42" i="30"/>
  <c r="AM42" i="30" s="1"/>
  <c r="E42" i="29" s="1"/>
  <c r="AL96" i="30"/>
  <c r="AM96" i="30" s="1"/>
  <c r="E96" i="29" s="1"/>
  <c r="AL60" i="30"/>
  <c r="AM60" i="30" s="1"/>
  <c r="E60" i="29" s="1"/>
  <c r="AL75" i="30"/>
  <c r="AM75" i="30" s="1"/>
  <c r="E75" i="29" s="1"/>
  <c r="AL52" i="30"/>
  <c r="AM52" i="30" s="1"/>
  <c r="E52" i="29" s="1"/>
  <c r="AL82" i="30"/>
  <c r="AM82" i="30" s="1"/>
  <c r="E82" i="29" s="1"/>
  <c r="AL45" i="30"/>
  <c r="AM45" i="30" s="1"/>
  <c r="E45" i="29" s="1"/>
  <c r="AL90" i="30"/>
  <c r="AM90" i="30" s="1"/>
  <c r="E90" i="29" s="1"/>
  <c r="AL30" i="30"/>
  <c r="AM30" i="30" s="1"/>
  <c r="E30" i="29" s="1"/>
  <c r="AL105" i="30"/>
  <c r="AM105" i="30" s="1"/>
  <c r="E105" i="29" s="1"/>
  <c r="AL64" i="30"/>
  <c r="AM64" i="30" s="1"/>
  <c r="E64" i="29" s="1"/>
  <c r="AL48" i="30"/>
  <c r="AM48" i="30" s="1"/>
  <c r="E48" i="29" s="1"/>
  <c r="AL58" i="30"/>
  <c r="AM58" i="30" s="1"/>
  <c r="E58" i="29" s="1"/>
  <c r="AL114" i="30"/>
  <c r="AM114" i="30" s="1"/>
  <c r="E114" i="29" s="1"/>
  <c r="AL88" i="30"/>
  <c r="AM88" i="30" s="1"/>
  <c r="E88" i="29" s="1"/>
  <c r="AL87" i="30"/>
  <c r="AM87" i="30" s="1"/>
  <c r="E87" i="29" s="1"/>
  <c r="AL100" i="30"/>
  <c r="AM100" i="30" s="1"/>
  <c r="E100" i="29" s="1"/>
  <c r="AL79" i="30"/>
  <c r="AM79" i="30" s="1"/>
  <c r="E79" i="29" s="1"/>
  <c r="AL92" i="30"/>
  <c r="AM92" i="30" s="1"/>
  <c r="E92" i="29" s="1"/>
  <c r="AL49" i="30"/>
  <c r="AM49" i="30" s="1"/>
  <c r="E49" i="29" s="1"/>
  <c r="AL31" i="30"/>
  <c r="AM31" i="30" s="1"/>
  <c r="E31" i="29" s="1"/>
  <c r="AL71" i="30"/>
  <c r="AM71" i="30" s="1"/>
  <c r="E71" i="29" s="1"/>
  <c r="AL103" i="30"/>
  <c r="AM103" i="30" s="1"/>
  <c r="E103" i="29" s="1"/>
  <c r="AL41" i="30"/>
  <c r="AM41" i="30" s="1"/>
  <c r="E41" i="29" s="1"/>
  <c r="AL63" i="30"/>
  <c r="AM63" i="30" s="1"/>
  <c r="E63" i="29" s="1"/>
  <c r="AL106" i="30"/>
  <c r="AM106" i="30" s="1"/>
  <c r="E106" i="29" s="1"/>
  <c r="AL113" i="30"/>
  <c r="AM113" i="30" s="1"/>
  <c r="E113" i="29" s="1"/>
  <c r="AL78" i="30"/>
  <c r="AM78" i="30" s="1"/>
  <c r="E78" i="29" s="1"/>
  <c r="AL44" i="30"/>
  <c r="AM44" i="30" s="1"/>
  <c r="E44" i="29" s="1"/>
  <c r="AL43" i="30"/>
  <c r="AM43" i="30" s="1"/>
  <c r="E43" i="29" s="1"/>
  <c r="AL91" i="30"/>
  <c r="AM91" i="30" s="1"/>
  <c r="E91" i="29" s="1"/>
  <c r="AL72" i="30"/>
  <c r="AM72" i="30" s="1"/>
  <c r="E72" i="29" s="1"/>
  <c r="AL21" i="30"/>
  <c r="AM21" i="30" s="1"/>
  <c r="E21" i="29" s="1"/>
  <c r="AL55" i="30"/>
  <c r="AM55" i="30" s="1"/>
  <c r="E55" i="29" s="1"/>
  <c r="AL117" i="30"/>
  <c r="AM117" i="30" s="1"/>
  <c r="E117" i="29" s="1"/>
  <c r="AL99" i="30"/>
  <c r="AM99" i="30" s="1"/>
  <c r="E99" i="29" s="1"/>
  <c r="AL108" i="30"/>
  <c r="AM108" i="30" s="1"/>
  <c r="E108" i="29" s="1"/>
  <c r="AL112" i="30"/>
  <c r="AM112" i="30" s="1"/>
  <c r="E112" i="29" s="1"/>
  <c r="AL36" i="30"/>
  <c r="AM36" i="30" s="1"/>
  <c r="E36" i="29" s="1"/>
  <c r="AL50" i="30"/>
  <c r="AM50" i="30" s="1"/>
  <c r="E50" i="29" s="1"/>
  <c r="AL59" i="30"/>
  <c r="AM59" i="30" s="1"/>
  <c r="E59" i="29" s="1"/>
  <c r="AL101" i="30"/>
  <c r="AM101" i="30" s="1"/>
  <c r="E101" i="29" s="1"/>
  <c r="AL24" i="30"/>
  <c r="AM24" i="30" s="1"/>
  <c r="E24" i="29" s="1"/>
  <c r="AL84" i="30"/>
  <c r="AM84" i="30" s="1"/>
  <c r="E84" i="29" s="1"/>
  <c r="AL65" i="30"/>
  <c r="AM65" i="30" s="1"/>
  <c r="E65" i="29" s="1"/>
  <c r="AL61" i="30"/>
  <c r="AM61" i="30" s="1"/>
  <c r="E61" i="29" s="1"/>
  <c r="AL33" i="30"/>
  <c r="AM33" i="30" s="1"/>
  <c r="E33" i="29" s="1"/>
  <c r="AL28" i="30"/>
  <c r="AM28" i="30" s="1"/>
  <c r="E28" i="29" s="1"/>
  <c r="AL66" i="30"/>
  <c r="AM66" i="30" s="1"/>
  <c r="E66" i="29" s="1"/>
  <c r="AL25" i="30"/>
  <c r="AM25" i="30" s="1"/>
  <c r="E25" i="29" s="1"/>
  <c r="AL74" i="30"/>
  <c r="AM74" i="30" s="1"/>
  <c r="E74" i="29" s="1"/>
  <c r="AL27" i="30"/>
  <c r="AM27" i="30" s="1"/>
  <c r="E27" i="29" s="1"/>
  <c r="AL51" i="30"/>
  <c r="AM51" i="30" s="1"/>
  <c r="E51" i="29" s="1"/>
  <c r="AL102" i="30"/>
  <c r="AM102" i="30" s="1"/>
  <c r="E102" i="29" s="1"/>
  <c r="AL86" i="30"/>
  <c r="AM86" i="30" s="1"/>
  <c r="E86" i="29" s="1"/>
  <c r="AL110" i="30"/>
  <c r="AM110" i="30" s="1"/>
  <c r="E110" i="29" s="1"/>
  <c r="AL23" i="30"/>
  <c r="AM23" i="30" s="1"/>
  <c r="E23" i="29" s="1"/>
  <c r="AL76" i="30"/>
  <c r="AM76" i="30" s="1"/>
  <c r="E76" i="29" s="1"/>
  <c r="AL94" i="30"/>
  <c r="AM94" i="30" s="1"/>
  <c r="E94" i="29" s="1"/>
  <c r="AL80" i="30"/>
  <c r="AM80" i="30" s="1"/>
  <c r="E80" i="29" s="1"/>
  <c r="AL85" i="30"/>
  <c r="AM85" i="30" s="1"/>
  <c r="E85" i="29" s="1"/>
  <c r="AL47" i="30"/>
  <c r="AM47" i="30" s="1"/>
  <c r="E47" i="29" s="1"/>
  <c r="AL93" i="30"/>
  <c r="AM93" i="30" s="1"/>
  <c r="E93" i="29" s="1"/>
  <c r="AL53" i="30"/>
  <c r="AM53" i="30" s="1"/>
  <c r="E53" i="29" s="1"/>
  <c r="AL56" i="30"/>
  <c r="AM56" i="30" s="1"/>
  <c r="E56" i="29" s="1"/>
  <c r="AL70" i="30"/>
  <c r="AM70" i="30" s="1"/>
  <c r="E70" i="29" s="1"/>
  <c r="AL20" i="30"/>
  <c r="AM20" i="30" s="1"/>
  <c r="E20" i="29" s="1"/>
  <c r="AL116" i="30"/>
  <c r="AM116" i="30" s="1"/>
  <c r="E116" i="29" s="1"/>
  <c r="AL39" i="30"/>
  <c r="AM39" i="30" s="1"/>
  <c r="E39" i="29" s="1"/>
  <c r="AL73" i="30"/>
  <c r="AM73" i="30" s="1"/>
  <c r="E73" i="29" s="1"/>
  <c r="AL40" i="30"/>
  <c r="AM40" i="30" s="1"/>
  <c r="E40" i="29" s="1"/>
  <c r="AL97" i="30"/>
  <c r="AM97" i="30" s="1"/>
  <c r="E97" i="29" s="1"/>
  <c r="AL111" i="30"/>
  <c r="AM111" i="30" s="1"/>
  <c r="E111" i="29" s="1"/>
  <c r="AL32" i="30"/>
  <c r="AM32" i="30" s="1"/>
  <c r="E32" i="29" s="1"/>
  <c r="AL104" i="30"/>
  <c r="AM104" i="30" s="1"/>
  <c r="E104" i="29" s="1"/>
  <c r="AL46" i="30"/>
  <c r="AM46" i="30" s="1"/>
  <c r="E46" i="29" s="1"/>
  <c r="AL19" i="30"/>
  <c r="AM19" i="30" s="1"/>
  <c r="E19" i="29" s="1"/>
  <c r="AL95" i="30"/>
  <c r="AM95" i="30" s="1"/>
  <c r="E95" i="29" s="1"/>
  <c r="AL35" i="30"/>
  <c r="AM35" i="30" s="1"/>
  <c r="E35" i="29" s="1"/>
  <c r="AL115" i="30"/>
  <c r="AM115" i="30" s="1"/>
  <c r="E115" i="29" s="1"/>
  <c r="AL54" i="30"/>
  <c r="AM54" i="30" s="1"/>
  <c r="E54" i="29" s="1"/>
  <c r="AL26" i="30"/>
  <c r="AM26" i="30" s="1"/>
  <c r="E26" i="29" s="1"/>
  <c r="AL34" i="30"/>
  <c r="AM34" i="30" s="1"/>
  <c r="E34" i="29" s="1"/>
  <c r="AL77" i="30"/>
  <c r="AM77" i="30" s="1"/>
  <c r="E77" i="29" s="1"/>
  <c r="AL37" i="30"/>
  <c r="AM37" i="30" s="1"/>
  <c r="E37" i="29" s="1"/>
  <c r="AL38" i="30"/>
  <c r="AM38" i="30" s="1"/>
  <c r="E38" i="29" s="1"/>
  <c r="AL98" i="30"/>
  <c r="AM98" i="30" s="1"/>
  <c r="E98" i="29" s="1"/>
  <c r="AJ112" i="35"/>
  <c r="AK112" i="35" s="1"/>
  <c r="AL112" i="35" s="1"/>
  <c r="AM112" i="35" s="1"/>
  <c r="G112" i="29" s="1"/>
  <c r="AJ28" i="35"/>
  <c r="AK28" i="35" s="1"/>
  <c r="AL28" i="35" s="1"/>
  <c r="AM28" i="35" s="1"/>
  <c r="G28" i="29" s="1"/>
  <c r="AJ101" i="35"/>
  <c r="AK101" i="35" s="1"/>
  <c r="AL101" i="35" s="1"/>
  <c r="AM101" i="35" s="1"/>
  <c r="G101" i="29" s="1"/>
  <c r="AJ71" i="35"/>
  <c r="AK71" i="35" s="1"/>
  <c r="AL71" i="35" s="1"/>
  <c r="AM71" i="35" s="1"/>
  <c r="G71" i="29" s="1"/>
  <c r="AJ58" i="35"/>
  <c r="AK58" i="35" s="1"/>
  <c r="AL58" i="35" s="1"/>
  <c r="AM58" i="35" s="1"/>
  <c r="G58" i="29" s="1"/>
  <c r="AJ46" i="35"/>
  <c r="AK46" i="35" s="1"/>
  <c r="AL46" i="35" s="1"/>
  <c r="AM46" i="35" s="1"/>
  <c r="G46" i="29" s="1"/>
  <c r="AJ34" i="35"/>
  <c r="AK34" i="35" s="1"/>
  <c r="AL34" i="35" s="1"/>
  <c r="AM34" i="35" s="1"/>
  <c r="G34" i="29" s="1"/>
  <c r="AJ22" i="35"/>
  <c r="AK22" i="35" s="1"/>
  <c r="AL22" i="35" s="1"/>
  <c r="AM22" i="35" s="1"/>
  <c r="G22" i="29" s="1"/>
  <c r="AJ83" i="35"/>
  <c r="AK83" i="35" s="1"/>
  <c r="AL83" i="35" s="1"/>
  <c r="AM83" i="35" s="1"/>
  <c r="G83" i="29" s="1"/>
  <c r="AJ64" i="35"/>
  <c r="AK64" i="35" s="1"/>
  <c r="AL64" i="35" s="1"/>
  <c r="AM64" i="35" s="1"/>
  <c r="G64" i="29" s="1"/>
  <c r="AJ52" i="35"/>
  <c r="AK52" i="35" s="1"/>
  <c r="AL52" i="35" s="1"/>
  <c r="AM52" i="35" s="1"/>
  <c r="G52" i="29" s="1"/>
  <c r="AJ40" i="35"/>
  <c r="AK40" i="35" s="1"/>
  <c r="AL40" i="35" s="1"/>
  <c r="AM40" i="35" s="1"/>
  <c r="G40" i="29" s="1"/>
  <c r="AJ113" i="35"/>
  <c r="AK113" i="35" s="1"/>
  <c r="AL113" i="35" s="1"/>
  <c r="AM113" i="35" s="1"/>
  <c r="G113" i="29" s="1"/>
  <c r="AJ95" i="35"/>
  <c r="AK95" i="35" s="1"/>
  <c r="AL95" i="35" s="1"/>
  <c r="AM95" i="35" s="1"/>
  <c r="G95" i="29" s="1"/>
  <c r="AJ77" i="35"/>
  <c r="AK77" i="35" s="1"/>
  <c r="AL77" i="35" s="1"/>
  <c r="AM77" i="35" s="1"/>
  <c r="G77" i="29" s="1"/>
  <c r="AJ107" i="35"/>
  <c r="AK107" i="35" s="1"/>
  <c r="AL107" i="35" s="1"/>
  <c r="AM107" i="35" s="1"/>
  <c r="G107" i="29" s="1"/>
  <c r="AJ14" i="35"/>
  <c r="AJ89" i="35"/>
  <c r="AK89" i="35" s="1"/>
  <c r="AL89" i="35" s="1"/>
  <c r="AM89" i="35" s="1"/>
  <c r="G89" i="29" s="1"/>
  <c r="AJ23" i="35"/>
  <c r="AK23" i="35" s="1"/>
  <c r="AL23" i="35" s="1"/>
  <c r="AM23" i="35" s="1"/>
  <c r="G23" i="29" s="1"/>
  <c r="AJ102" i="35"/>
  <c r="AK102" i="35" s="1"/>
  <c r="AL102" i="35" s="1"/>
  <c r="AM102" i="35" s="1"/>
  <c r="G102" i="29" s="1"/>
  <c r="AJ66" i="35"/>
  <c r="AK66" i="35" s="1"/>
  <c r="AL66" i="35" s="1"/>
  <c r="AM66" i="35" s="1"/>
  <c r="G66" i="29" s="1"/>
  <c r="AJ37" i="35"/>
  <c r="AK37" i="35" s="1"/>
  <c r="AL37" i="35" s="1"/>
  <c r="AM37" i="35" s="1"/>
  <c r="G37" i="29" s="1"/>
  <c r="AJ110" i="35"/>
  <c r="AK110" i="35" s="1"/>
  <c r="AL110" i="35" s="1"/>
  <c r="AM110" i="35" s="1"/>
  <c r="G110" i="29" s="1"/>
  <c r="AJ81" i="35"/>
  <c r="AK81" i="35" s="1"/>
  <c r="AL81" i="35" s="1"/>
  <c r="AM81" i="35" s="1"/>
  <c r="G81" i="29" s="1"/>
  <c r="AJ51" i="35"/>
  <c r="AK51" i="35" s="1"/>
  <c r="AL51" i="35" s="1"/>
  <c r="AM51" i="35" s="1"/>
  <c r="G51" i="29" s="1"/>
  <c r="AJ90" i="35"/>
  <c r="AK90" i="35" s="1"/>
  <c r="AL90" i="35" s="1"/>
  <c r="AM90" i="35" s="1"/>
  <c r="G90" i="29" s="1"/>
  <c r="AJ17" i="35"/>
  <c r="AK17" i="35" s="1"/>
  <c r="AL17" i="35" s="1"/>
  <c r="AM17" i="35" s="1"/>
  <c r="G17" i="29" s="1"/>
  <c r="AJ35" i="35"/>
  <c r="AK35" i="35" s="1"/>
  <c r="AL35" i="35" s="1"/>
  <c r="AM35" i="35" s="1"/>
  <c r="G35" i="29" s="1"/>
  <c r="AJ108" i="35"/>
  <c r="AK108" i="35" s="1"/>
  <c r="AL108" i="35" s="1"/>
  <c r="AM108" i="35" s="1"/>
  <c r="G108" i="29" s="1"/>
  <c r="AJ73" i="35"/>
  <c r="AK73" i="35" s="1"/>
  <c r="AL73" i="35" s="1"/>
  <c r="AM73" i="35" s="1"/>
  <c r="G73" i="29" s="1"/>
  <c r="AJ43" i="35"/>
  <c r="AK43" i="35" s="1"/>
  <c r="AL43" i="35" s="1"/>
  <c r="AM43" i="35" s="1"/>
  <c r="G43" i="29" s="1"/>
  <c r="AJ116" i="35"/>
  <c r="AK116" i="35" s="1"/>
  <c r="AL116" i="35" s="1"/>
  <c r="AM116" i="35" s="1"/>
  <c r="G116" i="29" s="1"/>
  <c r="AJ87" i="35"/>
  <c r="AK87" i="35" s="1"/>
  <c r="AL87" i="35" s="1"/>
  <c r="AM87" i="35" s="1"/>
  <c r="G87" i="29" s="1"/>
  <c r="AJ57" i="35"/>
  <c r="AK57" i="35" s="1"/>
  <c r="AL57" i="35" s="1"/>
  <c r="AM57" i="35" s="1"/>
  <c r="G57" i="29" s="1"/>
  <c r="AJ98" i="35"/>
  <c r="AK98" i="35" s="1"/>
  <c r="AL98" i="35" s="1"/>
  <c r="AM98" i="35" s="1"/>
  <c r="G98" i="29" s="1"/>
  <c r="AJ29" i="35"/>
  <c r="AK29" i="35" s="1"/>
  <c r="AL29" i="35" s="1"/>
  <c r="AM29" i="35" s="1"/>
  <c r="G29" i="29" s="1"/>
  <c r="AJ41" i="35"/>
  <c r="AK41" i="35" s="1"/>
  <c r="AL41" i="35" s="1"/>
  <c r="AM41" i="35" s="1"/>
  <c r="G41" i="29" s="1"/>
  <c r="AJ114" i="35"/>
  <c r="AK114" i="35" s="1"/>
  <c r="AL114" i="35" s="1"/>
  <c r="AM114" i="35" s="1"/>
  <c r="G114" i="29" s="1"/>
  <c r="AJ79" i="35"/>
  <c r="AK79" i="35" s="1"/>
  <c r="AL79" i="35" s="1"/>
  <c r="AM79" i="35" s="1"/>
  <c r="G79" i="29" s="1"/>
  <c r="AJ49" i="35"/>
  <c r="AK49" i="35" s="1"/>
  <c r="AL49" i="35" s="1"/>
  <c r="AM49" i="35" s="1"/>
  <c r="G49" i="29" s="1"/>
  <c r="AJ20" i="35"/>
  <c r="AK20" i="35" s="1"/>
  <c r="AL20" i="35" s="1"/>
  <c r="AM20" i="35" s="1"/>
  <c r="G20" i="29" s="1"/>
  <c r="AJ93" i="35"/>
  <c r="AK93" i="35" s="1"/>
  <c r="AL93" i="35" s="1"/>
  <c r="AM93" i="35" s="1"/>
  <c r="G93" i="29" s="1"/>
  <c r="AJ63" i="35"/>
  <c r="AK63" i="35" s="1"/>
  <c r="AL63" i="35" s="1"/>
  <c r="AM63" i="35" s="1"/>
  <c r="G63" i="29" s="1"/>
  <c r="AJ47" i="35"/>
  <c r="AK47" i="35" s="1"/>
  <c r="AL47" i="35" s="1"/>
  <c r="AM47" i="35" s="1"/>
  <c r="G47" i="29" s="1"/>
  <c r="AK14" i="35"/>
  <c r="AJ85" i="35"/>
  <c r="AK85" i="35" s="1"/>
  <c r="AL85" i="35" s="1"/>
  <c r="AM85" i="35" s="1"/>
  <c r="G85" i="29" s="1"/>
  <c r="AJ55" i="35"/>
  <c r="AK55" i="35" s="1"/>
  <c r="AL55" i="35" s="1"/>
  <c r="AM55" i="35" s="1"/>
  <c r="G55" i="29" s="1"/>
  <c r="AJ26" i="35"/>
  <c r="AK26" i="35" s="1"/>
  <c r="AL26" i="35" s="1"/>
  <c r="AM26" i="35" s="1"/>
  <c r="G26" i="29" s="1"/>
  <c r="AJ99" i="35"/>
  <c r="AK99" i="35" s="1"/>
  <c r="AL99" i="35" s="1"/>
  <c r="AM99" i="35" s="1"/>
  <c r="G99" i="29" s="1"/>
  <c r="AJ70" i="35"/>
  <c r="AK70" i="35" s="1"/>
  <c r="AL70" i="35" s="1"/>
  <c r="AM70" i="35" s="1"/>
  <c r="G70" i="29" s="1"/>
  <c r="AJ25" i="35"/>
  <c r="AK25" i="35" s="1"/>
  <c r="AL25" i="35" s="1"/>
  <c r="AM25" i="35" s="1"/>
  <c r="G25" i="29" s="1"/>
  <c r="AJ53" i="35"/>
  <c r="AK53" i="35" s="1"/>
  <c r="AL53" i="35" s="1"/>
  <c r="AM53" i="35" s="1"/>
  <c r="G53" i="29" s="1"/>
  <c r="AJ18" i="35"/>
  <c r="AK18" i="35" s="1"/>
  <c r="AL18" i="35" s="1"/>
  <c r="AM18" i="35" s="1"/>
  <c r="G18" i="29" s="1"/>
  <c r="AJ91" i="35"/>
  <c r="AK91" i="35" s="1"/>
  <c r="AL91" i="35" s="1"/>
  <c r="AM91" i="35" s="1"/>
  <c r="G91" i="29" s="1"/>
  <c r="AJ61" i="35"/>
  <c r="AK61" i="35" s="1"/>
  <c r="AL61" i="35" s="1"/>
  <c r="AM61" i="35" s="1"/>
  <c r="G61" i="29" s="1"/>
  <c r="AJ32" i="35"/>
  <c r="AK32" i="35" s="1"/>
  <c r="AL32" i="35" s="1"/>
  <c r="AM32" i="35" s="1"/>
  <c r="G32" i="29" s="1"/>
  <c r="AJ105" i="35"/>
  <c r="AK105" i="35" s="1"/>
  <c r="AL105" i="35" s="1"/>
  <c r="AM105" i="35" s="1"/>
  <c r="G105" i="29" s="1"/>
  <c r="AJ76" i="35"/>
  <c r="AK76" i="35" s="1"/>
  <c r="AL76" i="35" s="1"/>
  <c r="AM76" i="35" s="1"/>
  <c r="G76" i="29" s="1"/>
  <c r="AJ39" i="35"/>
  <c r="AK39" i="35" s="1"/>
  <c r="AL39" i="35" s="1"/>
  <c r="AM39" i="35" s="1"/>
  <c r="G39" i="29" s="1"/>
  <c r="AJ59" i="35"/>
  <c r="AK59" i="35" s="1"/>
  <c r="AL59" i="35" s="1"/>
  <c r="AM59" i="35" s="1"/>
  <c r="G59" i="29" s="1"/>
  <c r="AJ24" i="35"/>
  <c r="AK24" i="35" s="1"/>
  <c r="AL24" i="35" s="1"/>
  <c r="AM24" i="35" s="1"/>
  <c r="G24" i="29" s="1"/>
  <c r="AJ97" i="35"/>
  <c r="AK97" i="35" s="1"/>
  <c r="AL97" i="35" s="1"/>
  <c r="AM97" i="35" s="1"/>
  <c r="G97" i="29" s="1"/>
  <c r="AJ68" i="35"/>
  <c r="AK68" i="35" s="1"/>
  <c r="AL68" i="35" s="1"/>
  <c r="AM68" i="35" s="1"/>
  <c r="G68" i="29" s="1"/>
  <c r="AJ38" i="35"/>
  <c r="AK38" i="35" s="1"/>
  <c r="AL38" i="35" s="1"/>
  <c r="AM38" i="35" s="1"/>
  <c r="G38" i="29" s="1"/>
  <c r="AJ111" i="35"/>
  <c r="AK111" i="35" s="1"/>
  <c r="AL111" i="35" s="1"/>
  <c r="AM111" i="35" s="1"/>
  <c r="G111" i="29" s="1"/>
  <c r="AJ82" i="35"/>
  <c r="AK82" i="35" s="1"/>
  <c r="AL82" i="35" s="1"/>
  <c r="AM82" i="35" s="1"/>
  <c r="G82" i="29" s="1"/>
  <c r="AJ54" i="35"/>
  <c r="AK54" i="35" s="1"/>
  <c r="AL54" i="35" s="1"/>
  <c r="AM54" i="35" s="1"/>
  <c r="G54" i="29" s="1"/>
  <c r="AJ65" i="35"/>
  <c r="AK65" i="35" s="1"/>
  <c r="AL65" i="35" s="1"/>
  <c r="AM65" i="35" s="1"/>
  <c r="G65" i="29" s="1"/>
  <c r="AJ30" i="35"/>
  <c r="AK30" i="35" s="1"/>
  <c r="AL30" i="35" s="1"/>
  <c r="AM30" i="35" s="1"/>
  <c r="G30" i="29" s="1"/>
  <c r="AJ103" i="35"/>
  <c r="AK103" i="35" s="1"/>
  <c r="AL103" i="35" s="1"/>
  <c r="AM103" i="35" s="1"/>
  <c r="G103" i="29" s="1"/>
  <c r="AJ74" i="35"/>
  <c r="AK74" i="35" s="1"/>
  <c r="AL74" i="35" s="1"/>
  <c r="AM74" i="35" s="1"/>
  <c r="G74" i="29" s="1"/>
  <c r="AJ44" i="35"/>
  <c r="AK44" i="35" s="1"/>
  <c r="AL44" i="35" s="1"/>
  <c r="AM44" i="35" s="1"/>
  <c r="G44" i="29" s="1"/>
  <c r="AJ117" i="35"/>
  <c r="AK117" i="35" s="1"/>
  <c r="AL117" i="35" s="1"/>
  <c r="AM117" i="35" s="1"/>
  <c r="G117" i="29" s="1"/>
  <c r="AJ88" i="35"/>
  <c r="AK88" i="35" s="1"/>
  <c r="AL88" i="35" s="1"/>
  <c r="AM88" i="35" s="1"/>
  <c r="G88" i="29" s="1"/>
  <c r="AJ69" i="35"/>
  <c r="AK69" i="35" s="1"/>
  <c r="AL69" i="35" s="1"/>
  <c r="AM69" i="35" s="1"/>
  <c r="G69" i="29" s="1"/>
  <c r="AJ72" i="35"/>
  <c r="AK72" i="35" s="1"/>
  <c r="AL72" i="35" s="1"/>
  <c r="AM72" i="35" s="1"/>
  <c r="G72" i="29" s="1"/>
  <c r="AJ36" i="35"/>
  <c r="AK36" i="35" s="1"/>
  <c r="AL36" i="35" s="1"/>
  <c r="AM36" i="35" s="1"/>
  <c r="G36" i="29" s="1"/>
  <c r="AJ109" i="35"/>
  <c r="AK109" i="35" s="1"/>
  <c r="AL109" i="35" s="1"/>
  <c r="AM109" i="35" s="1"/>
  <c r="G109" i="29" s="1"/>
  <c r="AJ80" i="35"/>
  <c r="AK80" i="35" s="1"/>
  <c r="AL80" i="35" s="1"/>
  <c r="AM80" i="35" s="1"/>
  <c r="G80" i="29" s="1"/>
  <c r="AJ50" i="35"/>
  <c r="AK50" i="35" s="1"/>
  <c r="AL50" i="35" s="1"/>
  <c r="AM50" i="35" s="1"/>
  <c r="G50" i="29" s="1"/>
  <c r="AJ21" i="35"/>
  <c r="AK21" i="35" s="1"/>
  <c r="AL21" i="35" s="1"/>
  <c r="AM21" i="35" s="1"/>
  <c r="G21" i="29" s="1"/>
  <c r="AJ94" i="35"/>
  <c r="AK94" i="35" s="1"/>
  <c r="AL94" i="35" s="1"/>
  <c r="AM94" i="35" s="1"/>
  <c r="G94" i="29" s="1"/>
  <c r="AJ78" i="35"/>
  <c r="AK78" i="35" s="1"/>
  <c r="AL78" i="35" s="1"/>
  <c r="AM78" i="35" s="1"/>
  <c r="G78" i="29" s="1"/>
  <c r="AJ42" i="35"/>
  <c r="AK42" i="35" s="1"/>
  <c r="AL42" i="35" s="1"/>
  <c r="AM42" i="35" s="1"/>
  <c r="G42" i="29" s="1"/>
  <c r="AJ115" i="35"/>
  <c r="AK115" i="35" s="1"/>
  <c r="AL115" i="35" s="1"/>
  <c r="AM115" i="35" s="1"/>
  <c r="G115" i="29" s="1"/>
  <c r="AJ86" i="35"/>
  <c r="AK86" i="35" s="1"/>
  <c r="AL86" i="35" s="1"/>
  <c r="AM86" i="35" s="1"/>
  <c r="G86" i="29" s="1"/>
  <c r="AJ56" i="35"/>
  <c r="AK56" i="35" s="1"/>
  <c r="AL56" i="35" s="1"/>
  <c r="AM56" i="35" s="1"/>
  <c r="G56" i="29" s="1"/>
  <c r="AJ27" i="35"/>
  <c r="AK27" i="35" s="1"/>
  <c r="AL27" i="35" s="1"/>
  <c r="AM27" i="35" s="1"/>
  <c r="G27" i="29" s="1"/>
  <c r="AJ100" i="35"/>
  <c r="AK100" i="35" s="1"/>
  <c r="AL100" i="35" s="1"/>
  <c r="AM100" i="35" s="1"/>
  <c r="G100" i="29" s="1"/>
  <c r="AJ84" i="35"/>
  <c r="AK84" i="35" s="1"/>
  <c r="AL84" i="35" s="1"/>
  <c r="AM84" i="35" s="1"/>
  <c r="G84" i="29" s="1"/>
  <c r="AJ48" i="35"/>
  <c r="AK48" i="35" s="1"/>
  <c r="AL48" i="35" s="1"/>
  <c r="AM48" i="35" s="1"/>
  <c r="G48" i="29" s="1"/>
  <c r="AJ19" i="35"/>
  <c r="AK19" i="35" s="1"/>
  <c r="AL19" i="35" s="1"/>
  <c r="AM19" i="35" s="1"/>
  <c r="G19" i="29" s="1"/>
  <c r="AJ92" i="35"/>
  <c r="AK92" i="35" s="1"/>
  <c r="AL92" i="35" s="1"/>
  <c r="AM92" i="35" s="1"/>
  <c r="G92" i="29" s="1"/>
  <c r="AJ62" i="35"/>
  <c r="AK62" i="35" s="1"/>
  <c r="AL62" i="35" s="1"/>
  <c r="AM62" i="35" s="1"/>
  <c r="G62" i="29" s="1"/>
  <c r="AJ33" i="35"/>
  <c r="AK33" i="35" s="1"/>
  <c r="AL33" i="35" s="1"/>
  <c r="AM33" i="35" s="1"/>
  <c r="G33" i="29" s="1"/>
  <c r="AJ106" i="35"/>
  <c r="AK106" i="35" s="1"/>
  <c r="AL106" i="35" s="1"/>
  <c r="AM106" i="35" s="1"/>
  <c r="G106" i="29" s="1"/>
  <c r="AJ96" i="35"/>
  <c r="AK96" i="35" s="1"/>
  <c r="AL96" i="35" s="1"/>
  <c r="AM96" i="35" s="1"/>
  <c r="G96" i="29" s="1"/>
  <c r="AJ60" i="35"/>
  <c r="AK60" i="35" s="1"/>
  <c r="AL60" i="35" s="1"/>
  <c r="AM60" i="35" s="1"/>
  <c r="G60" i="29" s="1"/>
  <c r="AJ31" i="35"/>
  <c r="AK31" i="35" s="1"/>
  <c r="AL31" i="35" s="1"/>
  <c r="AM31" i="35" s="1"/>
  <c r="G31" i="29" s="1"/>
  <c r="AJ104" i="35"/>
  <c r="AK104" i="35" s="1"/>
  <c r="AL104" i="35" s="1"/>
  <c r="AM104" i="35" s="1"/>
  <c r="G104" i="29" s="1"/>
  <c r="AJ75" i="35"/>
  <c r="AK75" i="35" s="1"/>
  <c r="AL75" i="35" s="1"/>
  <c r="AM75" i="35" s="1"/>
  <c r="G75" i="29" s="1"/>
  <c r="AJ45" i="35"/>
  <c r="AK45" i="35" s="1"/>
  <c r="AL45" i="35" s="1"/>
  <c r="AM45" i="35" s="1"/>
  <c r="G45" i="29" s="1"/>
  <c r="AJ94" i="34"/>
  <c r="AK94" i="34" s="1"/>
  <c r="AL94" i="34" s="1"/>
  <c r="AM94" i="34" s="1"/>
  <c r="F94" i="29" s="1"/>
  <c r="AJ21" i="34"/>
  <c r="AK21" i="34" s="1"/>
  <c r="AL21" i="34" s="1"/>
  <c r="AM21" i="34" s="1"/>
  <c r="F21" i="29" s="1"/>
  <c r="AJ87" i="34"/>
  <c r="AK87" i="34" s="1"/>
  <c r="AL87" i="34" s="1"/>
  <c r="AM87" i="34" s="1"/>
  <c r="F87" i="29" s="1"/>
  <c r="AJ96" i="34"/>
  <c r="AK96" i="34" s="1"/>
  <c r="AL96" i="34" s="1"/>
  <c r="AM96" i="34" s="1"/>
  <c r="F96" i="29" s="1"/>
  <c r="AJ61" i="34"/>
  <c r="AK61" i="34" s="1"/>
  <c r="AL61" i="34" s="1"/>
  <c r="AM61" i="34" s="1"/>
  <c r="F61" i="29" s="1"/>
  <c r="AJ109" i="34"/>
  <c r="AK109" i="34" s="1"/>
  <c r="AL109" i="34" s="1"/>
  <c r="AM109" i="34" s="1"/>
  <c r="F109" i="29" s="1"/>
  <c r="AJ36" i="34"/>
  <c r="AK36" i="34" s="1"/>
  <c r="AL36" i="34" s="1"/>
  <c r="AM36" i="34" s="1"/>
  <c r="F36" i="29" s="1"/>
  <c r="AJ101" i="34"/>
  <c r="AK101" i="34" s="1"/>
  <c r="AL101" i="34" s="1"/>
  <c r="AM101" i="34" s="1"/>
  <c r="F101" i="29" s="1"/>
  <c r="AJ28" i="34"/>
  <c r="AK28" i="34" s="1"/>
  <c r="AL28" i="34" s="1"/>
  <c r="AM28" i="34" s="1"/>
  <c r="F28" i="29" s="1"/>
  <c r="AJ88" i="34"/>
  <c r="AK88" i="34" s="1"/>
  <c r="AL88" i="34" s="1"/>
  <c r="AM88" i="34" s="1"/>
  <c r="F88" i="29" s="1"/>
  <c r="AJ90" i="34"/>
  <c r="AK90" i="34" s="1"/>
  <c r="AL90" i="34" s="1"/>
  <c r="AM90" i="34" s="1"/>
  <c r="F90" i="29" s="1"/>
  <c r="AJ81" i="34"/>
  <c r="AK81" i="34" s="1"/>
  <c r="AL81" i="34" s="1"/>
  <c r="AM81" i="34" s="1"/>
  <c r="F81" i="29" s="1"/>
  <c r="AJ78" i="34"/>
  <c r="AK78" i="34" s="1"/>
  <c r="AL78" i="34" s="1"/>
  <c r="AM78" i="34" s="1"/>
  <c r="F78" i="29" s="1"/>
  <c r="AJ55" i="34"/>
  <c r="AK55" i="34" s="1"/>
  <c r="AL55" i="34" s="1"/>
  <c r="AM55" i="34" s="1"/>
  <c r="F55" i="29" s="1"/>
  <c r="AJ103" i="34"/>
  <c r="AK103" i="34" s="1"/>
  <c r="AL103" i="34" s="1"/>
  <c r="AM103" i="34" s="1"/>
  <c r="F103" i="29" s="1"/>
  <c r="AJ30" i="34"/>
  <c r="AK30" i="34" s="1"/>
  <c r="AL30" i="34" s="1"/>
  <c r="AM30" i="34" s="1"/>
  <c r="F30" i="29" s="1"/>
  <c r="AJ95" i="34"/>
  <c r="AK95" i="34" s="1"/>
  <c r="AL95" i="34" s="1"/>
  <c r="AM95" i="34" s="1"/>
  <c r="F95" i="29" s="1"/>
  <c r="AJ22" i="34"/>
  <c r="AK22" i="34" s="1"/>
  <c r="AL22" i="34" s="1"/>
  <c r="AM22" i="34" s="1"/>
  <c r="F22" i="29" s="1"/>
  <c r="AJ82" i="34"/>
  <c r="AK82" i="34" s="1"/>
  <c r="AL82" i="34" s="1"/>
  <c r="AM82" i="34" s="1"/>
  <c r="F82" i="29" s="1"/>
  <c r="AJ65" i="34"/>
  <c r="AK65" i="34" s="1"/>
  <c r="AL65" i="34" s="1"/>
  <c r="AM65" i="34" s="1"/>
  <c r="F65" i="29" s="1"/>
  <c r="AJ75" i="34"/>
  <c r="AK75" i="34" s="1"/>
  <c r="AL75" i="34" s="1"/>
  <c r="AM75" i="34" s="1"/>
  <c r="F75" i="29" s="1"/>
  <c r="AJ35" i="34"/>
  <c r="AK35" i="34" s="1"/>
  <c r="AL35" i="34" s="1"/>
  <c r="AM35" i="34" s="1"/>
  <c r="F35" i="29" s="1"/>
  <c r="AJ49" i="34"/>
  <c r="AK49" i="34" s="1"/>
  <c r="AL49" i="34" s="1"/>
  <c r="AM49" i="34" s="1"/>
  <c r="F49" i="29" s="1"/>
  <c r="AJ97" i="34"/>
  <c r="AK97" i="34" s="1"/>
  <c r="AL97" i="34" s="1"/>
  <c r="AM97" i="34" s="1"/>
  <c r="F97" i="29" s="1"/>
  <c r="AJ24" i="34"/>
  <c r="AK24" i="34" s="1"/>
  <c r="AL24" i="34" s="1"/>
  <c r="AM24" i="34" s="1"/>
  <c r="F24" i="29" s="1"/>
  <c r="AJ89" i="34"/>
  <c r="AK89" i="34" s="1"/>
  <c r="AL89" i="34" s="1"/>
  <c r="AM89" i="34" s="1"/>
  <c r="F89" i="29" s="1"/>
  <c r="AJ53" i="34"/>
  <c r="AK53" i="34" s="1"/>
  <c r="AL53" i="34" s="1"/>
  <c r="AM53" i="34" s="1"/>
  <c r="F53" i="29" s="1"/>
  <c r="AJ76" i="34"/>
  <c r="AK76" i="34" s="1"/>
  <c r="AL76" i="34" s="1"/>
  <c r="AM76" i="34" s="1"/>
  <c r="F76" i="29" s="1"/>
  <c r="AJ29" i="34"/>
  <c r="AK29" i="34" s="1"/>
  <c r="AL29" i="34" s="1"/>
  <c r="AM29" i="34" s="1"/>
  <c r="F29" i="29" s="1"/>
  <c r="AJ69" i="34"/>
  <c r="AK69" i="34" s="1"/>
  <c r="AL69" i="34" s="1"/>
  <c r="AM69" i="34" s="1"/>
  <c r="F69" i="29" s="1"/>
  <c r="AJ116" i="34"/>
  <c r="AK116" i="34" s="1"/>
  <c r="AL116" i="34" s="1"/>
  <c r="AM116" i="34" s="1"/>
  <c r="F116" i="29" s="1"/>
  <c r="AJ43" i="34"/>
  <c r="AK43" i="34" s="1"/>
  <c r="AL43" i="34" s="1"/>
  <c r="AM43" i="34" s="1"/>
  <c r="AJ91" i="34"/>
  <c r="AK91" i="34" s="1"/>
  <c r="AL91" i="34" s="1"/>
  <c r="AM91" i="34" s="1"/>
  <c r="F91" i="29" s="1"/>
  <c r="AJ72" i="34"/>
  <c r="AK72" i="34" s="1"/>
  <c r="AL72" i="34" s="1"/>
  <c r="AM72" i="34" s="1"/>
  <c r="F72" i="29" s="1"/>
  <c r="AJ83" i="34"/>
  <c r="AK83" i="34" s="1"/>
  <c r="AL83" i="34" s="1"/>
  <c r="AM83" i="34" s="1"/>
  <c r="F83" i="29" s="1"/>
  <c r="AJ33" i="34"/>
  <c r="AK33" i="34" s="1"/>
  <c r="AL33" i="34" s="1"/>
  <c r="AM33" i="34" s="1"/>
  <c r="F33" i="29" s="1"/>
  <c r="AJ99" i="34"/>
  <c r="AK99" i="34" s="1"/>
  <c r="AL99" i="34" s="1"/>
  <c r="AM99" i="34" s="1"/>
  <c r="F99" i="29" s="1"/>
  <c r="AJ26" i="34"/>
  <c r="AK26" i="34" s="1"/>
  <c r="AL26" i="34" s="1"/>
  <c r="AM26" i="34" s="1"/>
  <c r="F26" i="29" s="1"/>
  <c r="AJ41" i="34"/>
  <c r="AK41" i="34" s="1"/>
  <c r="AL41" i="34" s="1"/>
  <c r="AM41" i="34" s="1"/>
  <c r="F41" i="29" s="1"/>
  <c r="AJ40" i="34"/>
  <c r="AK40" i="34" s="1"/>
  <c r="AL40" i="34" s="1"/>
  <c r="AM40" i="34" s="1"/>
  <c r="F40" i="29" s="1"/>
  <c r="AJ70" i="34"/>
  <c r="AK70" i="34" s="1"/>
  <c r="AL70" i="34" s="1"/>
  <c r="AM70" i="34" s="1"/>
  <c r="F70" i="29" s="1"/>
  <c r="AJ17" i="34"/>
  <c r="AK17" i="34" s="1"/>
  <c r="AL17" i="34" s="1"/>
  <c r="AM17" i="34" s="1"/>
  <c r="F17" i="29" s="1"/>
  <c r="AJ62" i="34"/>
  <c r="AK62" i="34" s="1"/>
  <c r="AL62" i="34" s="1"/>
  <c r="AM62" i="34" s="1"/>
  <c r="F62" i="29" s="1"/>
  <c r="AJ110" i="34"/>
  <c r="AK110" i="34" s="1"/>
  <c r="AL110" i="34" s="1"/>
  <c r="AM110" i="34" s="1"/>
  <c r="F110" i="29" s="1"/>
  <c r="AJ37" i="34"/>
  <c r="AK37" i="34" s="1"/>
  <c r="AL37" i="34" s="1"/>
  <c r="AM37" i="34" s="1"/>
  <c r="F37" i="29" s="1"/>
  <c r="AJ85" i="34"/>
  <c r="AK85" i="34" s="1"/>
  <c r="AL85" i="34" s="1"/>
  <c r="AM85" i="34" s="1"/>
  <c r="F85" i="29" s="1"/>
  <c r="AJ59" i="34"/>
  <c r="AK59" i="34" s="1"/>
  <c r="AL59" i="34" s="1"/>
  <c r="AM59" i="34" s="1"/>
  <c r="F59" i="29" s="1"/>
  <c r="AJ77" i="34"/>
  <c r="AK77" i="34" s="1"/>
  <c r="AL77" i="34" s="1"/>
  <c r="AM77" i="34" s="1"/>
  <c r="F77" i="29" s="1"/>
  <c r="AJ63" i="34"/>
  <c r="AK63" i="34" s="1"/>
  <c r="AL63" i="34" s="1"/>
  <c r="AM63" i="34" s="1"/>
  <c r="F63" i="29" s="1"/>
  <c r="AJ114" i="34"/>
  <c r="AK114" i="34" s="1"/>
  <c r="AL114" i="34" s="1"/>
  <c r="AM114" i="34" s="1"/>
  <c r="F114" i="29" s="1"/>
  <c r="AJ56" i="34"/>
  <c r="AK56" i="34" s="1"/>
  <c r="AL56" i="34" s="1"/>
  <c r="AM56" i="34" s="1"/>
  <c r="F56" i="29" s="1"/>
  <c r="AJ104" i="34"/>
  <c r="AK104" i="34" s="1"/>
  <c r="AL104" i="34" s="1"/>
  <c r="AM104" i="34" s="1"/>
  <c r="F104" i="29" s="1"/>
  <c r="AJ31" i="34"/>
  <c r="AK31" i="34" s="1"/>
  <c r="AL31" i="34" s="1"/>
  <c r="AM31" i="34" s="1"/>
  <c r="F31" i="29" s="1"/>
  <c r="AJ79" i="34"/>
  <c r="AK79" i="34" s="1"/>
  <c r="AL79" i="34" s="1"/>
  <c r="AM79" i="34" s="1"/>
  <c r="F79" i="29" s="1"/>
  <c r="AK14" i="34"/>
  <c r="AJ71" i="34"/>
  <c r="AK71" i="34" s="1"/>
  <c r="AL71" i="34" s="1"/>
  <c r="AM71" i="34" s="1"/>
  <c r="F71" i="29" s="1"/>
  <c r="AJ57" i="34"/>
  <c r="AK57" i="34" s="1"/>
  <c r="AL57" i="34" s="1"/>
  <c r="AM57" i="34" s="1"/>
  <c r="F57" i="29" s="1"/>
  <c r="AJ102" i="34"/>
  <c r="AK102" i="34" s="1"/>
  <c r="AL102" i="34" s="1"/>
  <c r="AM102" i="34" s="1"/>
  <c r="F102" i="29" s="1"/>
  <c r="AJ50" i="34"/>
  <c r="AK50" i="34" s="1"/>
  <c r="AL50" i="34" s="1"/>
  <c r="AM50" i="34" s="1"/>
  <c r="F50" i="29" s="1"/>
  <c r="AJ98" i="34"/>
  <c r="AK98" i="34" s="1"/>
  <c r="AL98" i="34" s="1"/>
  <c r="AM98" i="34" s="1"/>
  <c r="F98" i="29" s="1"/>
  <c r="AJ25" i="34"/>
  <c r="AK25" i="34" s="1"/>
  <c r="AL25" i="34" s="1"/>
  <c r="AM25" i="34" s="1"/>
  <c r="F25" i="29" s="1"/>
  <c r="AJ73" i="34"/>
  <c r="AK73" i="34" s="1"/>
  <c r="AL73" i="34" s="1"/>
  <c r="AM73" i="34" s="1"/>
  <c r="F73" i="29" s="1"/>
  <c r="AJ47" i="34"/>
  <c r="AK47" i="34" s="1"/>
  <c r="AL47" i="34" s="1"/>
  <c r="AM47" i="34" s="1"/>
  <c r="F47" i="29" s="1"/>
  <c r="AJ64" i="34"/>
  <c r="AK64" i="34" s="1"/>
  <c r="AL64" i="34" s="1"/>
  <c r="AM64" i="34" s="1"/>
  <c r="F64" i="29" s="1"/>
  <c r="AJ48" i="34"/>
  <c r="AK48" i="34" s="1"/>
  <c r="AL48" i="34" s="1"/>
  <c r="AM48" i="34" s="1"/>
  <c r="F48" i="29" s="1"/>
  <c r="AJ51" i="34"/>
  <c r="AK51" i="34" s="1"/>
  <c r="AL51" i="34" s="1"/>
  <c r="AM51" i="34" s="1"/>
  <c r="F51" i="29" s="1"/>
  <c r="AJ117" i="34"/>
  <c r="AK117" i="34" s="1"/>
  <c r="AL117" i="34" s="1"/>
  <c r="AM117" i="34" s="1"/>
  <c r="F117" i="29" s="1"/>
  <c r="AJ44" i="34"/>
  <c r="AK44" i="34" s="1"/>
  <c r="AL44" i="34" s="1"/>
  <c r="AM44" i="34" s="1"/>
  <c r="F44" i="29" s="1"/>
  <c r="AJ92" i="34"/>
  <c r="AK92" i="34" s="1"/>
  <c r="AL92" i="34" s="1"/>
  <c r="AM92" i="34" s="1"/>
  <c r="F92" i="29" s="1"/>
  <c r="AJ19" i="34"/>
  <c r="AK19" i="34" s="1"/>
  <c r="AL19" i="34" s="1"/>
  <c r="AM19" i="34" s="1"/>
  <c r="F19" i="29" s="1"/>
  <c r="AJ66" i="34"/>
  <c r="AK66" i="34" s="1"/>
  <c r="AL66" i="34" s="1"/>
  <c r="AM66" i="34" s="1"/>
  <c r="AJ23" i="34"/>
  <c r="AK23" i="34" s="1"/>
  <c r="AL23" i="34" s="1"/>
  <c r="AM23" i="34" s="1"/>
  <c r="F23" i="29" s="1"/>
  <c r="AJ58" i="34"/>
  <c r="AK58" i="34" s="1"/>
  <c r="AL58" i="34" s="1"/>
  <c r="AM58" i="34" s="1"/>
  <c r="F58" i="29" s="1"/>
  <c r="AJ45" i="34"/>
  <c r="AK45" i="34" s="1"/>
  <c r="AL45" i="34" s="1"/>
  <c r="AM45" i="34" s="1"/>
  <c r="F45" i="29" s="1"/>
  <c r="AJ111" i="34"/>
  <c r="AK111" i="34" s="1"/>
  <c r="AL111" i="34" s="1"/>
  <c r="AM111" i="34" s="1"/>
  <c r="F111" i="29" s="1"/>
  <c r="AJ38" i="34"/>
  <c r="AK38" i="34" s="1"/>
  <c r="AL38" i="34" s="1"/>
  <c r="AM38" i="34" s="1"/>
  <c r="F38" i="29" s="1"/>
  <c r="AJ86" i="34"/>
  <c r="AK86" i="34" s="1"/>
  <c r="AL86" i="34" s="1"/>
  <c r="AM86" i="34" s="1"/>
  <c r="F86" i="29" s="1"/>
  <c r="AJ18" i="34"/>
  <c r="AK18" i="34" s="1"/>
  <c r="AL18" i="34" s="1"/>
  <c r="AM18" i="34" s="1"/>
  <c r="F18" i="29" s="1"/>
  <c r="AJ60" i="34"/>
  <c r="AK60" i="34" s="1"/>
  <c r="AL60" i="34" s="1"/>
  <c r="AM60" i="34" s="1"/>
  <c r="F60" i="29" s="1"/>
  <c r="AJ14" i="34"/>
  <c r="AJ52" i="34"/>
  <c r="AK52" i="34" s="1"/>
  <c r="AL52" i="34" s="1"/>
  <c r="AM52" i="34" s="1"/>
  <c r="F52" i="29" s="1"/>
  <c r="AJ106" i="34"/>
  <c r="AK106" i="34" s="1"/>
  <c r="AL106" i="34" s="1"/>
  <c r="AM106" i="34" s="1"/>
  <c r="F106" i="29" s="1"/>
  <c r="AJ112" i="34"/>
  <c r="AK112" i="34" s="1"/>
  <c r="AL112" i="34" s="1"/>
  <c r="AM112" i="34" s="1"/>
  <c r="F112" i="29" s="1"/>
  <c r="AJ39" i="34"/>
  <c r="AK39" i="34" s="1"/>
  <c r="AL39" i="34" s="1"/>
  <c r="AM39" i="34" s="1"/>
  <c r="F39" i="29" s="1"/>
  <c r="AJ105" i="34"/>
  <c r="AK105" i="34" s="1"/>
  <c r="AL105" i="34" s="1"/>
  <c r="AM105" i="34" s="1"/>
  <c r="F105" i="29" s="1"/>
  <c r="AJ32" i="34"/>
  <c r="AK32" i="34" s="1"/>
  <c r="AL32" i="34" s="1"/>
  <c r="AM32" i="34" s="1"/>
  <c r="F32" i="29" s="1"/>
  <c r="AJ80" i="34"/>
  <c r="AK80" i="34" s="1"/>
  <c r="AL80" i="34" s="1"/>
  <c r="AM80" i="34" s="1"/>
  <c r="F80" i="29" s="1"/>
  <c r="AJ108" i="34"/>
  <c r="AK108" i="34" s="1"/>
  <c r="AL108" i="34" s="1"/>
  <c r="AM108" i="34" s="1"/>
  <c r="F108" i="29" s="1"/>
  <c r="AJ54" i="34"/>
  <c r="AK54" i="34" s="1"/>
  <c r="AL54" i="34" s="1"/>
  <c r="AM54" i="34" s="1"/>
  <c r="F54" i="29" s="1"/>
  <c r="AJ84" i="34"/>
  <c r="AK84" i="34" s="1"/>
  <c r="AL84" i="34" s="1"/>
  <c r="AM84" i="34" s="1"/>
  <c r="F84" i="29" s="1"/>
  <c r="AJ46" i="34"/>
  <c r="AK46" i="34" s="1"/>
  <c r="AL46" i="34" s="1"/>
  <c r="AM46" i="34" s="1"/>
  <c r="F46" i="29" s="1"/>
  <c r="AJ100" i="34"/>
  <c r="AK100" i="34" s="1"/>
  <c r="AL100" i="34" s="1"/>
  <c r="AM100" i="34" s="1"/>
  <c r="F100" i="29" s="1"/>
  <c r="AJ27" i="34"/>
  <c r="AK27" i="34" s="1"/>
  <c r="AL27" i="34" s="1"/>
  <c r="AM27" i="34" s="1"/>
  <c r="F27" i="29" s="1"/>
  <c r="AJ93" i="34"/>
  <c r="AK93" i="34" s="1"/>
  <c r="AL93" i="34" s="1"/>
  <c r="AM93" i="34" s="1"/>
  <c r="F93" i="29" s="1"/>
  <c r="AJ20" i="34"/>
  <c r="AK20" i="34" s="1"/>
  <c r="AL20" i="34" s="1"/>
  <c r="AM20" i="34" s="1"/>
  <c r="F20" i="29" s="1"/>
  <c r="AJ68" i="34"/>
  <c r="AK68" i="34" s="1"/>
  <c r="AL68" i="34" s="1"/>
  <c r="AM68" i="34" s="1"/>
  <c r="AJ115" i="34"/>
  <c r="AK115" i="34" s="1"/>
  <c r="AL115" i="34" s="1"/>
  <c r="AM115" i="34" s="1"/>
  <c r="F115" i="29" s="1"/>
  <c r="AJ42" i="34"/>
  <c r="AK42" i="34" s="1"/>
  <c r="AL42" i="34" s="1"/>
  <c r="AM42" i="34" s="1"/>
  <c r="F42" i="29" s="1"/>
  <c r="AJ107" i="34"/>
  <c r="AK107" i="34" s="1"/>
  <c r="AL107" i="34" s="1"/>
  <c r="AM107" i="34" s="1"/>
  <c r="F107" i="29" s="1"/>
  <c r="AJ34" i="34"/>
  <c r="AK34" i="34" s="1"/>
  <c r="AL34" i="34" s="1"/>
  <c r="AM34" i="34" s="1"/>
  <c r="F34" i="29" s="1"/>
  <c r="AJ74" i="34"/>
  <c r="AK74" i="34" s="1"/>
  <c r="AL74" i="34" s="1"/>
  <c r="AM74" i="34" s="1"/>
  <c r="F74" i="29" s="1"/>
  <c r="AJ113" i="34"/>
  <c r="AK113" i="34" s="1"/>
  <c r="AL113" i="34" s="1"/>
  <c r="AM113" i="34" s="1"/>
  <c r="F113" i="29" s="1"/>
  <c r="AL69" i="30"/>
  <c r="AM69" i="30" s="1"/>
  <c r="E69" i="29" s="1"/>
  <c r="AL68" i="30"/>
  <c r="AM68" i="30" s="1"/>
  <c r="E68" i="29" s="1"/>
  <c r="AL17" i="30"/>
  <c r="AM17" i="30" s="1"/>
  <c r="E17" i="29" s="1"/>
  <c r="F66" i="29"/>
  <c r="F43" i="29"/>
  <c r="H18" i="29" l="1"/>
  <c r="I18" i="29" s="1"/>
  <c r="H57" i="29"/>
  <c r="I57" i="29" s="1"/>
  <c r="H113" i="29"/>
  <c r="J113" i="29" s="1"/>
  <c r="H102" i="29"/>
  <c r="I102" i="29" s="1"/>
  <c r="H84" i="29"/>
  <c r="J84" i="29" s="1"/>
  <c r="H100" i="29"/>
  <c r="I100" i="29" s="1"/>
  <c r="H108" i="29"/>
  <c r="J108" i="29" s="1"/>
  <c r="H31" i="29"/>
  <c r="J31" i="29" s="1"/>
  <c r="H48" i="29"/>
  <c r="J48" i="29" s="1"/>
  <c r="H99" i="29"/>
  <c r="J99" i="29" s="1"/>
  <c r="H83" i="29"/>
  <c r="I83" i="29" s="1"/>
  <c r="H107" i="29"/>
  <c r="I107" i="29" s="1"/>
  <c r="H114" i="29"/>
  <c r="I114" i="29" s="1"/>
  <c r="H89" i="29"/>
  <c r="I89" i="29" s="1"/>
  <c r="H51" i="29"/>
  <c r="J51" i="29" s="1"/>
  <c r="H60" i="29"/>
  <c r="J60" i="29" s="1"/>
  <c r="H88" i="29"/>
  <c r="J88" i="29" s="1"/>
  <c r="H46" i="29"/>
  <c r="J46" i="29" s="1"/>
  <c r="H37" i="29"/>
  <c r="I37" i="29" s="1"/>
  <c r="H65" i="29"/>
  <c r="J65" i="29" s="1"/>
  <c r="H117" i="29"/>
  <c r="J117" i="29" s="1"/>
  <c r="H24" i="29"/>
  <c r="J24" i="29" s="1"/>
  <c r="H79" i="29"/>
  <c r="J79" i="29" s="1"/>
  <c r="H85" i="29"/>
  <c r="I85" i="29" s="1"/>
  <c r="H25" i="29"/>
  <c r="J25" i="29" s="1"/>
  <c r="H95" i="29"/>
  <c r="J95" i="29" s="1"/>
  <c r="H66" i="29"/>
  <c r="J66" i="29" s="1"/>
  <c r="H63" i="29"/>
  <c r="J63" i="29" s="1"/>
  <c r="H73" i="29"/>
  <c r="J73" i="29" s="1"/>
  <c r="H112" i="29"/>
  <c r="I112" i="29" s="1"/>
  <c r="H71" i="29"/>
  <c r="J71" i="29" s="1"/>
  <c r="H77" i="29"/>
  <c r="I77" i="29" s="1"/>
  <c r="H93" i="29"/>
  <c r="J93" i="29" s="1"/>
  <c r="H32" i="29"/>
  <c r="J32" i="29" s="1"/>
  <c r="H35" i="29"/>
  <c r="I35" i="29" s="1"/>
  <c r="H34" i="29"/>
  <c r="I34" i="29" s="1"/>
  <c r="H76" i="29"/>
  <c r="I76" i="29" s="1"/>
  <c r="H70" i="29"/>
  <c r="J70" i="29" s="1"/>
  <c r="H91" i="29"/>
  <c r="J91" i="29" s="1"/>
  <c r="H101" i="29"/>
  <c r="I101" i="29" s="1"/>
  <c r="H111" i="29"/>
  <c r="I111" i="29" s="1"/>
  <c r="H115" i="29"/>
  <c r="J115" i="29" s="1"/>
  <c r="H23" i="29"/>
  <c r="J23" i="29" s="1"/>
  <c r="H97" i="29"/>
  <c r="J97" i="29" s="1"/>
  <c r="H54" i="29"/>
  <c r="J54" i="29" s="1"/>
  <c r="H43" i="29"/>
  <c r="I43" i="29" s="1"/>
  <c r="H20" i="29"/>
  <c r="J20" i="29" s="1"/>
  <c r="H47" i="29"/>
  <c r="J47" i="29" s="1"/>
  <c r="H41" i="29"/>
  <c r="J41" i="29" s="1"/>
  <c r="H116" i="29"/>
  <c r="J116" i="29" s="1"/>
  <c r="H49" i="29"/>
  <c r="I49" i="29" s="1"/>
  <c r="H90" i="29"/>
  <c r="I90" i="29" s="1"/>
  <c r="H27" i="29"/>
  <c r="I27" i="29" s="1"/>
  <c r="H109" i="29"/>
  <c r="J109" i="29" s="1"/>
  <c r="H74" i="29"/>
  <c r="I74" i="29" s="1"/>
  <c r="H86" i="29"/>
  <c r="J86" i="29" s="1"/>
  <c r="H38" i="29"/>
  <c r="J38" i="29" s="1"/>
  <c r="H50" i="29"/>
  <c r="I50" i="29" s="1"/>
  <c r="H82" i="29"/>
  <c r="I82" i="29" s="1"/>
  <c r="H53" i="29"/>
  <c r="J53" i="29" s="1"/>
  <c r="H56" i="29"/>
  <c r="I56" i="29" s="1"/>
  <c r="H19" i="29"/>
  <c r="I19" i="29" s="1"/>
  <c r="H45" i="29"/>
  <c r="I45" i="29" s="1"/>
  <c r="H72" i="29"/>
  <c r="I72" i="29" s="1"/>
  <c r="H80" i="29"/>
  <c r="J80" i="29" s="1"/>
  <c r="H103" i="29"/>
  <c r="J103" i="29" s="1"/>
  <c r="H61" i="29"/>
  <c r="J61" i="29" s="1"/>
  <c r="H104" i="29"/>
  <c r="I104" i="29" s="1"/>
  <c r="H96" i="29"/>
  <c r="J96" i="29" s="1"/>
  <c r="H21" i="29"/>
  <c r="I21" i="29" s="1"/>
  <c r="H30" i="29"/>
  <c r="I30" i="29" s="1"/>
  <c r="H105" i="29"/>
  <c r="J105" i="29" s="1"/>
  <c r="H87" i="29"/>
  <c r="I87" i="29" s="1"/>
  <c r="H36" i="29"/>
  <c r="J36" i="29" s="1"/>
  <c r="H94" i="29"/>
  <c r="J94" i="29" s="1"/>
  <c r="H92" i="29"/>
  <c r="I92" i="29" s="1"/>
  <c r="H29" i="29"/>
  <c r="J29" i="29" s="1"/>
  <c r="H59" i="29"/>
  <c r="J59" i="29" s="1"/>
  <c r="H40" i="29"/>
  <c r="I40" i="29" s="1"/>
  <c r="H55" i="29"/>
  <c r="I55" i="29" s="1"/>
  <c r="H42" i="29"/>
  <c r="I42" i="29" s="1"/>
  <c r="H26" i="29"/>
  <c r="I26" i="29" s="1"/>
  <c r="H78" i="29"/>
  <c r="I78" i="29" s="1"/>
  <c r="H98" i="29"/>
  <c r="I98" i="29" s="1"/>
  <c r="H33" i="29"/>
  <c r="J33" i="29" s="1"/>
  <c r="H81" i="29"/>
  <c r="I81" i="29" s="1"/>
  <c r="H106" i="29"/>
  <c r="J106" i="29" s="1"/>
  <c r="H75" i="29"/>
  <c r="I75" i="29" s="1"/>
  <c r="H39" i="29"/>
  <c r="I39" i="29" s="1"/>
  <c r="H44" i="29"/>
  <c r="J44" i="29" s="1"/>
  <c r="H110" i="29"/>
  <c r="I110" i="29" s="1"/>
  <c r="H28" i="29"/>
  <c r="I28" i="29" s="1"/>
  <c r="I84" i="29"/>
  <c r="H22" i="29"/>
  <c r="J22" i="29" s="1"/>
  <c r="H62" i="29"/>
  <c r="I62" i="29" s="1"/>
  <c r="H69" i="29"/>
  <c r="H52" i="29"/>
  <c r="I52" i="29" s="1"/>
  <c r="H64" i="29"/>
  <c r="J64" i="29" s="1"/>
  <c r="H58" i="29"/>
  <c r="I58" i="29" s="1"/>
  <c r="J57" i="29"/>
  <c r="H17" i="29"/>
  <c r="I17" i="29" s="1"/>
  <c r="F68" i="29"/>
  <c r="H68" i="29" s="1"/>
  <c r="J18" i="29" l="1"/>
  <c r="I48" i="29"/>
  <c r="I113" i="29"/>
  <c r="I31" i="29"/>
  <c r="I99" i="29"/>
  <c r="J102" i="29"/>
  <c r="J100" i="29"/>
  <c r="I108" i="29"/>
  <c r="J83" i="29"/>
  <c r="I51" i="29"/>
  <c r="I88" i="29"/>
  <c r="J37" i="29"/>
  <c r="I46" i="29"/>
  <c r="I60" i="29"/>
  <c r="J114" i="29"/>
  <c r="J89" i="29"/>
  <c r="J107" i="29"/>
  <c r="I117" i="29"/>
  <c r="I65" i="29"/>
  <c r="I95" i="29"/>
  <c r="J85" i="29"/>
  <c r="I79" i="29"/>
  <c r="I93" i="29"/>
  <c r="I25" i="29"/>
  <c r="I24" i="29"/>
  <c r="J111" i="29"/>
  <c r="I41" i="29"/>
  <c r="I66" i="29"/>
  <c r="I73" i="29"/>
  <c r="J34" i="29"/>
  <c r="I97" i="29"/>
  <c r="J112" i="29"/>
  <c r="I63" i="29"/>
  <c r="J90" i="29"/>
  <c r="J77" i="29"/>
  <c r="J101" i="29"/>
  <c r="I71" i="29"/>
  <c r="I47" i="29"/>
  <c r="I70" i="29"/>
  <c r="I115" i="29"/>
  <c r="J35" i="29"/>
  <c r="I23" i="29"/>
  <c r="I116" i="29"/>
  <c r="I32" i="29"/>
  <c r="J49" i="29"/>
  <c r="J43" i="29"/>
  <c r="J76" i="29"/>
  <c r="I20" i="29"/>
  <c r="I91" i="29"/>
  <c r="J19" i="29"/>
  <c r="J27" i="29"/>
  <c r="I54" i="29"/>
  <c r="I103" i="29"/>
  <c r="I109" i="29"/>
  <c r="J74" i="29"/>
  <c r="J82" i="29"/>
  <c r="I38" i="29"/>
  <c r="I86" i="29"/>
  <c r="J50" i="29"/>
  <c r="J56" i="29"/>
  <c r="J21" i="29"/>
  <c r="I96" i="29"/>
  <c r="I53" i="29"/>
  <c r="J45" i="29"/>
  <c r="J30" i="29"/>
  <c r="I36" i="29"/>
  <c r="I61" i="29"/>
  <c r="J72" i="29"/>
  <c r="J104" i="29"/>
  <c r="I105" i="29"/>
  <c r="I80" i="29"/>
  <c r="J87" i="29"/>
  <c r="J40" i="29"/>
  <c r="I59" i="29"/>
  <c r="J92" i="29"/>
  <c r="I94" i="29"/>
  <c r="I29" i="29"/>
  <c r="J55" i="29"/>
  <c r="J52" i="29"/>
  <c r="J42" i="29"/>
  <c r="J26" i="29"/>
  <c r="J110" i="29"/>
  <c r="J78" i="29"/>
  <c r="I33" i="29"/>
  <c r="J98" i="29"/>
  <c r="J28" i="29"/>
  <c r="I44" i="29"/>
  <c r="I106" i="29"/>
  <c r="J75" i="29"/>
  <c r="J81" i="29"/>
  <c r="I64" i="29"/>
  <c r="J58" i="29"/>
  <c r="J39" i="29"/>
  <c r="I22" i="29"/>
  <c r="J62" i="29"/>
  <c r="J69" i="29"/>
  <c r="I69" i="29"/>
  <c r="J68" i="29"/>
  <c r="I68" i="29"/>
  <c r="J17"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<sst xmlns="http://schemas.openxmlformats.org/spreadsheetml/2006/main" count="1237" uniqueCount="424">
  <si>
    <t>Exclusively for Strengthened SHS Curriculum Implementers</t>
  </si>
  <si>
    <r>
      <t xml:space="preserve">Instructions: </t>
    </r>
    <r>
      <rPr>
        <b/>
        <sz val="20"/>
        <color theme="1"/>
        <rFont val="Arial Narrow"/>
        <family val="2"/>
      </rPr>
      <t>Accomplishing the Electronic Class Record (ECR) for SSHS</t>
    </r>
  </si>
  <si>
    <t>Input the correct data for the following sections. Any details entered here are used throughout the e-Class Record.</t>
  </si>
  <si>
    <r>
      <t xml:space="preserve">This template is intended exclusively
</t>
    </r>
    <r>
      <rPr>
        <b/>
        <sz val="16"/>
        <color rgb="FF0070C0"/>
        <rFont val="Arial Narrow"/>
        <family val="2"/>
      </rPr>
      <t>for Strengthened SHS Curriculum implementers</t>
    </r>
    <r>
      <rPr>
        <b/>
        <sz val="11"/>
        <color rgb="FF0070C0"/>
        <rFont val="Arial Narrow"/>
        <family val="2"/>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</si>
  <si>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</si>
  <si>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</si>
  <si>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</si>
  <si>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</si>
  <si>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</si>
  <si>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</si>
  <si>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</si>
  <si>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</si>
  <si>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</si>
  <si>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</si>
  <si>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</si>
  <si>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</si>
  <si>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</si>
  <si>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</si>
  <si>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family val="2"/>
      </rPr>
      <t>Upon donwload of this ECR, the School Year (2026–2027) is already pre-filled</t>
    </r>
    <r>
      <rPr>
        <i/>
        <sz val="10"/>
        <color theme="1"/>
        <rFont val="Arial Narrow"/>
        <family val="2"/>
      </rPr>
      <t>.
This may be updated.</t>
    </r>
  </si>
  <si>
    <t>TEACHER, GRADE LEVEL, AND SUBJECT AREA INFO</t>
  </si>
  <si>
    <t>Enter teacher's name.</t>
  </si>
  <si>
    <t>TEACHER</t>
  </si>
  <si>
    <t>Input the grade level taught. This field only accepts 11 or 12.</t>
  </si>
  <si>
    <t>GRADE LEVEL</t>
  </si>
  <si>
    <t>Enter section name.</t>
  </si>
  <si>
    <t>SECTION NAME</t>
  </si>
  <si>
    <r>
      <t>Indicate "</t>
    </r>
    <r>
      <rPr>
        <b/>
        <i/>
        <sz val="10"/>
        <color theme="1"/>
        <rFont val="Arial Narrow"/>
        <family val="2"/>
      </rPr>
      <t>Various Sections</t>
    </r>
    <r>
      <rPr>
        <i/>
        <sz val="10"/>
        <color theme="1"/>
        <rFont val="Arial Narrow"/>
        <family val="2"/>
      </rPr>
      <t>" if the class is composed of learners from different sections.</t>
    </r>
  </si>
  <si>
    <t>Select a Subject Category: ACADEMIC, TECH-PRO, or CORE.</t>
  </si>
  <si>
    <t>SUBJECT CATEGORY</t>
  </si>
  <si>
    <t>Select the appropriate subject cluster.</t>
  </si>
  <si>
    <t>CLUSTER</t>
  </si>
  <si>
    <t>Select the subject / elective from the dropdown.</t>
  </si>
  <si>
    <t>SUBJECT</t>
  </si>
  <si>
    <r>
      <t>If applicable, select</t>
    </r>
    <r>
      <rPr>
        <b/>
        <i/>
        <sz val="11"/>
        <color rgb="FF0070C0"/>
        <rFont val="Arial Narrow"/>
        <family val="2"/>
      </rPr>
      <t xml:space="preserve"> “Other Elective and Special Curricular Program”</t>
    </r>
    <r>
      <rPr>
        <i/>
        <sz val="11"/>
        <color theme="1"/>
        <rFont val="Arial Narrow"/>
        <family val="2"/>
      </rPr>
      <t>, then enter the new elective or subject in the field provided. Complete the details of the subject in the correct fields.</t>
    </r>
  </si>
  <si>
    <t>Other Elective &amp; Special Curricular Program / Subject</t>
  </si>
  <si>
    <r>
      <rPr>
        <b/>
        <sz val="10"/>
        <color theme="5"/>
        <rFont val="Arial Narrow"/>
        <family val="2"/>
      </rPr>
      <t>Text highlighted in orange</t>
    </r>
    <r>
      <rPr>
        <i/>
        <sz val="10"/>
        <color theme="1"/>
        <rFont val="Arial Narrow"/>
        <family val="2"/>
      </rPr>
      <t xml:space="preserve"> indicates that the selected Track, Cluster, or Subject is not applicable to the grade level. Select only from the available dropdown options.</t>
    </r>
  </si>
  <si>
    <t>NO. TERMS TAUGHT</t>
  </si>
  <si>
    <t>Term Blk</t>
  </si>
  <si>
    <t>UNITS PER TERM</t>
  </si>
  <si>
    <r>
      <t xml:space="preserve">As an additional guide, the number of terms in which the subject is taught (1 or 3), as well as the units to be earned per term and per year, will be displayed once a subject or elective is selected. </t>
    </r>
    <r>
      <rPr>
        <b/>
        <i/>
        <sz val="11"/>
        <color theme="1"/>
        <rFont val="Arial Narrow"/>
        <family val="2"/>
      </rPr>
      <t>For Other Electives, manually enter these details in the correct fields.</t>
    </r>
  </si>
  <si>
    <t>UNITS PER YEAR</t>
  </si>
  <si>
    <t>For electives offered for one or two terms, indicate the “Term Block.” Data may only be encoded in the sheet corresponding to the selected term. For electives offered for two terms, indicate the first term in which the elective is offered. The succeeding term will automatically be displayed.</t>
  </si>
  <si>
    <r>
      <t>A</t>
    </r>
    <r>
      <rPr>
        <b/>
        <i/>
        <sz val="10"/>
        <color theme="1"/>
        <rFont val="Arial Narrow"/>
        <family val="2"/>
      </rPr>
      <t xml:space="preserve"> helper notification</t>
    </r>
    <r>
      <rPr>
        <i/>
        <sz val="10"/>
        <color theme="1"/>
        <rFont val="Arial Narrow"/>
        <family val="2"/>
      </rPr>
      <t xml:space="preserve"> will display next to the No. of Terms Taught indicating how many Term sheets need to be accomplished.</t>
    </r>
  </si>
  <si>
    <t>LEARNERS' NAMES</t>
  </si>
  <si>
    <t>MALE</t>
  </si>
  <si>
    <t>FEMALE</t>
  </si>
  <si>
    <t>Either manually type the learners' LRNs and names or copy from SF1 and paste onto their respective columns (Male or Female).</t>
  </si>
  <si>
    <t>LRN</t>
  </si>
  <si>
    <t>Name</t>
  </si>
  <si>
    <t>Up to 50 learners per group (Male/Female) may be entered. Ensure that the actual class size does not exceed the prescribed maximum class size.</t>
  </si>
  <si>
    <t>↓</t>
  </si>
  <si>
    <t>TIPS:</t>
  </si>
  <si>
    <t>Press Control + Shift + V to paste values only.</t>
  </si>
  <si>
    <r>
      <t xml:space="preserve">In cases where </t>
    </r>
    <r>
      <rPr>
        <b/>
        <i/>
        <sz val="10"/>
        <color theme="1"/>
        <rFont val="Arial Narrow"/>
        <family val="2"/>
      </rPr>
      <t>multiple sections</t>
    </r>
    <r>
      <rPr>
        <i/>
        <sz val="10"/>
        <color theme="1"/>
        <rFont val="Arial Narrow"/>
        <family val="2"/>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</si>
  <si>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</si>
  <si>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</si>
  <si>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</si>
  <si>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</si>
  <si>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</si>
  <si>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</si>
  <si>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</si>
  <si>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</si>
  <si>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</si>
  <si>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term, accomplish only the corresponding sheet for that term. If the subject is taught across three terms, accomplish all Term sheets.</t>
  </si>
  <si>
    <t>Blue cells</t>
  </si>
  <si>
    <r>
      <rPr>
        <b/>
        <i/>
        <sz val="10"/>
        <color theme="1"/>
        <rFont val="Arial Narrow"/>
        <family val="2"/>
      </rPr>
      <t>Recommended number</t>
    </r>
    <r>
      <rPr>
        <i/>
        <sz val="10"/>
        <color theme="1"/>
        <rFont val="Arial Narrow"/>
        <family val="2"/>
      </rPr>
      <t xml:space="preserve"> of summative assessments per component.</t>
    </r>
  </si>
  <si>
    <t>Check whether the details entered in the INPUT sheet are captured correctly.</t>
  </si>
  <si>
    <t>Blank white cells</t>
  </si>
  <si>
    <t>Cells where the highest possible scores and actual scores should be entered.</t>
  </si>
  <si>
    <t>Under each Summative Assessment component, input the following:</t>
  </si>
  <si>
    <t>HIGHEST POSSIBLE SCORE</t>
  </si>
  <si>
    <t>Enter the highest possible score for each assessment.</t>
  </si>
  <si>
    <t>Gray cells</t>
  </si>
  <si>
    <t>Non-editable cells; no values should be entered.</t>
  </si>
  <si>
    <t>ACTUAL SCORE</t>
  </si>
  <si>
    <t>Enter the corresponding raw score for each learner.</t>
  </si>
  <si>
    <t>Use the dropdown menu under "LEARNERS' NAMES" to select the learners to be graded.</t>
  </si>
  <si>
    <t>Green text in gray cells</t>
  </si>
  <si>
    <t>Indicates an invalid entry; remove the entry or encode the corresponding highest possible score first.</t>
  </si>
  <si>
    <t>IMPORTANT NOTES:</t>
  </si>
  <si>
    <t>To ensure proper data entry, the score columns are grayed out until the Highest Possible Score is entered.</t>
  </si>
  <si>
    <t>Green cells</t>
  </si>
  <si>
    <t>Indicate a failing mark.</t>
  </si>
  <si>
    <r>
      <rPr>
        <b/>
        <i/>
        <sz val="10"/>
        <color theme="0"/>
        <rFont val="Arial Narrow"/>
        <family val="2"/>
      </rPr>
      <t>“INCORRECT SHEET. Do not use this sheet to input data.”</t>
    </r>
    <r>
      <rPr>
        <i/>
        <sz val="10"/>
        <color theme="0"/>
        <rFont val="Arial Narrow"/>
        <family val="2"/>
      </rPr>
      <t xml:space="preserve"> is displayed above the term sheet to indicate that the sheet is not applicable for data entry.</t>
    </r>
  </si>
  <si>
    <t>Review final grades. The computation of final grades depends on the selected subject and grade level.</t>
  </si>
  <si>
    <r>
      <t xml:space="preserve">Grades are computed in accordance with </t>
    </r>
    <r>
      <rPr>
        <b/>
        <sz val="11"/>
        <rFont val="Arial Narrow"/>
        <family val="2"/>
      </rPr>
      <t>DepEd Order No. 015, s. 2026</t>
    </r>
    <r>
      <rPr>
        <sz val="11"/>
        <rFont val="Arial Narrow"/>
        <family val="2"/>
      </rPr>
      <t>, titled "Revised Guidelines on Classroom Assessment, Grading System, and Awards and Recognition for the K to 12 Basic Education Program."</t>
    </r>
  </si>
  <si>
    <t>ACCRONYMS</t>
  </si>
  <si>
    <t>EX</t>
  </si>
  <si>
    <t>Examinations</t>
  </si>
  <si>
    <t>TG</t>
  </si>
  <si>
    <t>Term Grade (TG)</t>
  </si>
  <si>
    <t>IG</t>
  </si>
  <si>
    <t>Initial Grade</t>
  </si>
  <si>
    <t>WS</t>
  </si>
  <si>
    <t>Weighted Score</t>
  </si>
  <si>
    <r>
      <t xml:space="preserve">The grading system for the </t>
    </r>
    <r>
      <rPr>
        <b/>
        <sz val="11"/>
        <rFont val="Arial Narrow"/>
        <family val="2"/>
      </rPr>
      <t>Strengthened Senior High School (SSHS)</t>
    </r>
    <r>
      <rPr>
        <sz val="11"/>
        <rFont val="Arial Narrow"/>
        <family val="2"/>
      </rPr>
      <t xml:space="preserve"> follows a different set of weights for each component.</t>
    </r>
  </si>
  <si>
    <t>PS</t>
  </si>
  <si>
    <t>Percentage Score</t>
  </si>
  <si>
    <t>WW</t>
  </si>
  <si>
    <t>Written/Oral Works</t>
  </si>
  <si>
    <t>PT</t>
  </si>
  <si>
    <t>Product/Performance Tasks</t>
  </si>
  <si>
    <r>
      <t xml:space="preserve">Weight of the Components for the
</t>
    </r>
    <r>
      <rPr>
        <b/>
        <sz val="11"/>
        <color rgb="FF0070C0"/>
        <rFont val="Arial Narrow"/>
        <family val="2"/>
      </rPr>
      <t>Strengthened Senior High School (SSHS)</t>
    </r>
  </si>
  <si>
    <t>Subject</t>
  </si>
  <si>
    <t>Component</t>
  </si>
  <si>
    <t>NOTE:</t>
  </si>
  <si>
    <t>WWs</t>
  </si>
  <si>
    <t>PTs</t>
  </si>
  <si>
    <t>EXs</t>
  </si>
  <si>
    <r>
      <rPr>
        <i/>
        <sz val="10"/>
        <color rgb="FF0046D2"/>
        <rFont val="Arial Narrow"/>
        <family val="2"/>
      </rPr>
      <t>*</t>
    </r>
    <r>
      <rPr>
        <i/>
        <sz val="10"/>
        <rFont val="Arial Narrow"/>
        <family val="2"/>
      </rPr>
      <t>Given the applied and performance-based nature of SHS Field Exposure, Arts Apprenticeship, Creative Production, and Innovation, the ST–TE component shall consist solely of a Term Examination (TE), with no Summative Tests (STs), and shall carry the full 15% weight.</t>
    </r>
  </si>
  <si>
    <t>Core</t>
  </si>
  <si>
    <t>Academic Electives</t>
  </si>
  <si>
    <t>All Other Electives</t>
  </si>
  <si>
    <t>Research and Design and Innovation</t>
  </si>
  <si>
    <t>Arts, Sports, Health and Wellness Electives</t>
  </si>
  <si>
    <t>ADJUSTED TRANSMUTATION TABLE</t>
  </si>
  <si>
    <t>Field Experience</t>
  </si>
  <si>
    <r>
      <rPr>
        <b/>
        <sz val="10"/>
        <color rgb="FF0046D2"/>
        <rFont val="Arial Narrow"/>
        <family val="2"/>
      </rPr>
      <t>*</t>
    </r>
    <r>
      <rPr>
        <b/>
        <sz val="10"/>
        <rFont val="Arial Narrow"/>
        <family val="2"/>
      </rPr>
      <t>15%</t>
    </r>
  </si>
  <si>
    <t>Transmuted Grade</t>
  </si>
  <si>
    <t>TechPro Electives</t>
  </si>
  <si>
    <t>Min.</t>
  </si>
  <si>
    <t>Max.</t>
  </si>
  <si>
    <t>Work Immersion</t>
  </si>
  <si>
    <t>---</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</si>
  <si>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</si>
  <si>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</si>
  <si>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</si>
  <si>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</si>
  <si>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</si>
  <si>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</si>
  <si>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</si>
  <si>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</si>
  <si>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</si>
  <si>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</si>
  <si>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</si>
  <si>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</si>
  <si>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</si>
  <si>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Step 6. Compute the Final Grade</t>
  </si>
  <si>
    <t>The Final Grade is automatically computed as the average of all Term Grades earned in the learning area for the school year. This is reflected in the “FINAL GRADES” sheet.</t>
  </si>
  <si>
    <t>Ref. DepEd Order 015, s.2026</t>
  </si>
  <si>
    <t>Print only the appropriate sheets for reporting purposes and ensure that learner data is handled in compliance with data privacy policies.</t>
  </si>
  <si>
    <t>Input Data Sheet for Electronic-Class Record (ECR)</t>
  </si>
  <si>
    <t>Pursuant to DepEd Order 15, series of 2026</t>
  </si>
  <si>
    <r>
      <t>MALE LEARNERS</t>
    </r>
    <r>
      <rPr>
        <sz val="11"/>
        <color theme="0"/>
        <rFont val="Arial Narrow"/>
        <family val="2"/>
      </rPr>
      <t xml:space="preserve"> (Last, First Middle)</t>
    </r>
  </si>
  <si>
    <r>
      <t xml:space="preserve">FEMALE LEARNERS </t>
    </r>
    <r>
      <rPr>
        <sz val="11"/>
        <color theme="0"/>
        <rFont val="Arial Narrow"/>
        <family val="2"/>
      </rPr>
      <t>(Last, First Middle)</t>
    </r>
  </si>
  <si>
    <t>← Accepts 11 or 12 only.</t>
  </si>
  <si>
    <t>STRENGTHENED SHS</t>
  </si>
  <si>
    <t>OTHER ELECTIVE / SPECIAL CURRICULAR PROGRAM</t>
  </si>
  <si>
    <t>OTHER ELECTIVE</t>
  </si>
  <si>
    <t>COMPONENT WEIGHTS</t>
  </si>
  <si>
    <t>WRITTEN/ORAL WORKS</t>
  </si>
  <si>
    <t>PERFORMANCE TASKS</t>
  </si>
  <si>
    <t>EXAMINATIONS</t>
  </si>
  <si>
    <t>Summative Test 1</t>
  </si>
  <si>
    <t>Summative Test 2</t>
  </si>
  <si>
    <t>Term Exam</t>
  </si>
  <si>
    <t>TERMS AND UNITS</t>
  </si>
  <si>
    <r>
      <t xml:space="preserve">If the subject is </t>
    </r>
    <r>
      <rPr>
        <b/>
        <sz val="11"/>
        <color rgb="FF008000"/>
        <rFont val="Arial Narrow"/>
        <family val="2"/>
      </rPr>
      <t>taught for only one term</t>
    </r>
    <r>
      <rPr>
        <sz val="11"/>
        <color rgb="FF008000"/>
        <rFont val="Arial Narrow"/>
        <family val="2"/>
      </rPr>
      <t>, accomplish only the corresponding sheet for that term</t>
    </r>
    <r>
      <rPr>
        <sz val="11"/>
        <color theme="1"/>
        <rFont val="Arial Narrow"/>
        <family val="2"/>
      </rPr>
      <t>. If the subject is</t>
    </r>
    <r>
      <rPr>
        <b/>
        <sz val="11"/>
        <color rgb="FF0046D2"/>
        <rFont val="Arial Narrow"/>
        <family val="2"/>
      </rPr>
      <t xml:space="preserve"> taught across three terms</t>
    </r>
    <r>
      <rPr>
        <sz val="11"/>
        <color rgb="FF0046D2"/>
        <rFont val="Arial Narrow"/>
        <family val="2"/>
      </rPr>
      <t>, accomplish all Term sheets.</t>
    </r>
  </si>
  <si>
    <t>Duplicate LRN</t>
  </si>
  <si>
    <t>2026_v1.0</t>
  </si>
  <si>
    <t>Strengthened Senior High School Class Record</t>
  </si>
  <si>
    <t>(Pursuant to DepEd Order 15, series of 2026)</t>
  </si>
  <si>
    <t>FIRST TERM</t>
  </si>
  <si>
    <t>SECTION</t>
  </si>
  <si>
    <t>UNITS</t>
  </si>
  <si>
    <t>/ TERM</t>
  </si>
  <si>
    <t>/ YEAR</t>
  </si>
  <si>
    <t>WRITTEN / ORAL WORKS (WWs)</t>
  </si>
  <si>
    <t>PRODUCT / PERFORMANCE TASKS (PTs)</t>
  </si>
  <si>
    <t>EXAMINATIONS (EXs)</t>
  </si>
  <si>
    <t>INITIAL GRADE</t>
  </si>
  <si>
    <t>TERM GRADE</t>
  </si>
  <si>
    <t>TOTAL</t>
  </si>
  <si>
    <t>ST 1</t>
  </si>
  <si>
    <t>ST 2</t>
  </si>
  <si>
    <t>TE</t>
  </si>
  <si>
    <t>WS ST1</t>
  </si>
  <si>
    <t>WS ST2</t>
  </si>
  <si>
    <t>WS TE</t>
  </si>
  <si>
    <t>x</t>
  </si>
  <si>
    <t>SECOND TERM</t>
  </si>
  <si>
    <t>THIRD TERM</t>
  </si>
  <si>
    <t>FINAL GRADES</t>
  </si>
  <si>
    <t>NO. OF TERMS</t>
  </si>
  <si>
    <t>TERM BLOCKS</t>
  </si>
  <si>
    <t>TOTAL UNITS EARNED</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</si>
  <si>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</si>
  <si>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</si>
  <si>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</si>
  <si>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</si>
  <si>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</si>
  <si>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</si>
  <si>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</si>
  <si>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</si>
  <si>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</si>
  <si>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</si>
  <si>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</si>
  <si>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</si>
  <si>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</si>
  <si>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</si>
  <si>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</si>
  <si>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</si>
  <si>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</si>
  <si>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</si>
  <si>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</si>
  <si>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</si>
  <si>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</si>
  <si>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</si>
  <si>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</si>
  <si>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</si>
  <si>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</si>
  <si>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</si>
  <si>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</si>
  <si>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</si>
  <si>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family val="2"/>
      </rPr>
      <t>IMPORTANT</t>
    </r>
    <r>
      <rPr>
        <sz val="11"/>
        <color rgb="FFFF0000"/>
        <rFont val="Arial Narrow"/>
        <family val="2"/>
      </rPr>
      <t xml:space="preserve"> / DO NOT DELETE</t>
    </r>
  </si>
  <si>
    <t>ECRSHS2026</t>
  </si>
  <si>
    <t>TRANSMUTATION TABLE</t>
  </si>
  <si>
    <t>DYNAMIC DROPDOWN</t>
  </si>
  <si>
    <t>ELECTIVES</t>
  </si>
  <si>
    <t>ST - TE WEIGHTS</t>
  </si>
  <si>
    <t>IG (Min)</t>
  </si>
  <si>
    <t>IG (Max)</t>
  </si>
  <si>
    <t>SELECTIONS</t>
  </si>
  <si>
    <t>SELECTED LVL</t>
  </si>
  <si>
    <t>TRACK</t>
  </si>
  <si>
    <t>COURSE TITLE</t>
  </si>
  <si>
    <t>TOTAL HOURS</t>
  </si>
  <si>
    <t>GRADE LVL</t>
  </si>
  <si>
    <t>GRADE 11</t>
  </si>
  <si>
    <t>GR 11 - TERMS</t>
  </si>
  <si>
    <t>UNITS / TERM</t>
  </si>
  <si>
    <t>UNITS / YEAR</t>
  </si>
  <si>
    <t>GRADE 12</t>
  </si>
  <si>
    <t>GR 12 - TERMS</t>
  </si>
  <si>
    <t>ST - TE</t>
  </si>
  <si>
    <t>total</t>
  </si>
  <si>
    <t>Descriptor</t>
  </si>
  <si>
    <t>SELECTED LVL = 1</t>
  </si>
  <si>
    <t>SSHS - CORE</t>
  </si>
  <si>
    <t>CORE</t>
  </si>
  <si>
    <t>Effective Communication</t>
  </si>
  <si>
    <t xml:space="preserve">11 </t>
  </si>
  <si>
    <t/>
  </si>
  <si>
    <t>General Mathematics</t>
  </si>
  <si>
    <t>General Science</t>
  </si>
  <si>
    <t>Life and Career Skills</t>
  </si>
  <si>
    <t>Mabisang Komunikasyon</t>
  </si>
  <si>
    <t>COMPONENTS</t>
  </si>
  <si>
    <t>Pag-aaral ng Kasaysayan at Lipunang Pilipino</t>
  </si>
  <si>
    <t>SSHS - ACADEMIC</t>
  </si>
  <si>
    <t>ARTS, SOCIAL SCIENCES, AND HUMANITIES</t>
  </si>
  <si>
    <t>Art Criticism and Creative Markets</t>
  </si>
  <si>
    <t>11, 12</t>
  </si>
  <si>
    <t>Citizenship and Civic Engagement</t>
  </si>
  <si>
    <t>ST-TE</t>
  </si>
  <si>
    <t>Contemporary Literature 1</t>
  </si>
  <si>
    <t>Contemporary Literature 2</t>
  </si>
  <si>
    <t>Creative Composition 1</t>
  </si>
  <si>
    <t>Creative Composition 2</t>
  </si>
  <si>
    <t>Creative Industries - Applied and Traditional Arts</t>
  </si>
  <si>
    <t>TERMS, SHEETS, and UNITS</t>
  </si>
  <si>
    <t>Creative Industries - Dance</t>
  </si>
  <si>
    <t>SUBJECT (1=REG; 2=OTHER)</t>
  </si>
  <si>
    <t>Creative Industries - Literary Arts</t>
  </si>
  <si>
    <t>Number of terms</t>
  </si>
  <si>
    <t>Creative Industries - Media Arts</t>
  </si>
  <si>
    <t>Creative Industries - Music</t>
  </si>
  <si>
    <t>Note: Accomplish only ONE (1) term sheet. Select the applicable TERM BLOCK. ↑</t>
  </si>
  <si>
    <t>Creative Industries - Theater Arts</t>
  </si>
  <si>
    <t>Notes: Accomplish  TWO (2) term sheets.
2-term electives cannot begin in Term 3.</t>
  </si>
  <si>
    <t>Creative Industries - Visual Arts</t>
  </si>
  <si>
    <t>Note: Accomplish all Term sheets.</t>
  </si>
  <si>
    <t>Filipino 1 (Wika at Komunikasyon sa Akademikong Filipino)</t>
  </si>
  <si>
    <t>Filipino 2 (Filipino sa Isports)</t>
  </si>
  <si>
    <t>Filipino 2 (Filipino sa Larang Teknikal-Propesyonal)</t>
  </si>
  <si>
    <t>Filipino 2 (Filipino sa Sining at Disenyo)</t>
  </si>
  <si>
    <t>Terms with Inputs</t>
  </si>
  <si>
    <t>Filipino Identity Through the Arts</t>
  </si>
  <si>
    <t>Introduction to the Philosophy of the Human Person</t>
  </si>
  <si>
    <t>Leadership and Management in the Arts</t>
  </si>
  <si>
    <t>Malikhaing Pagsulat</t>
  </si>
  <si>
    <t>Invalid: Cannot start in Term 3</t>
  </si>
  <si>
    <t>Performance Criticism and Creative Markets</t>
  </si>
  <si>
    <t>Philippine Governance (Philippine Politics and Governance)</t>
  </si>
  <si>
    <t>Social Sciences (Theory and Practice)</t>
  </si>
  <si>
    <t>FOR TERM SHEETS VALIDATION - WHICH TERM SHEET</t>
  </si>
  <si>
    <t>Creative Production and Presentation</t>
  </si>
  <si>
    <t>gr 12</t>
  </si>
  <si>
    <t>1ST</t>
  </si>
  <si>
    <t>BUSINESS AND ENTREPRENEURSHIP</t>
  </si>
  <si>
    <t>Business 1 (Basic Accounting)</t>
  </si>
  <si>
    <t>2ND</t>
  </si>
  <si>
    <t>Business 2 (Business Finance and Income Taxation)</t>
  </si>
  <si>
    <t>3RD</t>
  </si>
  <si>
    <t>Contemporary Marketing</t>
  </si>
  <si>
    <t>1ST &amp; 2ND</t>
  </si>
  <si>
    <t>Entrepreneurship</t>
  </si>
  <si>
    <t>2ND &amp; 3RD</t>
  </si>
  <si>
    <t>Introduction to Organization and Management</t>
  </si>
  <si>
    <t>1ST, 2ND, 3RD</t>
  </si>
  <si>
    <t>Business 3 (Business Economics)</t>
  </si>
  <si>
    <t>Number of Terms &amp; Start</t>
  </si>
  <si>
    <t>FIELD EXPERIENCE</t>
  </si>
  <si>
    <t>Design and Innovation</t>
  </si>
  <si>
    <t>Research 1</t>
  </si>
  <si>
    <t>Research 2</t>
  </si>
  <si>
    <t>Arts Apprenticeship – Dance</t>
  </si>
  <si>
    <t>Arts Apprenticeship - Literary Arts</t>
  </si>
  <si>
    <t>Arts Apprenticeship - Media Arts</t>
  </si>
  <si>
    <t>Arts Apprenticeship – Music</t>
  </si>
  <si>
    <t>Arts Apprenticeship – Theater Arts</t>
  </si>
  <si>
    <t>Arts Apprenticeship – Traditional Cultural Expressions</t>
  </si>
  <si>
    <t>Arts Apprenticeship – Visual Arts</t>
  </si>
  <si>
    <t>Field Exposure (Off Campus)</t>
  </si>
  <si>
    <t>In-Campus Field Exposure for Sports</t>
  </si>
  <si>
    <t>Work Immersion for Academic Track</t>
  </si>
  <si>
    <t>SCIENCE, TECHNOLOGY, ENGINEERING, AND MATHEMATICS</t>
  </si>
  <si>
    <t>Advanced Mathematics</t>
  </si>
  <si>
    <t>Basic Calculus</t>
  </si>
  <si>
    <t>Biology 1</t>
  </si>
  <si>
    <t>Biology 2</t>
  </si>
  <si>
    <t>Biology 3</t>
  </si>
  <si>
    <t>Chemistry 1</t>
  </si>
  <si>
    <t>Chemistry 2</t>
  </si>
  <si>
    <t>Chemistry 3</t>
  </si>
  <si>
    <t>Earth and Space Science 1</t>
  </si>
  <si>
    <t>Earth and Space Science 2</t>
  </si>
  <si>
    <t>Earth and Space Science 3</t>
  </si>
  <si>
    <t>Empowerment Technologies</t>
  </si>
  <si>
    <t>Finite Mathematics 1</t>
  </si>
  <si>
    <t>Finite Mathematics 2</t>
  </si>
  <si>
    <t>Physics 1</t>
  </si>
  <si>
    <t>Physics 2</t>
  </si>
  <si>
    <t>Physics 3</t>
  </si>
  <si>
    <t>Pre-Calculus</t>
  </si>
  <si>
    <t>Biology 4</t>
  </si>
  <si>
    <t>Chemistry 4</t>
  </si>
  <si>
    <t>Conceptual Biology and Earth and Space Science</t>
  </si>
  <si>
    <t>Conceptual Physics and Chemistry in Daily Life</t>
  </si>
  <si>
    <t>Database Management</t>
  </si>
  <si>
    <t>Earth and Space Science 4</t>
  </si>
  <si>
    <t>Fundamentals of Data Analytics</t>
  </si>
  <si>
    <t>Physics 4</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</si>
  <si>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</si>
  <si>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</si>
  <si>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</si>
  <si>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</si>
  <si>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</si>
  <si>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</si>
  <si>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</si>
  <si>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</si>
  <si>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</si>
  <si>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</si>
  <si>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</si>
  <si>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SSHS - TECH-PRO</t>
  </si>
  <si>
    <t>AESTHETIC, WELLNESS, AND HUMAN CARE</t>
  </si>
  <si>
    <t>Aesthetic Services (Beauty Care)</t>
  </si>
  <si>
    <t>Caregiving (Adult Care)</t>
  </si>
  <si>
    <t>Caregiving (Child Care)</t>
  </si>
  <si>
    <t>Hairdressing Services</t>
  </si>
  <si>
    <t xml:space="preserve">AGRI-FISHERY BUSINESS AND FOOD INNOVATION  </t>
  </si>
  <si>
    <t>Agricultural Crops Production</t>
  </si>
  <si>
    <t>Agro-entrepreneurship</t>
  </si>
  <si>
    <t>Aquaculture</t>
  </si>
  <si>
    <t>Fish Capture Operation</t>
  </si>
  <si>
    <t>Food Processing</t>
  </si>
  <si>
    <t>Organic Agriculture Production</t>
  </si>
  <si>
    <t>Poultry Production (Chicken)</t>
  </si>
  <si>
    <t>Ruminants Production</t>
  </si>
  <si>
    <t>Swine Production</t>
  </si>
  <si>
    <t xml:space="preserve">ARTISANRY AND CREATIVE ENTERPRISE </t>
  </si>
  <si>
    <t>Garments Artisanry</t>
  </si>
  <si>
    <t>Handicrafts: Weaving</t>
  </si>
  <si>
    <t xml:space="preserve">AUTOMOTIVE AND SMALL ENGINE TECHNOLOGIES </t>
  </si>
  <si>
    <t>Driving and Automotive Servicing</t>
  </si>
  <si>
    <t>Motorcycle and Small Engine Servicing</t>
  </si>
  <si>
    <t>Automotive Servicing (Electrical Repair)</t>
  </si>
  <si>
    <t>Automotive Servicing (Engine and Chassis Repairs)</t>
  </si>
  <si>
    <t>CONSTRUCTION AND BUILDING TECHNOLOGIES</t>
  </si>
  <si>
    <t>Carpentry</t>
  </si>
  <si>
    <t>Construction Operation</t>
  </si>
  <si>
    <t>Manual Metal Arc Welding</t>
  </si>
  <si>
    <t>Technical Drafting</t>
  </si>
  <si>
    <t>CREATIVE ARTS AND DESIGN TECHNOLOGIES</t>
  </si>
  <si>
    <t>Animation</t>
  </si>
  <si>
    <t>Illustration</t>
  </si>
  <si>
    <t>Visual Graphic Design</t>
  </si>
  <si>
    <t>HOSPITALITY AND TOURISM</t>
  </si>
  <si>
    <t>Bakery Operations</t>
  </si>
  <si>
    <t>Events Management Services</t>
  </si>
  <si>
    <t>Food and Beverage Operation</t>
  </si>
  <si>
    <t>Hotel Operations (Front Office Services)</t>
  </si>
  <si>
    <t>Hotel Operations (Housekeeping Services)</t>
  </si>
  <si>
    <t>Kitchen Operations</t>
  </si>
  <si>
    <t>Tourism Services</t>
  </si>
  <si>
    <t>ICT SUPPORT AND COMPUTER PROGRAMMING TECHNOLOGIES</t>
  </si>
  <si>
    <t>Broadband Installation</t>
  </si>
  <si>
    <t>Computer Programming (.Net Technology)</t>
  </si>
  <si>
    <t>Computer Programming (Java)</t>
  </si>
  <si>
    <t>Computer Programming (Oracle Database)</t>
  </si>
  <si>
    <t>Computer Systems Servicing</t>
  </si>
  <si>
    <t>Contact Center Services</t>
  </si>
  <si>
    <t>INDUSTRIAL TECHNOLOGIES</t>
  </si>
  <si>
    <t>Domestic Refrigeration and Air-Conditioning Servicing</t>
  </si>
  <si>
    <t>Electrical Installation and Maintenance</t>
  </si>
  <si>
    <t>Electronic Products Assembly and Servicing</t>
  </si>
  <si>
    <t>Photovoltaic Systems Installation</t>
  </si>
  <si>
    <t>Commercial Air-Conditioning Installation and Servicing</t>
  </si>
  <si>
    <t>Mechatronics</t>
  </si>
  <si>
    <t>MARITIME</t>
  </si>
  <si>
    <t>Marine Engineering at the Support Level</t>
  </si>
  <si>
    <t>Marine Transportation at the Support Level</t>
  </si>
  <si>
    <t>Ships Catering Services</t>
  </si>
  <si>
    <t>WORK IMMERSION</t>
  </si>
  <si>
    <t>Work Immersion for Tech-Pro Track (320 hours)</t>
  </si>
  <si>
    <t>Work Immersion for Tech-Pro Track (540 hours) - 1 Term</t>
  </si>
  <si>
    <t>Work Immersion for Tech-Pro Track (640 hours) - 1 Term</t>
  </si>
  <si>
    <t>Work Immersion for Tech-Pro Track (540 hours) - 2 Terms</t>
  </si>
  <si>
    <t>Work Immersion for Tech-Pro Track (640 hours) - 2 Terms</t>
  </si>
  <si>
    <t xml:space="preserve">Region IV-A </t>
  </si>
  <si>
    <t>CALAMBA CITY</t>
  </si>
  <si>
    <t>EDUARDO BARRETTO SR. INTEGRATED SCHOOL</t>
  </si>
  <si>
    <t>KAREN P. GONZAGA</t>
  </si>
  <si>
    <t>MILKY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</si>
</sst>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2">
    <font>
      <sz val="11"/>
      <color theme="1"/>
      <name val="Calibri"/>
      <family val="2"/>
      <scheme val="minor"/>
    </font>
    <font>
      <sz val="11"/>
      <color theme="1"/>
      <name val="Calibri"/>
      <family val="2"/>
      <scheme val="minor"/>
    </font>
    <font>
      <sz val="10"/>
      <name val="Arial"/>
      <family val="2"/>
    </font>
    <font>
      <sz val="8"/>
      <name val="Calibri"/>
      <family val="2"/>
      <scheme val="minor"/>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b/>
      <sz val="11"/>
      <color rgb="FF0046D2"/>
      <name val="Arial Narrow"/>
      <family val="2"/>
    </font>
    <font>
      <b/>
      <sz val="18"/>
      <color theme="1"/>
      <name val="Arial Narrow"/>
      <family val="2"/>
    </font>
    <font>
      <sz val="12"/>
      <name val="Arial Narrow"/>
      <family val="2"/>
    </font>
    <font>
      <b/>
      <sz val="16"/>
      <color theme="1"/>
      <name val="Arial Narrow"/>
      <family val="2"/>
    </font>
    <font>
      <b/>
      <sz val="20"/>
      <color theme="1"/>
      <name val="Arial Narrow"/>
      <family val="2"/>
    </font>
    <font>
      <b/>
      <i/>
      <sz val="11"/>
      <color theme="1"/>
      <name val="Arial Narrow"/>
      <family val="2"/>
    </font>
    <font>
      <b/>
      <sz val="14"/>
      <color theme="0"/>
      <name val="Arial Narrow"/>
      <family val="2"/>
    </font>
    <font>
      <i/>
      <sz val="10"/>
      <color theme="1"/>
      <name val="Arial Narrow"/>
      <family val="2"/>
    </font>
    <font>
      <b/>
      <i/>
      <sz val="10"/>
      <color theme="1"/>
      <name val="Arial Narrow"/>
      <family val="2"/>
    </font>
    <font>
      <b/>
      <sz val="22"/>
      <color theme="1"/>
      <name val="Arial Narrow"/>
      <family val="2"/>
    </font>
    <font>
      <sz val="11"/>
      <color rgb="FFFF0000"/>
      <name val="Arial Narrow"/>
      <family val="2"/>
    </font>
    <font>
      <b/>
      <sz val="11"/>
      <color rgb="FFFF0000"/>
      <name val="Arial Narrow"/>
      <family val="2"/>
    </font>
    <font>
      <sz val="11"/>
      <color rgb="FF0070C0"/>
      <name val="Arial Narrow"/>
      <family val="2"/>
    </font>
    <font>
      <b/>
      <sz val="11"/>
      <color rgb="FF0070C0"/>
      <name val="Arial Narrow"/>
      <family val="2"/>
    </font>
    <font>
      <b/>
      <sz val="18"/>
      <color rgb="FFFF0000"/>
      <name val="Arial Narrow"/>
      <family val="2"/>
    </font>
    <font>
      <b/>
      <sz val="20"/>
      <color theme="0"/>
      <name val="Arial Narrow"/>
      <family val="2"/>
    </font>
    <font>
      <i/>
      <sz val="8"/>
      <color theme="1" tint="0.34998626667073579"/>
      <name val="Arial Narrow"/>
      <family val="2"/>
    </font>
    <font>
      <b/>
      <sz val="11"/>
      <color rgb="FF002060"/>
      <name val="Arial Narrow"/>
      <family val="2"/>
    </font>
    <font>
      <i/>
      <sz val="10"/>
      <color rgb="FF002060"/>
      <name val="Arial Narrow"/>
      <family val="2"/>
    </font>
    <font>
      <b/>
      <sz val="11"/>
      <color theme="5"/>
      <name val="Arial Narrow"/>
      <family val="2"/>
    </font>
    <font>
      <b/>
      <sz val="16"/>
      <color rgb="FF0046D2"/>
      <name val="Arial Narrow"/>
      <family val="2"/>
    </font>
    <font>
      <i/>
      <sz val="11"/>
      <color theme="1"/>
      <name val="Arial Narrow"/>
      <family val="2"/>
    </font>
    <font>
      <b/>
      <sz val="12"/>
      <color rgb="FF0046D2"/>
      <name val="Arial Narrow"/>
      <family val="2"/>
    </font>
    <font>
      <b/>
      <i/>
      <sz val="16"/>
      <color theme="1"/>
      <name val="Arial Narrow"/>
      <family val="2"/>
    </font>
    <font>
      <sz val="12"/>
      <color theme="0"/>
      <name val="Arial Narrow"/>
      <family val="2"/>
    </font>
    <font>
      <sz val="10"/>
      <color theme="1"/>
      <name val="Arial Narrow"/>
      <family val="2"/>
    </font>
    <font>
      <b/>
      <sz val="11"/>
      <name val="Arial Narrow"/>
      <family val="2"/>
    </font>
    <font>
      <b/>
      <sz val="12"/>
      <color theme="0"/>
      <name val="Arial Narrow"/>
      <family val="2"/>
    </font>
    <font>
      <sz val="11"/>
      <color rgb="FF0046D2"/>
      <name val="Arial Narrow"/>
      <family val="2"/>
    </font>
    <font>
      <i/>
      <sz val="10"/>
      <color rgb="FF0046D2"/>
      <name val="Arial Narrow"/>
      <family val="2"/>
    </font>
    <font>
      <b/>
      <sz val="18"/>
      <color theme="0"/>
      <name val="Arial Narrow"/>
      <family val="2"/>
    </font>
    <font>
      <sz val="16"/>
      <color theme="1"/>
      <name val="Arial Narrow"/>
      <family val="2"/>
    </font>
    <font>
      <i/>
      <sz val="11"/>
      <color rgb="FF0046D2"/>
      <name val="Arial Narrow"/>
      <family val="2"/>
    </font>
    <font>
      <b/>
      <sz val="11"/>
      <color theme="8" tint="0.39997558519241921"/>
      <name val="Arial Narrow"/>
      <family val="2"/>
    </font>
    <font>
      <b/>
      <sz val="12"/>
      <color rgb="FF0046D2"/>
      <name val="Aptos Black"/>
      <family val="2"/>
    </font>
    <font>
      <b/>
      <sz val="11"/>
      <color rgb="FF0046D2"/>
      <name val="Aptos Black"/>
      <family val="2"/>
    </font>
    <font>
      <b/>
      <sz val="10"/>
      <color theme="2" tint="-0.249977111117893"/>
      <name val="Arial Narrow"/>
      <family val="2"/>
    </font>
    <font>
      <b/>
      <sz val="10"/>
      <color theme="5"/>
      <name val="Arial Narrow"/>
      <family val="2"/>
    </font>
    <font>
      <b/>
      <sz val="20"/>
      <color rgb="FFC00000"/>
      <name val="Arial Narrow"/>
      <family val="2"/>
    </font>
    <font>
      <sz val="11"/>
      <color rgb="FF008000"/>
      <name val="Arial Narrow"/>
      <family val="2"/>
    </font>
    <font>
      <b/>
      <sz val="12"/>
      <name val="Arial Narrow"/>
      <family val="2"/>
    </font>
    <font>
      <b/>
      <sz val="11"/>
      <color rgb="FF008000"/>
      <name val="Arial Narrow"/>
      <family val="2"/>
    </font>
    <font>
      <sz val="11"/>
      <name val="Arial Narrow"/>
      <family val="2"/>
    </font>
    <font>
      <b/>
      <i/>
      <sz val="10"/>
      <color rgb="FF0046D2"/>
      <name val="Aptos Black"/>
      <family val="2"/>
    </font>
    <font>
      <i/>
      <sz val="10"/>
      <name val="Arial Narrow"/>
      <family val="2"/>
    </font>
    <font>
      <i/>
      <sz val="11"/>
      <name val="Arial Narrow"/>
      <family val="2"/>
    </font>
    <font>
      <b/>
      <sz val="10"/>
      <name val="Arial Narrow"/>
      <family val="2"/>
    </font>
    <font>
      <sz val="10"/>
      <name val="Arial Narrow"/>
      <family val="2"/>
    </font>
    <font>
      <b/>
      <sz val="9"/>
      <name val="Arial Narrow"/>
      <family val="2"/>
    </font>
    <font>
      <sz val="9"/>
      <name val="Arial Narrow"/>
      <family val="2"/>
    </font>
    <font>
      <b/>
      <i/>
      <sz val="11"/>
      <name val="Arial Narrow"/>
      <family val="2"/>
    </font>
    <font>
      <b/>
      <sz val="10"/>
      <color rgb="FF0046D2"/>
      <name val="Arial Narrow"/>
      <family val="2"/>
    </font>
    <font>
      <i/>
      <sz val="9"/>
      <color theme="1"/>
      <name val="Arial Narrow"/>
      <family val="2"/>
    </font>
    <font>
      <b/>
      <sz val="10"/>
      <color theme="1"/>
      <name val="Arial Narrow"/>
      <family val="2"/>
    </font>
    <font>
      <sz val="14"/>
      <color theme="1"/>
      <name val="Arial Narrow"/>
      <family val="2"/>
    </font>
    <font>
      <b/>
      <sz val="10"/>
      <color theme="8" tint="0.39997558519241921"/>
      <name val="Arial Narrow"/>
      <family val="2"/>
    </font>
    <font>
      <b/>
      <sz val="10"/>
      <color theme="0"/>
      <name val="Arial Narrow"/>
      <family val="2"/>
    </font>
    <font>
      <b/>
      <i/>
      <sz val="11"/>
      <color rgb="FF0046D2"/>
      <name val="Arial Narrow"/>
      <family val="2"/>
    </font>
    <font>
      <b/>
      <sz val="16"/>
      <color rgb="FF0070C0"/>
      <name val="Arial Narrow"/>
      <family val="2"/>
    </font>
    <font>
      <sz val="10"/>
      <color rgb="FF002060"/>
      <name val="Arial Narrow"/>
      <family val="2"/>
    </font>
    <font>
      <b/>
      <sz val="12"/>
      <color rgb="FF0070C0"/>
      <name val="Arial Narrow"/>
      <family val="2"/>
    </font>
    <font>
      <b/>
      <sz val="12"/>
      <color rgb="FF0070C0"/>
      <name val="Aptos Black"/>
      <family val="2"/>
    </font>
    <font>
      <b/>
      <i/>
      <sz val="11"/>
      <color rgb="FF0070C0"/>
      <name val="Arial Narrow"/>
      <family val="2"/>
    </font>
    <font>
      <b/>
      <sz val="20"/>
      <color rgb="FFFF0000"/>
      <name val="Arial Narrow"/>
      <family val="2"/>
    </font>
    <font>
      <b/>
      <sz val="11"/>
      <color theme="8" tint="-0.249977111117893"/>
      <name val="Arial Narrow"/>
      <family val="2"/>
    </font>
    <font>
      <b/>
      <i/>
      <sz val="10"/>
      <color theme="5"/>
      <name val="Arial Narrow"/>
      <family val="2"/>
    </font>
    <font>
      <b/>
      <u/>
      <sz val="11"/>
      <color theme="1"/>
      <name val="Arial Narrow"/>
      <family val="2"/>
    </font>
    <font>
      <b/>
      <sz val="10"/>
      <color rgb="FF002060"/>
      <name val="Arial Narrow"/>
      <family val="2"/>
    </font>
    <font>
      <b/>
      <sz val="20"/>
      <color theme="4" tint="-0.249977111117893"/>
      <name val="Arial Narrow"/>
      <family val="2"/>
    </font>
    <font>
      <b/>
      <i/>
      <sz val="11"/>
      <color theme="4" tint="-0.249977111117893"/>
      <name val="Arial Narrow"/>
      <family val="2"/>
    </font>
    <font>
      <b/>
      <sz val="11"/>
      <color theme="4" tint="-0.249977111117893"/>
      <name val="Arial Narrow"/>
      <family val="2"/>
    </font>
    <font>
      <b/>
      <sz val="11"/>
      <color theme="4" tint="-0.499984740745262"/>
      <name val="Arial Narrow"/>
      <family val="2"/>
    </font>
    <font>
      <b/>
      <i/>
      <sz val="11"/>
      <color theme="4" tint="-0.499984740745262"/>
      <name val="Arial Narrow"/>
      <family val="2"/>
    </font>
    <font>
      <sz val="11"/>
      <color theme="4" tint="-0.499984740745262"/>
      <name val="Arial Narrow"/>
      <family val="2"/>
    </font>
    <font>
      <b/>
      <sz val="10"/>
      <color theme="4" tint="-0.249977111117893"/>
      <name val="Arial Narrow"/>
      <family val="2"/>
    </font>
    <font>
      <b/>
      <sz val="11"/>
      <color theme="9" tint="-0.249977111117893"/>
      <name val="Arial Narrow"/>
      <family val="2"/>
    </font>
    <font>
      <sz val="11"/>
      <color theme="1" tint="0.34998626667073579"/>
      <name val="Arial Narrow"/>
      <family val="2"/>
    </font>
    <font>
      <b/>
      <sz val="8"/>
      <color theme="1" tint="0.34998626667073579"/>
      <name val="Arial Narrow"/>
      <family val="2"/>
    </font>
    <font>
      <b/>
      <sz val="11"/>
      <color theme="1" tint="0.34998626667073579"/>
      <name val="Arial Narrow"/>
      <family val="2"/>
    </font>
    <font>
      <b/>
      <i/>
      <sz val="10"/>
      <color rgb="FF0046D2"/>
      <name val="Arial Narrow"/>
      <family val="2"/>
    </font>
    <font>
      <i/>
      <sz val="10"/>
      <color theme="0"/>
      <name val="Arial Narrow"/>
      <family val="2"/>
    </font>
    <font>
      <b/>
      <i/>
      <sz val="10"/>
      <color theme="0"/>
      <name val="Arial Narrow"/>
      <family val="2"/>
    </font>
    <font>
      <b/>
      <sz val="11"/>
      <color indexed="8"/>
      <name val="Arial Narrow"/>
      <family val="2"/>
    </font>
  </fonts>
  <fills count="27">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70C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FFFFFF"/>
        <bgColor indexed="64"/>
      </patternFill>
    </fill>
  </fills>
  <borders count="14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theme="2" tint="-0.24994659260841701"/>
      </right>
      <top style="thin">
        <color indexed="64"/>
      </top>
      <bottom style="medium">
        <color indexed="64"/>
      </bottom>
      <diagonal/>
    </border>
    <border>
      <left style="thin">
        <color indexed="64"/>
      </left>
      <right/>
      <top style="medium">
        <color indexed="64"/>
      </top>
      <bottom style="thin">
        <color indexed="64"/>
      </bottom>
      <diagonal/>
    </border>
    <border>
      <left/>
      <right style="dotted">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theme="2" tint="-0.24994659260841701"/>
      </right>
      <top style="thin">
        <color indexed="64"/>
      </top>
      <bottom style="thin">
        <color indexed="64"/>
      </bottom>
      <diagonal/>
    </border>
    <border>
      <left style="medium">
        <color indexed="64"/>
      </left>
      <right style="thin">
        <color theme="2" tint="-0.24994659260841701"/>
      </right>
      <top style="thin">
        <color indexed="64"/>
      </top>
      <bottom style="medium">
        <color indexed="64"/>
      </bottom>
      <diagonal/>
    </border>
    <border>
      <left style="thin">
        <color theme="2" tint="-0.24994659260841701"/>
      </left>
      <right/>
      <top style="thin">
        <color indexed="64"/>
      </top>
      <bottom style="thin">
        <color indexed="64"/>
      </bottom>
      <diagonal/>
    </border>
    <border>
      <left style="thin">
        <color theme="2" tint="-0.24994659260841701"/>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theme="2" tint="-0.24994659260841701"/>
      </right>
      <top style="thin">
        <color indexed="64"/>
      </top>
      <bottom/>
      <diagonal/>
    </border>
    <border>
      <left style="thin">
        <color theme="2" tint="-0.24994659260841701"/>
      </left>
      <right style="thin">
        <color theme="2" tint="-0.24994659260841701"/>
      </right>
      <top style="thin">
        <color indexed="64"/>
      </top>
      <bottom/>
      <diagonal/>
    </border>
    <border>
      <left style="thin">
        <color theme="2" tint="-0.24994659260841701"/>
      </left>
      <right/>
      <top style="thin">
        <color indexed="64"/>
      </top>
      <bottom/>
      <diagonal/>
    </border>
    <border>
      <left style="medium">
        <color indexed="64"/>
      </left>
      <right style="thin">
        <color theme="2" tint="-0.24994659260841701"/>
      </right>
      <top/>
      <bottom style="thin">
        <color indexed="64"/>
      </bottom>
      <diagonal/>
    </border>
    <border>
      <left style="thin">
        <color theme="2" tint="-0.24994659260841701"/>
      </left>
      <right style="thin">
        <color theme="2" tint="-0.24994659260841701"/>
      </right>
      <top/>
      <bottom style="thin">
        <color indexed="64"/>
      </bottom>
      <diagonal/>
    </border>
    <border>
      <left style="thin">
        <color theme="2" tint="-0.24994659260841701"/>
      </left>
      <right/>
      <top/>
      <bottom style="thin">
        <color indexed="64"/>
      </bottom>
      <diagonal/>
    </border>
    <border diagonalUp="1" diagonalDown="1">
      <left style="medium">
        <color indexed="64"/>
      </left>
      <right style="thin">
        <color indexed="64"/>
      </right>
      <top style="thin">
        <color indexed="64"/>
      </top>
      <bottom/>
      <diagonal style="thin">
        <color indexed="64"/>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thin">
        <color indexed="64"/>
      </top>
      <bottom/>
      <diagonal style="thin">
        <color indexed="64"/>
      </diagonal>
    </border>
    <border diagonalUp="1" diagonalDown="1">
      <left style="thin">
        <color indexed="64"/>
      </left>
      <right style="medium">
        <color indexed="64"/>
      </right>
      <top style="thin">
        <color indexed="64"/>
      </top>
      <bottom/>
      <diagonal style="thin">
        <color indexed="64"/>
      </diagonal>
    </border>
    <border>
      <left style="thin">
        <color theme="1"/>
      </left>
      <right/>
      <top style="thin">
        <color theme="1"/>
      </top>
      <bottom style="thin">
        <color indexed="64"/>
      </bottom>
      <diagonal/>
    </border>
    <border>
      <left/>
      <right/>
      <top style="thin">
        <color theme="1"/>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medium">
        <color theme="6" tint="0.59996337778862885"/>
      </right>
      <top/>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medium">
        <color indexed="64"/>
      </top>
      <bottom/>
      <diagonal/>
    </border>
    <border>
      <left style="medium">
        <color indexed="64"/>
      </left>
      <right style="thin">
        <color theme="2" tint="-0.24994659260841701"/>
      </right>
      <top style="medium">
        <color indexed="64"/>
      </top>
      <bottom style="thin">
        <color indexed="64"/>
      </bottom>
      <diagonal/>
    </border>
    <border>
      <left style="thin">
        <color theme="2" tint="-0.24994659260841701"/>
      </left>
      <right style="thin">
        <color theme="2" tint="-0.24994659260841701"/>
      </right>
      <top style="medium">
        <color indexed="64"/>
      </top>
      <bottom style="thin">
        <color indexed="64"/>
      </bottom>
      <diagonal/>
    </border>
    <border>
      <left style="thin">
        <color theme="2" tint="-0.24994659260841701"/>
      </left>
      <right/>
      <top style="medium">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9" fontId="1" fillId="0" borderId="0" applyFont="0" applyFill="0" applyBorder="0" applyAlignment="0" applyProtection="0"/>
    <xf numFmtId="0" fontId="2" fillId="0" borderId="0"/>
  </cellStyleXfs>
  <cellXfs count="950">
    <xf numFmtId="0" fontId="0" fillId="0" borderId="0" xfId="0"/>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35"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47" xfId="0" applyFont="1" applyBorder="1" applyAlignment="1">
      <alignment horizontal="center" vertical="center"/>
    </xf>
    <xf numFmtId="0" fontId="6" fillId="0" borderId="19" xfId="0" applyFont="1" applyBorder="1" applyAlignment="1">
      <alignment horizontal="center" vertical="center"/>
    </xf>
    <xf numFmtId="0" fontId="10" fillId="0" borderId="0" xfId="0" applyFont="1" applyAlignment="1">
      <alignment horizontal="centerContinuous" vertical="center"/>
    </xf>
    <xf numFmtId="0" fontId="6" fillId="0" borderId="0" xfId="0" applyFont="1" applyAlignment="1">
      <alignment horizontal="centerContinuous" vertical="center"/>
    </xf>
    <xf numFmtId="0" fontId="7" fillId="0" borderId="0" xfId="0" applyFont="1" applyAlignment="1">
      <alignment vertical="center"/>
    </xf>
    <xf numFmtId="0" fontId="7" fillId="0" borderId="53" xfId="0" applyFont="1" applyBorder="1" applyAlignment="1">
      <alignment vertical="center"/>
    </xf>
    <xf numFmtId="0" fontId="7" fillId="0" borderId="43" xfId="0" applyFont="1" applyBorder="1" applyAlignment="1">
      <alignment vertical="center"/>
    </xf>
    <xf numFmtId="0" fontId="7" fillId="0" borderId="68" xfId="0" applyFont="1" applyBorder="1" applyAlignment="1">
      <alignment horizontal="center" vertical="center"/>
    </xf>
    <xf numFmtId="0" fontId="7" fillId="0" borderId="33" xfId="0" applyFont="1" applyBorder="1" applyAlignment="1">
      <alignment horizontal="center" vertical="center"/>
    </xf>
    <xf numFmtId="0" fontId="7" fillId="0" borderId="39" xfId="0" applyFont="1" applyBorder="1" applyAlignment="1">
      <alignment horizontal="right" vertical="center"/>
    </xf>
    <xf numFmtId="0" fontId="11" fillId="0" borderId="52" xfId="0" applyFont="1" applyBorder="1" applyAlignment="1" applyProtection="1">
      <alignment vertical="center"/>
      <protection hidden="1"/>
    </xf>
    <xf numFmtId="0" fontId="7" fillId="0" borderId="0" xfId="0" applyFont="1" applyAlignment="1">
      <alignment horizontal="center" vertical="center"/>
    </xf>
    <xf numFmtId="0" fontId="6" fillId="0" borderId="0" xfId="0" applyFont="1" applyAlignment="1">
      <alignment horizontal="left" vertical="center" indent="1"/>
    </xf>
    <xf numFmtId="0" fontId="7" fillId="0" borderId="0" xfId="0" applyFont="1" applyAlignment="1">
      <alignment horizontal="left" vertical="center"/>
    </xf>
    <xf numFmtId="0" fontId="6" fillId="0" borderId="26" xfId="0" applyFont="1" applyBorder="1" applyAlignment="1">
      <alignment vertical="center"/>
    </xf>
    <xf numFmtId="0" fontId="6" fillId="0" borderId="18" xfId="0" applyFont="1" applyBorder="1" applyAlignment="1">
      <alignment vertical="center"/>
    </xf>
    <xf numFmtId="0" fontId="21" fillId="0" borderId="0" xfId="0" applyFont="1" applyAlignment="1">
      <alignment vertical="center"/>
    </xf>
    <xf numFmtId="0" fontId="6" fillId="7" borderId="0" xfId="0" applyFont="1" applyFill="1" applyAlignment="1">
      <alignment vertical="center"/>
    </xf>
    <xf numFmtId="0" fontId="5" fillId="3" borderId="12" xfId="0" applyFont="1" applyFill="1" applyBorder="1" applyAlignment="1">
      <alignment horizontal="left" vertical="center" indent="1"/>
    </xf>
    <xf numFmtId="0" fontId="5" fillId="3" borderId="14" xfId="0" applyFont="1" applyFill="1" applyBorder="1" applyAlignment="1">
      <alignment horizontal="left" vertical="center"/>
    </xf>
    <xf numFmtId="0" fontId="6" fillId="3" borderId="0" xfId="0" applyFont="1" applyFill="1" applyAlignment="1">
      <alignment vertical="center"/>
    </xf>
    <xf numFmtId="0" fontId="6" fillId="3" borderId="12" xfId="0" applyFont="1" applyFill="1" applyBorder="1" applyAlignment="1">
      <alignment horizontal="left" vertical="center" indent="1"/>
    </xf>
    <xf numFmtId="0" fontId="26" fillId="6" borderId="3" xfId="0" applyFont="1" applyFill="1" applyBorder="1" applyAlignment="1">
      <alignment horizontal="center" vertical="center"/>
    </xf>
    <xf numFmtId="0" fontId="6" fillId="6" borderId="24" xfId="0" applyFont="1" applyFill="1" applyBorder="1" applyAlignment="1" applyProtection="1">
      <alignment horizontal="left" vertical="center" indent="1"/>
      <protection locked="0"/>
    </xf>
    <xf numFmtId="0" fontId="6" fillId="3" borderId="36" xfId="0" applyFont="1" applyFill="1" applyBorder="1" applyAlignment="1">
      <alignment horizontal="left" vertical="center" indent="1"/>
    </xf>
    <xf numFmtId="0" fontId="6" fillId="3" borderId="37" xfId="0" applyFont="1" applyFill="1" applyBorder="1" applyAlignment="1">
      <alignment vertical="center"/>
    </xf>
    <xf numFmtId="0" fontId="6" fillId="3" borderId="37" xfId="0" applyFont="1" applyFill="1" applyBorder="1" applyAlignment="1">
      <alignment horizontal="left" vertical="center"/>
    </xf>
    <xf numFmtId="0" fontId="6" fillId="3" borderId="37" xfId="0" applyFont="1" applyFill="1" applyBorder="1" applyAlignment="1">
      <alignment horizontal="center" vertical="center"/>
    </xf>
    <xf numFmtId="0" fontId="7" fillId="6" borderId="4" xfId="0" applyFont="1" applyFill="1" applyBorder="1" applyAlignment="1" applyProtection="1">
      <alignment horizontal="left" vertical="center" wrapText="1"/>
      <protection locked="0"/>
    </xf>
    <xf numFmtId="0" fontId="6" fillId="3" borderId="0" xfId="0" applyFont="1" applyFill="1" applyAlignment="1">
      <alignment horizontal="left" vertical="center"/>
    </xf>
    <xf numFmtId="0" fontId="6" fillId="8" borderId="12" xfId="0" applyFont="1" applyFill="1" applyBorder="1" applyAlignment="1">
      <alignment horizontal="left" vertical="center" indent="1"/>
    </xf>
    <xf numFmtId="0" fontId="6" fillId="8" borderId="36" xfId="0" applyFont="1" applyFill="1" applyBorder="1" applyAlignment="1">
      <alignment horizontal="left" vertical="center" indent="1"/>
    </xf>
    <xf numFmtId="0" fontId="6" fillId="8" borderId="37" xfId="0" applyFont="1" applyFill="1" applyBorder="1" applyAlignment="1">
      <alignment horizontal="left" vertical="center"/>
    </xf>
    <xf numFmtId="0" fontId="6" fillId="8" borderId="37" xfId="0" applyFont="1" applyFill="1" applyBorder="1" applyAlignment="1">
      <alignment horizontal="center" vertical="center"/>
    </xf>
    <xf numFmtId="0" fontId="6" fillId="8" borderId="37" xfId="0" applyFont="1" applyFill="1" applyBorder="1" applyAlignment="1">
      <alignment vertical="center"/>
    </xf>
    <xf numFmtId="0" fontId="6" fillId="0" borderId="46" xfId="0" applyFont="1" applyBorder="1" applyAlignment="1">
      <alignment vertical="center"/>
    </xf>
    <xf numFmtId="0" fontId="7" fillId="0" borderId="43" xfId="0" applyFont="1" applyBorder="1" applyAlignment="1">
      <alignment horizontal="center" vertical="center"/>
    </xf>
    <xf numFmtId="0" fontId="6" fillId="0" borderId="35" xfId="0" applyFont="1" applyBorder="1" applyAlignment="1">
      <alignment horizontal="left" vertical="center"/>
    </xf>
    <xf numFmtId="0" fontId="7" fillId="0" borderId="24" xfId="0" applyFont="1" applyBorder="1" applyAlignment="1">
      <alignment horizontal="left" vertical="center" indent="1"/>
    </xf>
    <xf numFmtId="0" fontId="6" fillId="0" borderId="45" xfId="0" applyFont="1" applyBorder="1" applyAlignment="1">
      <alignment vertical="center"/>
    </xf>
    <xf numFmtId="0" fontId="6" fillId="0" borderId="35" xfId="0" applyFont="1" applyBorder="1" applyAlignment="1">
      <alignment vertical="center"/>
    </xf>
    <xf numFmtId="0" fontId="26" fillId="6" borderId="26" xfId="0" applyFont="1" applyFill="1" applyBorder="1" applyAlignment="1">
      <alignment horizontal="center" vertical="center"/>
    </xf>
    <xf numFmtId="0" fontId="26" fillId="6" borderId="18" xfId="0" applyFont="1" applyFill="1" applyBorder="1" applyAlignment="1">
      <alignment horizontal="center" vertical="center"/>
    </xf>
    <xf numFmtId="0" fontId="8" fillId="0" borderId="0" xfId="0" applyFont="1" applyAlignment="1">
      <alignment vertical="center"/>
    </xf>
    <xf numFmtId="0" fontId="6" fillId="0" borderId="0" xfId="0" applyFont="1" applyAlignment="1">
      <alignment horizontal="right" vertical="center" indent="1"/>
    </xf>
    <xf numFmtId="0" fontId="7" fillId="0" borderId="27" xfId="0" applyFont="1" applyBorder="1" applyAlignment="1">
      <alignment horizontal="left" vertical="center" indent="1"/>
    </xf>
    <xf numFmtId="0" fontId="5" fillId="19" borderId="53" xfId="0" applyFont="1" applyFill="1" applyBorder="1" applyAlignment="1">
      <alignment horizontal="centerContinuous" vertical="center"/>
    </xf>
    <xf numFmtId="0" fontId="7" fillId="0" borderId="26" xfId="0" applyFont="1" applyBorder="1" applyAlignment="1">
      <alignment horizontal="center" vertical="center"/>
    </xf>
    <xf numFmtId="0" fontId="7" fillId="0" borderId="18" xfId="0" applyFont="1" applyBorder="1" applyAlignment="1">
      <alignment horizontal="center" vertical="center"/>
    </xf>
    <xf numFmtId="1" fontId="8" fillId="19" borderId="24" xfId="0" applyNumberFormat="1" applyFont="1" applyFill="1" applyBorder="1" applyAlignment="1">
      <alignment horizontal="left" vertical="center"/>
    </xf>
    <xf numFmtId="0" fontId="5" fillId="19" borderId="42" xfId="0" applyFont="1" applyFill="1" applyBorder="1" applyAlignment="1">
      <alignment horizontal="centerContinuous" vertical="center"/>
    </xf>
    <xf numFmtId="0" fontId="22" fillId="0" borderId="36" xfId="0" applyFont="1" applyBorder="1" applyAlignment="1">
      <alignment horizontal="right" vertical="center"/>
    </xf>
    <xf numFmtId="0" fontId="7" fillId="0" borderId="25" xfId="0" applyFont="1" applyBorder="1" applyAlignment="1">
      <alignment horizontal="right" vertical="center"/>
    </xf>
    <xf numFmtId="0" fontId="8" fillId="19" borderId="20" xfId="0" applyFont="1" applyFill="1" applyBorder="1" applyAlignment="1">
      <alignment horizontal="centerContinuous" vertical="center"/>
    </xf>
    <xf numFmtId="0" fontId="8" fillId="19" borderId="47" xfId="0" applyFont="1" applyFill="1" applyBorder="1" applyAlignment="1">
      <alignment horizontal="centerContinuous" vertical="center"/>
    </xf>
    <xf numFmtId="0" fontId="6" fillId="0" borderId="2" xfId="0" applyFont="1" applyBorder="1" applyAlignment="1">
      <alignment horizontal="left" vertical="center" indent="1"/>
    </xf>
    <xf numFmtId="0" fontId="8" fillId="19" borderId="2" xfId="0" applyFont="1" applyFill="1" applyBorder="1" applyAlignment="1">
      <alignment horizontal="centerContinuous" vertical="center"/>
    </xf>
    <xf numFmtId="1" fontId="6" fillId="0" borderId="53" xfId="0" applyNumberFormat="1" applyFont="1" applyBorder="1" applyAlignment="1">
      <alignment horizontal="center" vertical="center"/>
    </xf>
    <xf numFmtId="1" fontId="8" fillId="19" borderId="53" xfId="0" applyNumberFormat="1" applyFont="1" applyFill="1" applyBorder="1" applyAlignment="1">
      <alignment horizontal="left" vertical="center"/>
    </xf>
    <xf numFmtId="1" fontId="8" fillId="19" borderId="67" xfId="0" applyNumberFormat="1" applyFont="1" applyFill="1" applyBorder="1" applyAlignment="1">
      <alignment horizontal="left" vertical="center"/>
    </xf>
    <xf numFmtId="0" fontId="8" fillId="19" borderId="52" xfId="0" applyFont="1" applyFill="1" applyBorder="1" applyAlignment="1">
      <alignment horizontal="center" vertical="center"/>
    </xf>
    <xf numFmtId="0" fontId="11" fillId="0" borderId="23" xfId="0" applyFont="1" applyBorder="1" applyAlignment="1" applyProtection="1">
      <alignment horizontal="center" vertical="center"/>
      <protection hidden="1"/>
    </xf>
    <xf numFmtId="0" fontId="33" fillId="19" borderId="23" xfId="0" applyFont="1" applyFill="1" applyBorder="1" applyAlignment="1" applyProtection="1">
      <alignment horizontal="left" vertical="center"/>
      <protection hidden="1"/>
    </xf>
    <xf numFmtId="0" fontId="8" fillId="19" borderId="38" xfId="0" applyFont="1" applyFill="1" applyBorder="1" applyAlignment="1">
      <alignment horizontal="center" vertical="center"/>
    </xf>
    <xf numFmtId="0" fontId="8" fillId="19" borderId="48" xfId="0" applyFont="1" applyFill="1" applyBorder="1" applyAlignment="1">
      <alignment horizontal="left" vertical="center"/>
    </xf>
    <xf numFmtId="0" fontId="6" fillId="0" borderId="23" xfId="0" applyFont="1" applyBorder="1" applyAlignment="1">
      <alignment horizontal="left" vertical="center" indent="1"/>
    </xf>
    <xf numFmtId="0" fontId="8" fillId="19" borderId="23" xfId="0" applyFont="1" applyFill="1" applyBorder="1" applyAlignment="1">
      <alignment horizontal="centerContinuous" vertical="center"/>
    </xf>
    <xf numFmtId="0" fontId="5" fillId="7" borderId="0" xfId="0" applyFont="1" applyFill="1" applyAlignment="1">
      <alignment horizontal="left" vertical="center" indent="1"/>
    </xf>
    <xf numFmtId="0" fontId="5" fillId="7" borderId="0" xfId="0" applyFont="1" applyFill="1" applyAlignment="1">
      <alignment vertical="center"/>
    </xf>
    <xf numFmtId="0" fontId="5" fillId="7" borderId="0" xfId="0" applyFont="1" applyFill="1" applyAlignment="1">
      <alignment horizontal="left" vertical="center"/>
    </xf>
    <xf numFmtId="0" fontId="6" fillId="0" borderId="37" xfId="0" applyFont="1" applyBorder="1" applyAlignment="1">
      <alignment vertical="top"/>
    </xf>
    <xf numFmtId="0" fontId="16" fillId="0" borderId="0" xfId="0" applyFont="1" applyAlignment="1">
      <alignment vertical="top" wrapText="1"/>
    </xf>
    <xf numFmtId="0" fontId="9" fillId="6" borderId="3" xfId="0" applyFont="1" applyFill="1" applyBorder="1" applyAlignment="1">
      <alignment horizontal="left" vertical="center" indent="1"/>
    </xf>
    <xf numFmtId="0" fontId="9" fillId="6" borderId="18" xfId="0" applyFont="1" applyFill="1" applyBorder="1" applyAlignment="1">
      <alignment horizontal="left" vertical="center" indent="1"/>
    </xf>
    <xf numFmtId="0" fontId="35" fillId="6" borderId="4" xfId="0" quotePrefix="1" applyFont="1" applyFill="1" applyBorder="1" applyAlignment="1" applyProtection="1">
      <alignment horizontal="left" vertical="center"/>
      <protection locked="0"/>
    </xf>
    <xf numFmtId="0" fontId="7" fillId="6" borderId="4" xfId="0" applyFont="1" applyFill="1" applyBorder="1" applyAlignment="1">
      <alignment horizontal="left" vertical="center" wrapText="1"/>
    </xf>
    <xf numFmtId="0" fontId="9" fillId="6" borderId="3" xfId="0" applyFont="1" applyFill="1" applyBorder="1" applyAlignment="1">
      <alignment vertical="center"/>
    </xf>
    <xf numFmtId="0" fontId="9" fillId="6" borderId="26" xfId="0" applyFont="1" applyFill="1" applyBorder="1" applyAlignment="1">
      <alignment vertical="center"/>
    </xf>
    <xf numFmtId="0" fontId="26" fillId="6" borderId="26" xfId="0" applyFont="1" applyFill="1" applyBorder="1" applyAlignment="1">
      <alignment vertical="center"/>
    </xf>
    <xf numFmtId="0" fontId="26" fillId="6" borderId="18" xfId="0" applyFont="1" applyFill="1" applyBorder="1" applyAlignment="1">
      <alignment vertical="center"/>
    </xf>
    <xf numFmtId="0" fontId="35" fillId="6" borderId="46" xfId="0" quotePrefix="1" applyFont="1" applyFill="1" applyBorder="1" applyAlignment="1" applyProtection="1">
      <alignment horizontal="left" vertical="center"/>
      <protection locked="0"/>
    </xf>
    <xf numFmtId="0" fontId="7" fillId="6" borderId="1" xfId="0" applyFont="1" applyFill="1" applyBorder="1" applyAlignment="1" applyProtection="1">
      <alignment horizontal="left" vertical="center" wrapText="1"/>
      <protection locked="0"/>
    </xf>
    <xf numFmtId="0" fontId="31" fillId="0" borderId="0" xfId="0" applyFont="1" applyAlignment="1">
      <alignment horizontal="center" vertical="center"/>
    </xf>
    <xf numFmtId="0" fontId="43" fillId="0" borderId="0" xfId="0" applyFont="1" applyAlignment="1">
      <alignment horizontal="center" vertical="center"/>
    </xf>
    <xf numFmtId="0" fontId="9" fillId="6" borderId="96" xfId="0" applyFont="1" applyFill="1" applyBorder="1" applyAlignment="1">
      <alignment vertical="center"/>
    </xf>
    <xf numFmtId="0" fontId="26" fillId="6" borderId="96" xfId="0" applyFont="1" applyFill="1" applyBorder="1" applyAlignment="1">
      <alignment horizontal="center" vertical="center"/>
    </xf>
    <xf numFmtId="0" fontId="42" fillId="0" borderId="3" xfId="0" applyFont="1" applyBorder="1" applyAlignment="1">
      <alignment horizontal="center" vertical="center"/>
    </xf>
    <xf numFmtId="0" fontId="7" fillId="8" borderId="37" xfId="0" applyFont="1" applyFill="1" applyBorder="1" applyAlignment="1">
      <alignment horizontal="center" vertical="center"/>
    </xf>
    <xf numFmtId="0" fontId="7" fillId="8" borderId="37" xfId="0" applyFont="1" applyFill="1" applyBorder="1" applyAlignment="1">
      <alignment horizontal="left" vertical="center"/>
    </xf>
    <xf numFmtId="0" fontId="20" fillId="7" borderId="0" xfId="0" applyFont="1" applyFill="1" applyAlignment="1">
      <alignment vertical="center"/>
    </xf>
    <xf numFmtId="0" fontId="5" fillId="7" borderId="0" xfId="0" applyFont="1" applyFill="1" applyAlignment="1">
      <alignment horizontal="center" vertical="center"/>
    </xf>
    <xf numFmtId="0" fontId="44" fillId="7" borderId="0" xfId="0" applyFont="1" applyFill="1" applyAlignment="1">
      <alignment horizontal="center" vertical="center"/>
    </xf>
    <xf numFmtId="0" fontId="9" fillId="7" borderId="0" xfId="0" applyFont="1" applyFill="1" applyAlignment="1">
      <alignment horizontal="left" vertical="center"/>
    </xf>
    <xf numFmtId="0" fontId="6" fillId="0" borderId="0" xfId="0" applyFont="1" applyAlignment="1">
      <alignment horizontal="left" vertical="top" indent="1"/>
    </xf>
    <xf numFmtId="0" fontId="40" fillId="8" borderId="0" xfId="0" applyFont="1" applyFill="1" applyAlignment="1">
      <alignment horizontal="left" vertical="center" indent="1"/>
    </xf>
    <xf numFmtId="0" fontId="12" fillId="8" borderId="0" xfId="0" applyFont="1" applyFill="1" applyAlignment="1">
      <alignment horizontal="left" vertical="center" indent="1"/>
    </xf>
    <xf numFmtId="0" fontId="39" fillId="21" borderId="0" xfId="0" applyFont="1" applyFill="1" applyAlignment="1">
      <alignment horizontal="center" vertical="center"/>
    </xf>
    <xf numFmtId="0" fontId="6" fillId="8" borderId="97" xfId="0" applyFont="1" applyFill="1" applyBorder="1" applyAlignment="1">
      <alignment vertical="center"/>
    </xf>
    <xf numFmtId="0" fontId="8" fillId="21" borderId="98" xfId="0" applyFont="1" applyFill="1" applyBorder="1" applyAlignment="1">
      <alignment horizontal="left" vertical="center" indent="1"/>
    </xf>
    <xf numFmtId="0" fontId="6" fillId="8" borderId="98" xfId="0" applyFont="1" applyFill="1" applyBorder="1" applyAlignment="1">
      <alignment vertical="center"/>
    </xf>
    <xf numFmtId="0" fontId="7" fillId="8" borderId="98" xfId="0" applyFont="1" applyFill="1" applyBorder="1" applyAlignment="1">
      <alignment horizontal="left" vertical="center"/>
    </xf>
    <xf numFmtId="0" fontId="6" fillId="8" borderId="100" xfId="0" applyFont="1" applyFill="1" applyBorder="1" applyAlignment="1">
      <alignment vertical="center"/>
    </xf>
    <xf numFmtId="0" fontId="6" fillId="8" borderId="102" xfId="0" applyFont="1" applyFill="1" applyBorder="1" applyAlignment="1">
      <alignment vertical="center"/>
    </xf>
    <xf numFmtId="0" fontId="6" fillId="8" borderId="103" xfId="0" applyFont="1" applyFill="1" applyBorder="1" applyAlignment="1">
      <alignment horizontal="left" vertical="center" indent="1"/>
    </xf>
    <xf numFmtId="0" fontId="7" fillId="8" borderId="103" xfId="0" applyFont="1" applyFill="1" applyBorder="1" applyAlignment="1">
      <alignment horizontal="left" vertical="center" indent="1"/>
    </xf>
    <xf numFmtId="0" fontId="44" fillId="8" borderId="103" xfId="0" applyFont="1" applyFill="1" applyBorder="1" applyAlignment="1">
      <alignment horizontal="left" vertical="center" indent="1"/>
    </xf>
    <xf numFmtId="0" fontId="47" fillId="7" borderId="0" xfId="0" applyFont="1" applyFill="1" applyAlignment="1">
      <alignment horizontal="left" vertical="center"/>
    </xf>
    <xf numFmtId="0" fontId="6" fillId="0" borderId="105" xfId="0" applyFont="1" applyBorder="1" applyAlignment="1">
      <alignment vertical="center"/>
    </xf>
    <xf numFmtId="0" fontId="6" fillId="0" borderId="106" xfId="0" applyFont="1" applyBorder="1" applyAlignment="1">
      <alignment vertical="center"/>
    </xf>
    <xf numFmtId="0" fontId="6" fillId="0" borderId="107" xfId="0" applyFont="1" applyBorder="1" applyAlignment="1">
      <alignment vertical="center"/>
    </xf>
    <xf numFmtId="0" fontId="6" fillId="0" borderId="108" xfId="0" applyFont="1" applyBorder="1" applyAlignment="1">
      <alignment horizontal="left" vertical="center" indent="1"/>
    </xf>
    <xf numFmtId="0" fontId="6" fillId="0" borderId="108" xfId="0" applyFont="1" applyBorder="1" applyAlignment="1">
      <alignment vertical="center"/>
    </xf>
    <xf numFmtId="0" fontId="7" fillId="0" borderId="108" xfId="0" applyFont="1" applyBorder="1" applyAlignment="1">
      <alignment horizontal="left" vertical="center"/>
    </xf>
    <xf numFmtId="0" fontId="43" fillId="0" borderId="108" xfId="0" applyFont="1" applyBorder="1" applyAlignment="1">
      <alignment horizontal="center" vertical="center"/>
    </xf>
    <xf numFmtId="0" fontId="6" fillId="0" borderId="109" xfId="0" applyFont="1" applyBorder="1" applyAlignment="1">
      <alignment vertical="center"/>
    </xf>
    <xf numFmtId="0" fontId="9" fillId="7" borderId="0" xfId="0" applyFont="1" applyFill="1" applyAlignment="1">
      <alignment horizontal="center" vertical="center"/>
    </xf>
    <xf numFmtId="0" fontId="9" fillId="8" borderId="103" xfId="0" applyFont="1" applyFill="1" applyBorder="1" applyAlignment="1">
      <alignment horizontal="left" vertical="center" indent="1"/>
    </xf>
    <xf numFmtId="0" fontId="17" fillId="20" borderId="45" xfId="0" applyFont="1" applyFill="1" applyBorder="1" applyAlignment="1">
      <alignment horizontal="left" vertical="center" indent="1"/>
    </xf>
    <xf numFmtId="0" fontId="26" fillId="6" borderId="3" xfId="0" applyFont="1" applyFill="1" applyBorder="1" applyAlignment="1">
      <alignment vertical="center"/>
    </xf>
    <xf numFmtId="0" fontId="42" fillId="0" borderId="3" xfId="0" applyFont="1" applyBorder="1" applyAlignment="1">
      <alignment vertical="center"/>
    </xf>
    <xf numFmtId="0" fontId="5" fillId="3" borderId="34" xfId="0" applyFont="1" applyFill="1" applyBorder="1" applyAlignment="1">
      <alignment horizontal="left" vertical="center"/>
    </xf>
    <xf numFmtId="0" fontId="15" fillId="10" borderId="11" xfId="0" applyFont="1" applyFill="1" applyBorder="1" applyAlignment="1">
      <alignment horizontal="left" vertical="center"/>
    </xf>
    <xf numFmtId="0" fontId="7" fillId="8" borderId="14" xfId="0" applyFont="1" applyFill="1" applyBorder="1" applyAlignment="1">
      <alignment horizontal="left" vertical="center"/>
    </xf>
    <xf numFmtId="0" fontId="7" fillId="8" borderId="34" xfId="0" applyFont="1" applyFill="1" applyBorder="1" applyAlignment="1">
      <alignment horizontal="left" vertical="center"/>
    </xf>
    <xf numFmtId="0" fontId="5" fillId="8" borderId="14" xfId="0" applyFont="1" applyFill="1" applyBorder="1" applyAlignment="1">
      <alignment horizontal="left" vertical="center"/>
    </xf>
    <xf numFmtId="0" fontId="5" fillId="8" borderId="34" xfId="0" applyFont="1" applyFill="1" applyBorder="1" applyAlignment="1">
      <alignment horizontal="left" vertical="center"/>
    </xf>
    <xf numFmtId="0" fontId="7" fillId="8" borderId="99" xfId="0" applyFont="1" applyFill="1" applyBorder="1" applyAlignment="1">
      <alignment horizontal="left" vertical="center"/>
    </xf>
    <xf numFmtId="0" fontId="12" fillId="8" borderId="101" xfId="0" applyFont="1" applyFill="1" applyBorder="1" applyAlignment="1">
      <alignment horizontal="left" vertical="center" indent="1"/>
    </xf>
    <xf numFmtId="0" fontId="7" fillId="8" borderId="104" xfId="0" applyFont="1" applyFill="1" applyBorder="1" applyAlignment="1">
      <alignment horizontal="left" vertical="center" indent="1"/>
    </xf>
    <xf numFmtId="0" fontId="31" fillId="0" borderId="108" xfId="0" applyFont="1" applyBorder="1" applyAlignment="1">
      <alignment horizontal="center" vertical="center"/>
    </xf>
    <xf numFmtId="0" fontId="6" fillId="0" borderId="108" xfId="0" applyFont="1" applyBorder="1" applyAlignment="1">
      <alignment horizontal="left" vertical="center"/>
    </xf>
    <xf numFmtId="0" fontId="7" fillId="0" borderId="108" xfId="0" applyFont="1" applyBorder="1" applyAlignment="1">
      <alignment horizontal="center" vertical="center"/>
    </xf>
    <xf numFmtId="0" fontId="7" fillId="11" borderId="24" xfId="0" applyFont="1" applyFill="1" applyBorder="1" applyAlignment="1">
      <alignment horizontal="center" vertical="center"/>
    </xf>
    <xf numFmtId="0" fontId="30" fillId="6" borderId="24" xfId="0" applyFont="1" applyFill="1" applyBorder="1" applyAlignment="1">
      <alignment horizontal="center" vertical="center"/>
    </xf>
    <xf numFmtId="0" fontId="30" fillId="7" borderId="24" xfId="0" applyFont="1" applyFill="1" applyBorder="1" applyAlignment="1">
      <alignment horizontal="center" vertical="center"/>
    </xf>
    <xf numFmtId="0" fontId="48" fillId="7" borderId="24" xfId="0" applyFont="1" applyFill="1" applyBorder="1" applyAlignment="1">
      <alignment horizontal="center" vertical="center"/>
    </xf>
    <xf numFmtId="0" fontId="50" fillId="15" borderId="24" xfId="0" applyFont="1" applyFill="1" applyBorder="1" applyAlignment="1">
      <alignment horizontal="center" vertical="center"/>
    </xf>
    <xf numFmtId="0" fontId="51" fillId="0" borderId="0" xfId="0" applyFont="1" applyAlignment="1">
      <alignment vertical="center"/>
    </xf>
    <xf numFmtId="0" fontId="44" fillId="7" borderId="0" xfId="0" applyFont="1" applyFill="1" applyAlignment="1">
      <alignment horizontal="left" vertical="center"/>
    </xf>
    <xf numFmtId="0" fontId="43" fillId="0" borderId="0" xfId="0" applyFont="1" applyAlignment="1">
      <alignment horizontal="left" vertical="center"/>
    </xf>
    <xf numFmtId="0" fontId="6" fillId="8" borderId="98" xfId="0" applyFont="1" applyFill="1" applyBorder="1" applyAlignment="1">
      <alignment horizontal="left" vertical="center"/>
    </xf>
    <xf numFmtId="0" fontId="43" fillId="0" borderId="108" xfId="0" applyFont="1" applyBorder="1" applyAlignment="1">
      <alignment horizontal="left" vertical="center"/>
    </xf>
    <xf numFmtId="0" fontId="40" fillId="8" borderId="0" xfId="0" applyFont="1" applyFill="1" applyAlignment="1">
      <alignment horizontal="left" vertical="center"/>
    </xf>
    <xf numFmtId="0" fontId="44" fillId="8" borderId="103" xfId="0" applyFont="1" applyFill="1" applyBorder="1" applyAlignment="1">
      <alignment horizontal="left" vertical="center"/>
    </xf>
    <xf numFmtId="0" fontId="6" fillId="0" borderId="0" xfId="0" applyFont="1" applyAlignment="1">
      <alignment horizontal="left" vertical="top"/>
    </xf>
    <xf numFmtId="0" fontId="6" fillId="0" borderId="35" xfId="0" applyFont="1" applyBorder="1" applyAlignment="1">
      <alignment horizontal="left" vertical="center" indent="1"/>
    </xf>
    <xf numFmtId="0" fontId="6" fillId="0" borderId="47" xfId="0" applyFont="1" applyBorder="1" applyAlignment="1">
      <alignment horizontal="left" vertical="center" indent="1"/>
    </xf>
    <xf numFmtId="0" fontId="6" fillId="0" borderId="18" xfId="0" applyFont="1" applyBorder="1" applyAlignment="1">
      <alignment horizontal="left" vertical="center"/>
    </xf>
    <xf numFmtId="0" fontId="7" fillId="0" borderId="18" xfId="0" applyFont="1" applyBorder="1" applyAlignment="1">
      <alignment horizontal="left" vertical="center"/>
    </xf>
    <xf numFmtId="0" fontId="6" fillId="0" borderId="19" xfId="0" applyFont="1" applyBorder="1" applyAlignment="1">
      <alignment vertical="center"/>
    </xf>
    <xf numFmtId="0" fontId="34" fillId="0" borderId="0" xfId="0" applyFont="1" applyAlignment="1">
      <alignment horizontal="left" vertical="top"/>
    </xf>
    <xf numFmtId="0" fontId="16" fillId="0" borderId="0" xfId="0" applyFont="1" applyAlignment="1">
      <alignment horizontal="left" vertical="top" indent="1"/>
    </xf>
    <xf numFmtId="0" fontId="34" fillId="0" borderId="0" xfId="0" applyFont="1" applyAlignment="1">
      <alignment horizontal="left" vertical="top" indent="1"/>
    </xf>
    <xf numFmtId="0" fontId="6" fillId="0" borderId="12" xfId="0" applyFont="1" applyBorder="1" applyAlignment="1">
      <alignment vertical="center"/>
    </xf>
    <xf numFmtId="0" fontId="6" fillId="0" borderId="14" xfId="0" applyFont="1" applyBorder="1" applyAlignment="1">
      <alignment vertical="center"/>
    </xf>
    <xf numFmtId="0" fontId="51" fillId="0" borderId="0" xfId="0" applyFont="1" applyAlignment="1">
      <alignment horizontal="left" vertical="center"/>
    </xf>
    <xf numFmtId="0" fontId="6" fillId="0" borderId="36" xfId="0" applyFont="1" applyBorder="1" applyAlignment="1">
      <alignment vertical="center"/>
    </xf>
    <xf numFmtId="0" fontId="31" fillId="0" borderId="37" xfId="0" applyFont="1" applyBorder="1" applyAlignment="1">
      <alignment horizontal="center" vertical="center"/>
    </xf>
    <xf numFmtId="0" fontId="51" fillId="0" borderId="37" xfId="0" applyFont="1" applyBorder="1" applyAlignment="1">
      <alignment vertical="center"/>
    </xf>
    <xf numFmtId="0" fontId="6" fillId="0" borderId="37" xfId="0" applyFont="1" applyBorder="1" applyAlignment="1">
      <alignment vertical="center"/>
    </xf>
    <xf numFmtId="0" fontId="6" fillId="0" borderId="37" xfId="0" applyFont="1" applyBorder="1" applyAlignment="1">
      <alignment horizontal="left" vertical="center" indent="1"/>
    </xf>
    <xf numFmtId="0" fontId="6" fillId="0" borderId="37" xfId="0" applyFont="1" applyBorder="1" applyAlignment="1">
      <alignment horizontal="left" vertical="center"/>
    </xf>
    <xf numFmtId="0" fontId="7" fillId="0" borderId="37" xfId="0" applyFont="1" applyBorder="1" applyAlignment="1">
      <alignment horizontal="center" vertical="center"/>
    </xf>
    <xf numFmtId="0" fontId="7" fillId="0" borderId="37" xfId="0" applyFont="1" applyBorder="1" applyAlignment="1">
      <alignment horizontal="left" vertical="center"/>
    </xf>
    <xf numFmtId="0" fontId="6" fillId="0" borderId="34" xfId="0" applyFont="1" applyBorder="1" applyAlignment="1">
      <alignment vertical="center"/>
    </xf>
    <xf numFmtId="0" fontId="52" fillId="20" borderId="26" xfId="0" applyFont="1" applyFill="1" applyBorder="1" applyAlignment="1">
      <alignment horizontal="left" vertical="center" indent="1"/>
    </xf>
    <xf numFmtId="0" fontId="16" fillId="20" borderId="26" xfId="0" applyFont="1" applyFill="1" applyBorder="1" applyAlignment="1">
      <alignment horizontal="left" vertical="center" indent="1"/>
    </xf>
    <xf numFmtId="0" fontId="16" fillId="20" borderId="46" xfId="0" applyFont="1" applyFill="1" applyBorder="1" applyAlignment="1">
      <alignment horizontal="left" vertical="center" indent="1"/>
    </xf>
    <xf numFmtId="0" fontId="16" fillId="0" borderId="1" xfId="0" applyFont="1" applyBorder="1" applyAlignment="1">
      <alignment vertical="top" wrapText="1"/>
    </xf>
    <xf numFmtId="0" fontId="7" fillId="0" borderId="51" xfId="0" applyFont="1" applyBorder="1" applyAlignment="1">
      <alignment horizontal="center" vertical="center"/>
    </xf>
    <xf numFmtId="9" fontId="55" fillId="0" borderId="24" xfId="1" applyFont="1" applyBorder="1" applyAlignment="1">
      <alignment horizontal="center" vertical="center"/>
    </xf>
    <xf numFmtId="9" fontId="55" fillId="0" borderId="27" xfId="1" applyFont="1" applyBorder="1" applyAlignment="1">
      <alignment horizontal="center" vertical="center"/>
    </xf>
    <xf numFmtId="9" fontId="55" fillId="0" borderId="20" xfId="1" applyFont="1" applyBorder="1" applyAlignment="1">
      <alignment horizontal="center" vertical="center"/>
    </xf>
    <xf numFmtId="9" fontId="56" fillId="0" borderId="27" xfId="1" applyFont="1" applyBorder="1" applyAlignment="1">
      <alignment vertical="center"/>
    </xf>
    <xf numFmtId="9" fontId="55" fillId="3" borderId="13" xfId="1" applyFont="1" applyFill="1" applyBorder="1" applyAlignment="1">
      <alignment horizontal="center" vertical="center"/>
    </xf>
    <xf numFmtId="9" fontId="55" fillId="3" borderId="20" xfId="1" applyFont="1" applyFill="1" applyBorder="1" applyAlignment="1">
      <alignment horizontal="center" vertical="center"/>
    </xf>
    <xf numFmtId="0" fontId="6" fillId="0" borderId="1" xfId="0" applyFont="1" applyBorder="1" applyAlignment="1">
      <alignment vertical="center"/>
    </xf>
    <xf numFmtId="0" fontId="51" fillId="0" borderId="0" xfId="0" applyFont="1" applyAlignment="1">
      <alignment horizontal="center" vertical="center"/>
    </xf>
    <xf numFmtId="0" fontId="51" fillId="0" borderId="113" xfId="0" applyFont="1" applyBorder="1" applyAlignment="1">
      <alignment vertical="center"/>
    </xf>
    <xf numFmtId="0" fontId="35" fillId="0" borderId="98" xfId="0" applyFont="1" applyBorder="1" applyAlignment="1">
      <alignment horizontal="center" vertical="center"/>
    </xf>
    <xf numFmtId="0" fontId="35" fillId="0" borderId="98" xfId="0" applyFont="1" applyBorder="1" applyAlignment="1">
      <alignment horizontal="left" vertical="center"/>
    </xf>
    <xf numFmtId="0" fontId="51" fillId="0" borderId="98" xfId="0" applyFont="1" applyBorder="1" applyAlignment="1">
      <alignment vertical="center"/>
    </xf>
    <xf numFmtId="0" fontId="51" fillId="0" borderId="98" xfId="0" applyFont="1" applyBorder="1" applyAlignment="1">
      <alignment horizontal="left" vertical="center"/>
    </xf>
    <xf numFmtId="0" fontId="51" fillId="0" borderId="114" xfId="0" applyFont="1" applyBorder="1" applyAlignment="1">
      <alignment vertical="center"/>
    </xf>
    <xf numFmtId="0" fontId="51" fillId="0" borderId="105" xfId="0" applyFont="1" applyBorder="1" applyAlignment="1">
      <alignment vertical="center"/>
    </xf>
    <xf numFmtId="0" fontId="51" fillId="0" borderId="106" xfId="0" applyFont="1" applyBorder="1" applyAlignment="1">
      <alignment vertical="center"/>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0" fontId="31" fillId="0" borderId="0" xfId="0" applyFont="1" applyAlignment="1">
      <alignment horizontal="left" vertical="center"/>
    </xf>
    <xf numFmtId="0" fontId="54" fillId="0" borderId="0" xfId="0" applyFont="1" applyAlignment="1">
      <alignment horizontal="left" vertical="center"/>
    </xf>
    <xf numFmtId="0" fontId="9" fillId="0" borderId="0" xfId="0" applyFont="1" applyAlignment="1">
      <alignment horizontal="left" vertical="center"/>
    </xf>
    <xf numFmtId="0" fontId="6" fillId="0" borderId="105" xfId="0" applyFont="1" applyBorder="1" applyAlignment="1">
      <alignment horizontal="left" vertical="center"/>
    </xf>
    <xf numFmtId="0" fontId="9" fillId="0" borderId="0" xfId="0" applyFont="1" applyAlignment="1">
      <alignment horizontal="center" vertical="center"/>
    </xf>
    <xf numFmtId="0" fontId="6" fillId="0" borderId="107" xfId="0" applyFont="1" applyBorder="1" applyAlignment="1">
      <alignment horizontal="left" vertical="center"/>
    </xf>
    <xf numFmtId="0" fontId="63" fillId="8" borderId="0" xfId="0" applyFont="1" applyFill="1" applyAlignment="1">
      <alignment horizontal="left" vertical="center"/>
    </xf>
    <xf numFmtId="0" fontId="7" fillId="0" borderId="26" xfId="0" applyFont="1" applyBorder="1" applyAlignment="1">
      <alignment horizontal="left" vertical="center"/>
    </xf>
    <xf numFmtId="0" fontId="51" fillId="0" borderId="47" xfId="0" applyFont="1" applyBorder="1" applyAlignment="1">
      <alignment vertical="center"/>
    </xf>
    <xf numFmtId="0" fontId="51" fillId="0" borderId="18" xfId="0" applyFont="1" applyBorder="1" applyAlignment="1">
      <alignment vertical="center"/>
    </xf>
    <xf numFmtId="0" fontId="51" fillId="0" borderId="19" xfId="0" applyFont="1" applyBorder="1" applyAlignment="1">
      <alignment vertical="center"/>
    </xf>
    <xf numFmtId="0" fontId="6" fillId="3" borderId="47" xfId="0" applyFont="1" applyFill="1" applyBorder="1" applyAlignment="1">
      <alignment vertical="center"/>
    </xf>
    <xf numFmtId="0" fontId="6" fillId="3" borderId="18" xfId="0" applyFont="1" applyFill="1" applyBorder="1" applyAlignment="1">
      <alignment vertical="center"/>
    </xf>
    <xf numFmtId="0" fontId="6" fillId="3" borderId="1" xfId="0" applyFont="1" applyFill="1" applyBorder="1" applyAlignment="1">
      <alignment vertical="center"/>
    </xf>
    <xf numFmtId="0" fontId="6" fillId="3" borderId="35" xfId="0" applyFont="1" applyFill="1" applyBorder="1" applyAlignment="1">
      <alignment horizontal="left" vertical="center" indent="1"/>
    </xf>
    <xf numFmtId="0" fontId="7" fillId="3" borderId="0" xfId="0" applyFont="1" applyFill="1" applyAlignment="1">
      <alignment horizontal="center" vertical="center"/>
    </xf>
    <xf numFmtId="0" fontId="7" fillId="3" borderId="0" xfId="0" applyFont="1" applyFill="1" applyAlignment="1">
      <alignment horizontal="left" vertical="center"/>
    </xf>
    <xf numFmtId="0" fontId="6" fillId="3" borderId="47" xfId="0" applyFont="1" applyFill="1" applyBorder="1" applyAlignment="1">
      <alignment horizontal="left" vertical="center" indent="1"/>
    </xf>
    <xf numFmtId="0" fontId="6" fillId="3" borderId="19" xfId="0" applyFont="1" applyFill="1" applyBorder="1" applyAlignment="1">
      <alignment vertical="center"/>
    </xf>
    <xf numFmtId="0" fontId="59" fillId="20" borderId="45" xfId="0" applyFont="1" applyFill="1" applyBorder="1" applyAlignment="1">
      <alignment horizontal="left" vertical="center" indent="1"/>
    </xf>
    <xf numFmtId="0" fontId="51" fillId="20" borderId="26" xfId="0" applyFont="1" applyFill="1" applyBorder="1" applyAlignment="1">
      <alignment horizontal="left" vertical="center" indent="1"/>
    </xf>
    <xf numFmtId="0" fontId="53" fillId="20" borderId="26" xfId="0" applyFont="1" applyFill="1" applyBorder="1" applyAlignment="1">
      <alignment horizontal="left" wrapText="1" indent="1"/>
    </xf>
    <xf numFmtId="0" fontId="51" fillId="20" borderId="46" xfId="0" applyFont="1" applyFill="1" applyBorder="1" applyAlignment="1">
      <alignment horizontal="left" vertical="center" indent="1"/>
    </xf>
    <xf numFmtId="0" fontId="61" fillId="3" borderId="19" xfId="0" applyFont="1" applyFill="1" applyBorder="1" applyAlignment="1">
      <alignment horizontal="right" vertical="center"/>
    </xf>
    <xf numFmtId="0" fontId="51" fillId="0" borderId="0" xfId="0" applyFont="1" applyAlignment="1">
      <alignment vertical="center" wrapText="1"/>
    </xf>
    <xf numFmtId="0" fontId="60" fillId="6" borderId="2" xfId="0" applyFont="1" applyFill="1" applyBorder="1" applyAlignment="1">
      <alignment horizontal="left" vertical="center" indent="1"/>
    </xf>
    <xf numFmtId="0" fontId="60" fillId="6" borderId="3" xfId="0" applyFont="1" applyFill="1" applyBorder="1" applyAlignment="1">
      <alignment horizontal="left" vertical="center" indent="1"/>
    </xf>
    <xf numFmtId="0" fontId="60" fillId="6" borderId="45" xfId="0" applyFont="1" applyFill="1" applyBorder="1" applyAlignment="1">
      <alignment horizontal="left" vertical="center" indent="1"/>
    </xf>
    <xf numFmtId="0" fontId="60" fillId="6" borderId="26" xfId="0" applyFont="1" applyFill="1" applyBorder="1" applyAlignment="1">
      <alignment horizontal="left" vertical="center" indent="1"/>
    </xf>
    <xf numFmtId="0" fontId="60" fillId="6" borderId="95" xfId="0" applyFont="1" applyFill="1" applyBorder="1" applyAlignment="1">
      <alignment horizontal="left" vertical="center" indent="1"/>
    </xf>
    <xf numFmtId="0" fontId="60" fillId="6" borderId="61" xfId="0" applyFont="1" applyFill="1" applyBorder="1" applyAlignment="1">
      <alignment horizontal="left" vertical="center" indent="1"/>
    </xf>
    <xf numFmtId="0" fontId="60" fillId="6" borderId="63" xfId="0" applyFont="1" applyFill="1" applyBorder="1" applyAlignment="1">
      <alignment horizontal="left" vertical="center" indent="1"/>
    </xf>
    <xf numFmtId="0" fontId="60" fillId="6" borderId="2" xfId="0" applyFont="1" applyFill="1" applyBorder="1" applyAlignment="1">
      <alignment vertical="center"/>
    </xf>
    <xf numFmtId="0" fontId="60" fillId="6" borderId="45" xfId="0" applyFont="1" applyFill="1" applyBorder="1" applyAlignment="1">
      <alignment vertical="center"/>
    </xf>
    <xf numFmtId="0" fontId="62" fillId="13" borderId="24" xfId="0" applyFont="1" applyFill="1" applyBorder="1" applyAlignment="1">
      <alignment vertical="center"/>
    </xf>
    <xf numFmtId="0" fontId="34" fillId="13" borderId="24" xfId="0" applyFont="1" applyFill="1" applyBorder="1" applyAlignment="1">
      <alignment horizontal="right" vertical="center"/>
    </xf>
    <xf numFmtId="0" fontId="62" fillId="9" borderId="24" xfId="0" applyFont="1" applyFill="1" applyBorder="1" applyAlignment="1">
      <alignment vertical="center"/>
    </xf>
    <xf numFmtId="0" fontId="62" fillId="9" borderId="24" xfId="0" applyFont="1" applyFill="1" applyBorder="1" applyAlignment="1">
      <alignment horizontal="right" vertical="center"/>
    </xf>
    <xf numFmtId="0" fontId="34" fillId="9" borderId="24" xfId="0" applyFont="1" applyFill="1" applyBorder="1" applyAlignment="1">
      <alignment horizontal="right" vertical="center"/>
    </xf>
    <xf numFmtId="0" fontId="6" fillId="0" borderId="123" xfId="0" applyFont="1" applyBorder="1" applyAlignment="1">
      <alignment vertical="center"/>
    </xf>
    <xf numFmtId="0" fontId="5" fillId="3" borderId="0" xfId="0" applyFont="1" applyFill="1" applyAlignment="1">
      <alignment horizontal="left" vertical="center"/>
    </xf>
    <xf numFmtId="0" fontId="5" fillId="3" borderId="0" xfId="0" applyFont="1" applyFill="1" applyAlignment="1">
      <alignment horizontal="center" vertical="center"/>
    </xf>
    <xf numFmtId="0" fontId="60" fillId="3" borderId="0" xfId="0" applyFont="1" applyFill="1" applyAlignment="1">
      <alignment horizontal="left" vertical="center" indent="1"/>
    </xf>
    <xf numFmtId="0" fontId="9" fillId="3" borderId="0" xfId="0" applyFont="1" applyFill="1" applyAlignment="1">
      <alignment horizontal="left" vertical="center" indent="1"/>
    </xf>
    <xf numFmtId="0" fontId="26" fillId="3" borderId="0" xfId="0" applyFont="1" applyFill="1" applyAlignment="1">
      <alignment horizontal="center" vertical="center"/>
    </xf>
    <xf numFmtId="0" fontId="35" fillId="3" borderId="0" xfId="0" applyFont="1" applyFill="1" applyAlignment="1">
      <alignment horizontal="left" vertical="center"/>
    </xf>
    <xf numFmtId="0" fontId="35" fillId="3" borderId="0" xfId="0" quotePrefix="1" applyFont="1" applyFill="1" applyAlignment="1" applyProtection="1">
      <alignment horizontal="left" vertical="center"/>
      <protection locked="0"/>
    </xf>
    <xf numFmtId="0" fontId="26" fillId="6" borderId="0" xfId="0" applyFont="1" applyFill="1" applyAlignment="1">
      <alignment horizontal="center" vertical="center"/>
    </xf>
    <xf numFmtId="0" fontId="27" fillId="8" borderId="0" xfId="0" applyFont="1" applyFill="1" applyAlignment="1">
      <alignment horizontal="left" vertical="center" wrapText="1"/>
    </xf>
    <xf numFmtId="0" fontId="37" fillId="3" borderId="0" xfId="0" applyFont="1" applyFill="1" applyAlignment="1">
      <alignment vertical="center"/>
    </xf>
    <xf numFmtId="0" fontId="37" fillId="3" borderId="0" xfId="0" applyFont="1" applyFill="1" applyAlignment="1">
      <alignment horizontal="left" vertical="center"/>
    </xf>
    <xf numFmtId="0" fontId="41" fillId="8" borderId="0" xfId="0" applyFont="1" applyFill="1" applyAlignment="1">
      <alignment horizontal="left" vertical="center"/>
    </xf>
    <xf numFmtId="0" fontId="38" fillId="8" borderId="0" xfId="0" applyFont="1" applyFill="1" applyAlignment="1">
      <alignment horizontal="left" vertical="center"/>
    </xf>
    <xf numFmtId="0" fontId="38" fillId="8" borderId="0" xfId="0" applyFont="1" applyFill="1" applyAlignment="1">
      <alignment horizontal="left" vertical="center" wrapText="1"/>
    </xf>
    <xf numFmtId="0" fontId="27" fillId="8" borderId="0" xfId="0" applyFont="1" applyFill="1" applyAlignment="1">
      <alignment horizontal="center" vertical="center" wrapText="1"/>
    </xf>
    <xf numFmtId="0" fontId="6" fillId="8" borderId="0" xfId="0" applyFont="1" applyFill="1" applyAlignment="1">
      <alignment vertical="center"/>
    </xf>
    <xf numFmtId="0" fontId="6" fillId="8" borderId="0" xfId="0" applyFont="1" applyFill="1" applyAlignment="1">
      <alignment horizontal="left" vertical="center"/>
    </xf>
    <xf numFmtId="0" fontId="7" fillId="8" borderId="0" xfId="0" applyFont="1" applyFill="1" applyAlignment="1">
      <alignment horizontal="center" vertical="center"/>
    </xf>
    <xf numFmtId="0" fontId="7" fillId="8" borderId="0" xfId="0" applyFont="1" applyFill="1" applyAlignment="1">
      <alignment horizontal="left" vertical="center"/>
    </xf>
    <xf numFmtId="0" fontId="66" fillId="7" borderId="0" xfId="0" applyFont="1" applyFill="1" applyAlignment="1">
      <alignment horizontal="right" vertical="center"/>
    </xf>
    <xf numFmtId="0" fontId="7" fillId="7" borderId="0" xfId="0" applyFont="1" applyFill="1" applyAlignment="1">
      <alignment vertical="center"/>
    </xf>
    <xf numFmtId="0" fontId="9" fillId="7" borderId="0" xfId="0" applyFont="1" applyFill="1" applyAlignment="1">
      <alignment vertical="center"/>
    </xf>
    <xf numFmtId="0" fontId="6" fillId="11" borderId="106" xfId="0" applyFont="1" applyFill="1" applyBorder="1" applyAlignment="1">
      <alignment vertical="center"/>
    </xf>
    <xf numFmtId="0" fontId="6" fillId="11" borderId="105" xfId="0" applyFont="1" applyFill="1" applyBorder="1" applyAlignment="1">
      <alignment vertical="center"/>
    </xf>
    <xf numFmtId="0" fontId="35" fillId="11" borderId="0" xfId="0" applyFont="1" applyFill="1"/>
    <xf numFmtId="0" fontId="6" fillId="11" borderId="0" xfId="0" applyFont="1" applyFill="1" applyAlignment="1">
      <alignment vertical="center"/>
    </xf>
    <xf numFmtId="0" fontId="43" fillId="11" borderId="0" xfId="0" applyFont="1" applyFill="1" applyAlignment="1">
      <alignment horizontal="left" vertical="center"/>
    </xf>
    <xf numFmtId="0" fontId="35" fillId="11" borderId="98" xfId="0" applyFont="1" applyFill="1" applyBorder="1"/>
    <xf numFmtId="0" fontId="22" fillId="7" borderId="0" xfId="0" applyFont="1" applyFill="1" applyAlignment="1">
      <alignment vertical="center"/>
    </xf>
    <xf numFmtId="0" fontId="61" fillId="3" borderId="1" xfId="0" applyFont="1" applyFill="1" applyBorder="1" applyAlignment="1">
      <alignment horizontal="right" vertical="center"/>
    </xf>
    <xf numFmtId="0" fontId="23" fillId="7" borderId="0" xfId="0" applyFont="1" applyFill="1" applyAlignment="1">
      <alignment vertical="center"/>
    </xf>
    <xf numFmtId="0" fontId="24" fillId="7" borderId="0" xfId="0" applyFont="1" applyFill="1" applyAlignment="1">
      <alignment horizontal="left" vertical="center" indent="1"/>
    </xf>
    <xf numFmtId="0" fontId="24" fillId="7" borderId="0" xfId="0" applyFont="1" applyFill="1" applyAlignment="1">
      <alignment vertical="center"/>
    </xf>
    <xf numFmtId="0" fontId="24" fillId="7" borderId="0" xfId="0" applyFont="1" applyFill="1" applyAlignment="1">
      <alignment horizontal="left" vertical="center"/>
    </xf>
    <xf numFmtId="0" fontId="25" fillId="7" borderId="0" xfId="0" applyFont="1" applyFill="1" applyAlignment="1">
      <alignment horizontal="right" vertical="center"/>
    </xf>
    <xf numFmtId="0" fontId="6" fillId="3" borderId="12" xfId="0" applyFont="1" applyFill="1" applyBorder="1" applyAlignment="1">
      <alignment vertical="center"/>
    </xf>
    <xf numFmtId="0" fontId="6" fillId="3" borderId="14" xfId="0" applyFont="1" applyFill="1" applyBorder="1" applyAlignment="1">
      <alignment vertical="center"/>
    </xf>
    <xf numFmtId="0" fontId="7" fillId="13" borderId="24" xfId="0" applyFont="1" applyFill="1" applyBorder="1" applyAlignment="1">
      <alignment vertical="center"/>
    </xf>
    <xf numFmtId="0" fontId="7" fillId="9" borderId="24" xfId="0" applyFont="1" applyFill="1" applyBorder="1" applyAlignment="1">
      <alignment vertical="center"/>
    </xf>
    <xf numFmtId="0" fontId="7" fillId="3" borderId="12" xfId="0" applyFont="1" applyFill="1" applyBorder="1" applyAlignment="1">
      <alignment horizontal="left" vertical="center"/>
    </xf>
    <xf numFmtId="0" fontId="6" fillId="3" borderId="34" xfId="0" applyFont="1" applyFill="1" applyBorder="1" applyAlignment="1">
      <alignment vertical="center"/>
    </xf>
    <xf numFmtId="0" fontId="6" fillId="3" borderId="36" xfId="0" applyFont="1" applyFill="1" applyBorder="1" applyAlignment="1">
      <alignment vertical="center"/>
    </xf>
    <xf numFmtId="0" fontId="4" fillId="0" borderId="0" xfId="0" applyFont="1" applyAlignment="1">
      <alignment horizontal="right" vertical="center"/>
    </xf>
    <xf numFmtId="0" fontId="30" fillId="0" borderId="42" xfId="0" applyFont="1" applyBorder="1" applyAlignment="1" applyProtection="1">
      <alignment horizontal="center" vertical="center"/>
      <protection locked="0"/>
    </xf>
    <xf numFmtId="0" fontId="30" fillId="0" borderId="20" xfId="0" applyFont="1" applyBorder="1" applyAlignment="1" applyProtection="1">
      <alignment horizontal="center" vertical="center"/>
      <protection locked="0"/>
    </xf>
    <xf numFmtId="0" fontId="30" fillId="0" borderId="20" xfId="0" quotePrefix="1" applyFont="1" applyBorder="1" applyAlignment="1" applyProtection="1">
      <alignment horizontal="center" vertical="center"/>
      <protection locked="0"/>
    </xf>
    <xf numFmtId="0" fontId="30" fillId="0" borderId="47" xfId="0" applyFont="1" applyBorder="1" applyAlignment="1" applyProtection="1">
      <alignment horizontal="center" vertical="center"/>
      <protection locked="0"/>
    </xf>
    <xf numFmtId="0" fontId="6" fillId="0" borderId="78" xfId="0" applyFont="1" applyBorder="1" applyAlignment="1" applyProtection="1">
      <alignment horizontal="center" vertical="center"/>
      <protection locked="0"/>
    </xf>
    <xf numFmtId="0" fontId="6" fillId="0" borderId="71" xfId="0" applyFont="1" applyBorder="1" applyAlignment="1" applyProtection="1">
      <alignment horizontal="center" vertical="center"/>
      <protection locked="0"/>
    </xf>
    <xf numFmtId="0" fontId="6" fillId="0" borderId="80" xfId="0" applyFont="1" applyBorder="1" applyAlignment="1" applyProtection="1">
      <alignment horizontal="center" vertical="center"/>
      <protection locked="0"/>
    </xf>
    <xf numFmtId="0" fontId="6" fillId="0" borderId="85" xfId="0" applyFont="1" applyBorder="1" applyAlignment="1" applyProtection="1">
      <alignment horizontal="center" vertical="center"/>
      <protection locked="0"/>
    </xf>
    <xf numFmtId="0" fontId="6" fillId="0" borderId="86" xfId="0" applyFont="1" applyBorder="1" applyAlignment="1" applyProtection="1">
      <alignment horizontal="center" vertical="center"/>
      <protection locked="0"/>
    </xf>
    <xf numFmtId="0" fontId="6" fillId="0" borderId="87" xfId="0" applyFont="1" applyBorder="1" applyAlignment="1" applyProtection="1">
      <alignment horizontal="center" vertical="center"/>
      <protection locked="0"/>
    </xf>
    <xf numFmtId="0" fontId="6" fillId="0" borderId="88" xfId="0" applyFont="1" applyBorder="1" applyAlignment="1" applyProtection="1">
      <alignment horizontal="center" vertical="center"/>
      <protection locked="0"/>
    </xf>
    <xf numFmtId="0" fontId="6" fillId="0" borderId="89" xfId="0" applyFont="1" applyBorder="1" applyAlignment="1" applyProtection="1">
      <alignment horizontal="center" vertical="center"/>
      <protection locked="0"/>
    </xf>
    <xf numFmtId="0" fontId="6" fillId="0" borderId="90" xfId="0" applyFont="1" applyBorder="1" applyAlignment="1" applyProtection="1">
      <alignment horizontal="center" vertical="center"/>
      <protection locked="0"/>
    </xf>
    <xf numFmtId="0" fontId="6" fillId="0" borderId="79" xfId="0" applyFont="1" applyBorder="1" applyAlignment="1" applyProtection="1">
      <alignment horizontal="center" vertical="center"/>
      <protection locked="0"/>
    </xf>
    <xf numFmtId="0" fontId="6" fillId="0" borderId="72" xfId="0" applyFont="1" applyBorder="1" applyAlignment="1" applyProtection="1">
      <alignment horizontal="center" vertical="center"/>
      <protection locked="0"/>
    </xf>
    <xf numFmtId="0" fontId="6" fillId="0" borderId="81" xfId="0" applyFont="1" applyBorder="1" applyAlignment="1" applyProtection="1">
      <alignment horizontal="center" vertical="center"/>
      <protection locked="0"/>
    </xf>
    <xf numFmtId="0" fontId="18" fillId="0" borderId="0" xfId="0" applyFont="1" applyAlignment="1">
      <alignment horizontal="centerContinuous" vertical="center"/>
    </xf>
    <xf numFmtId="0" fontId="7" fillId="0" borderId="0" xfId="0" applyFont="1" applyAlignment="1">
      <alignment horizontal="centerContinuous" vertical="center"/>
    </xf>
    <xf numFmtId="0" fontId="16" fillId="0" borderId="0" xfId="0" applyFont="1" applyAlignment="1">
      <alignment horizontal="centerContinuous" vertical="center"/>
    </xf>
    <xf numFmtId="0" fontId="16" fillId="0" borderId="74" xfId="0" quotePrefix="1" applyFont="1" applyBorder="1" applyAlignment="1">
      <alignment horizontal="left" vertical="center"/>
    </xf>
    <xf numFmtId="0" fontId="7" fillId="0" borderId="31" xfId="0" applyFont="1" applyBorder="1" applyAlignment="1">
      <alignment horizontal="center" vertical="center"/>
    </xf>
    <xf numFmtId="0" fontId="16" fillId="0" borderId="32" xfId="0" quotePrefix="1" applyFont="1" applyBorder="1" applyAlignment="1">
      <alignment horizontal="left" vertical="center"/>
    </xf>
    <xf numFmtId="0" fontId="7" fillId="11" borderId="28" xfId="0" applyFont="1" applyFill="1" applyBorder="1" applyAlignment="1">
      <alignment horizontal="center" vertical="center"/>
    </xf>
    <xf numFmtId="0" fontId="7" fillId="11" borderId="15" xfId="0" applyFont="1" applyFill="1" applyBorder="1" applyAlignment="1">
      <alignment horizontal="center" vertical="center"/>
    </xf>
    <xf numFmtId="0" fontId="7" fillId="0" borderId="15" xfId="0" applyFont="1" applyBorder="1" applyAlignment="1">
      <alignment horizontal="center" vertical="center"/>
    </xf>
    <xf numFmtId="0" fontId="7" fillId="0" borderId="29" xfId="0" applyFont="1" applyBorder="1" applyAlignment="1">
      <alignment horizontal="center" vertical="center"/>
    </xf>
    <xf numFmtId="0" fontId="7" fillId="7" borderId="28"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7" fillId="0" borderId="28" xfId="0" applyFont="1" applyBorder="1" applyAlignment="1">
      <alignment horizontal="center" vertical="center"/>
    </xf>
    <xf numFmtId="0" fontId="30" fillId="7" borderId="42" xfId="0" applyFont="1" applyFill="1" applyBorder="1" applyAlignment="1">
      <alignment horizontal="center" vertical="center"/>
    </xf>
    <xf numFmtId="0" fontId="30" fillId="7" borderId="20" xfId="0" applyFont="1" applyFill="1" applyBorder="1" applyAlignment="1">
      <alignment horizontal="center" vertical="center"/>
    </xf>
    <xf numFmtId="9" fontId="14" fillId="7" borderId="21" xfId="1" applyFont="1" applyFill="1" applyBorder="1" applyAlignment="1" applyProtection="1">
      <alignment horizontal="center" vertical="center"/>
    </xf>
    <xf numFmtId="0" fontId="15" fillId="2" borderId="54" xfId="0" applyFont="1" applyFill="1" applyBorder="1" applyAlignment="1">
      <alignment horizontal="centerContinuous" vertical="center"/>
    </xf>
    <xf numFmtId="0" fontId="8" fillId="2" borderId="45" xfId="0" applyFont="1" applyFill="1" applyBorder="1" applyAlignment="1">
      <alignment horizontal="centerContinuous" vertical="center"/>
    </xf>
    <xf numFmtId="0" fontId="8" fillId="2" borderId="91" xfId="0" applyFont="1" applyFill="1" applyBorder="1" applyAlignment="1">
      <alignment vertical="center"/>
    </xf>
    <xf numFmtId="0" fontId="8" fillId="2" borderId="92" xfId="0" applyFont="1" applyFill="1" applyBorder="1" applyAlignment="1">
      <alignment vertical="center"/>
    </xf>
    <xf numFmtId="0" fontId="8" fillId="2" borderId="93" xfId="0" applyFont="1" applyFill="1" applyBorder="1" applyAlignment="1">
      <alignment vertical="center"/>
    </xf>
    <xf numFmtId="0" fontId="8" fillId="2" borderId="94" xfId="0" applyFont="1" applyFill="1" applyBorder="1" applyAlignment="1">
      <alignment vertical="center"/>
    </xf>
    <xf numFmtId="0" fontId="5" fillId="19" borderId="12" xfId="0" applyFont="1" applyFill="1" applyBorder="1" applyAlignment="1">
      <alignment horizontal="centerContinuous" vertical="center"/>
    </xf>
    <xf numFmtId="0" fontId="5" fillId="19" borderId="0" xfId="0" applyFont="1" applyFill="1" applyAlignment="1">
      <alignment horizontal="centerContinuous" vertical="center"/>
    </xf>
    <xf numFmtId="0" fontId="5" fillId="19" borderId="0" xfId="0" applyFont="1" applyFill="1" applyAlignment="1">
      <alignment horizontal="center" vertical="center"/>
    </xf>
    <xf numFmtId="0" fontId="8" fillId="19" borderId="14" xfId="0" applyFont="1" applyFill="1" applyBorder="1" applyAlignment="1">
      <alignment horizontal="center" vertical="center"/>
    </xf>
    <xf numFmtId="0" fontId="6" fillId="7" borderId="53" xfId="0" applyFont="1" applyFill="1" applyBorder="1" applyAlignment="1">
      <alignment horizontal="center" vertical="center"/>
    </xf>
    <xf numFmtId="2" fontId="6" fillId="7" borderId="24" xfId="0" applyNumberFormat="1" applyFont="1" applyFill="1" applyBorder="1" applyAlignment="1">
      <alignment horizontal="center" vertical="center"/>
    </xf>
    <xf numFmtId="2" fontId="7" fillId="7" borderId="67" xfId="0" applyNumberFormat="1" applyFont="1" applyFill="1" applyBorder="1" applyAlignment="1">
      <alignment horizontal="center" vertical="center"/>
    </xf>
    <xf numFmtId="2" fontId="6" fillId="7" borderId="53" xfId="0" applyNumberFormat="1" applyFont="1" applyFill="1" applyBorder="1" applyAlignment="1">
      <alignment horizontal="center" vertical="center"/>
    </xf>
    <xf numFmtId="2" fontId="6" fillId="7" borderId="67" xfId="0" applyNumberFormat="1" applyFont="1" applyFill="1" applyBorder="1" applyAlignment="1">
      <alignment horizontal="center" vertical="center"/>
    </xf>
    <xf numFmtId="0" fontId="7" fillId="0" borderId="67" xfId="0" applyFont="1" applyBorder="1" applyAlignment="1">
      <alignment horizontal="center" vertical="center"/>
    </xf>
    <xf numFmtId="0" fontId="6" fillId="7" borderId="54" xfId="0" applyFont="1" applyFill="1" applyBorder="1" applyAlignment="1">
      <alignment horizontal="center" vertical="center"/>
    </xf>
    <xf numFmtId="0" fontId="8" fillId="19" borderId="7" xfId="0" applyFont="1" applyFill="1" applyBorder="1" applyAlignment="1">
      <alignment horizontal="center" vertical="center"/>
    </xf>
    <xf numFmtId="0" fontId="6" fillId="19" borderId="7" xfId="0" applyFont="1" applyFill="1" applyBorder="1" applyAlignment="1">
      <alignment horizontal="center" vertical="center"/>
    </xf>
    <xf numFmtId="164" fontId="6" fillId="19" borderId="7" xfId="0" applyNumberFormat="1" applyFont="1" applyFill="1" applyBorder="1" applyAlignment="1">
      <alignment horizontal="center" vertical="center"/>
    </xf>
    <xf numFmtId="164" fontId="7" fillId="19" borderId="7" xfId="0" applyNumberFormat="1" applyFont="1" applyFill="1" applyBorder="1" applyAlignment="1">
      <alignment horizontal="center" vertical="center"/>
    </xf>
    <xf numFmtId="0" fontId="7" fillId="19" borderId="8" xfId="0" applyFont="1" applyFill="1" applyBorder="1" applyAlignment="1">
      <alignment horizontal="center" vertical="center"/>
    </xf>
    <xf numFmtId="0" fontId="6" fillId="7" borderId="42" xfId="0" applyFont="1" applyFill="1" applyBorder="1" applyAlignment="1">
      <alignment horizontal="center" vertical="center"/>
    </xf>
    <xf numFmtId="0" fontId="6" fillId="7" borderId="43" xfId="0" applyFont="1" applyFill="1" applyBorder="1" applyAlignment="1">
      <alignment horizontal="center" vertical="center"/>
    </xf>
    <xf numFmtId="2" fontId="6" fillId="7" borderId="33" xfId="0" applyNumberFormat="1" applyFont="1" applyFill="1" applyBorder="1" applyAlignment="1">
      <alignment horizontal="center" vertical="center"/>
    </xf>
    <xf numFmtId="2" fontId="7" fillId="7" borderId="68" xfId="0" applyNumberFormat="1" applyFont="1" applyFill="1" applyBorder="1" applyAlignment="1">
      <alignment horizontal="center" vertical="center"/>
    </xf>
    <xf numFmtId="2" fontId="6" fillId="7" borderId="43" xfId="0" applyNumberFormat="1" applyFont="1" applyFill="1" applyBorder="1" applyAlignment="1">
      <alignment horizontal="center" vertical="center"/>
    </xf>
    <xf numFmtId="0" fontId="44" fillId="0" borderId="0" xfId="0" applyFont="1" applyAlignment="1">
      <alignment horizontal="center" vertical="center"/>
    </xf>
    <xf numFmtId="0" fontId="22" fillId="0" borderId="0" xfId="0" applyFont="1" applyAlignment="1">
      <alignment vertical="center"/>
    </xf>
    <xf numFmtId="0" fontId="22" fillId="8" borderId="24" xfId="0" applyFont="1" applyFill="1" applyBorder="1" applyAlignment="1">
      <alignment horizontal="center" vertical="center" wrapText="1"/>
    </xf>
    <xf numFmtId="0" fontId="69" fillId="0" borderId="0" xfId="0" applyFont="1" applyAlignment="1">
      <alignment horizontal="left" vertical="center"/>
    </xf>
    <xf numFmtId="0" fontId="22" fillId="0" borderId="0" xfId="0" applyFont="1" applyAlignment="1">
      <alignment horizontal="left" vertical="center"/>
    </xf>
    <xf numFmtId="0" fontId="69" fillId="0" borderId="0" xfId="0" applyFont="1" applyAlignment="1">
      <alignment horizontal="center" vertical="center"/>
    </xf>
    <xf numFmtId="0" fontId="22" fillId="0" borderId="0" xfId="0" applyFont="1" applyAlignment="1">
      <alignment horizontal="left" vertical="center" indent="1"/>
    </xf>
    <xf numFmtId="0" fontId="70" fillId="0" borderId="0" xfId="0" applyFont="1" applyAlignment="1">
      <alignment horizontal="center" vertical="center"/>
    </xf>
    <xf numFmtId="0" fontId="69" fillId="0" borderId="0" xfId="0" applyFont="1" applyAlignment="1">
      <alignment horizontal="center" vertical="top"/>
    </xf>
    <xf numFmtId="0" fontId="71" fillId="7" borderId="0" xfId="0" applyFont="1" applyFill="1" applyAlignment="1">
      <alignment horizontal="right" vertical="center"/>
    </xf>
    <xf numFmtId="0" fontId="6" fillId="0" borderId="0" xfId="0" applyFont="1" applyAlignment="1" applyProtection="1">
      <alignment vertical="center"/>
      <protection locked="0"/>
    </xf>
    <xf numFmtId="0" fontId="30" fillId="0" borderId="0" xfId="0" applyFont="1" applyAlignment="1" applyProtection="1">
      <alignment vertical="top" wrapText="1"/>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7" fillId="0" borderId="0" xfId="0" applyFont="1" applyAlignment="1" applyProtection="1">
      <alignment horizontal="center" vertical="center"/>
      <protection locked="0"/>
    </xf>
    <xf numFmtId="0" fontId="7" fillId="0" borderId="35" xfId="0" applyFont="1" applyBorder="1" applyAlignment="1" applyProtection="1">
      <alignment horizontal="left" vertical="center"/>
      <protection locked="0"/>
    </xf>
    <xf numFmtId="0" fontId="6" fillId="0" borderId="26"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21" fillId="3" borderId="26" xfId="0" applyFont="1" applyFill="1" applyBorder="1" applyAlignment="1" applyProtection="1">
      <alignment horizontal="center" vertical="center"/>
      <protection locked="0"/>
    </xf>
    <xf numFmtId="0" fontId="6" fillId="0" borderId="35" xfId="0" applyFont="1" applyBorder="1" applyAlignment="1" applyProtection="1">
      <alignment vertical="center"/>
      <protection locked="0"/>
    </xf>
    <xf numFmtId="0" fontId="28" fillId="0" borderId="0" xfId="0" applyFont="1" applyAlignment="1" applyProtection="1">
      <alignment vertical="center"/>
      <protection locked="0"/>
    </xf>
    <xf numFmtId="0" fontId="22" fillId="0" borderId="18" xfId="0" applyFont="1" applyBorder="1" applyAlignment="1" applyProtection="1">
      <alignment horizontal="center" vertical="center"/>
      <protection locked="0"/>
    </xf>
    <xf numFmtId="0" fontId="31" fillId="0" borderId="0" xfId="0" applyFont="1" applyAlignment="1">
      <alignment horizontal="center" vertical="top"/>
    </xf>
    <xf numFmtId="0" fontId="18" fillId="0" borderId="0" xfId="0" applyFont="1" applyAlignment="1">
      <alignment vertical="center"/>
    </xf>
    <xf numFmtId="0" fontId="19" fillId="0" borderId="0" xfId="0" applyFont="1" applyAlignment="1">
      <alignment vertical="center"/>
    </xf>
    <xf numFmtId="0" fontId="7" fillId="0" borderId="45" xfId="0" applyFont="1" applyBorder="1" applyAlignment="1">
      <alignment vertical="center"/>
    </xf>
    <xf numFmtId="0" fontId="7" fillId="0" borderId="35"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47" xfId="0" applyFont="1" applyBorder="1" applyAlignment="1">
      <alignment horizontal="left" vertical="center"/>
    </xf>
    <xf numFmtId="0" fontId="7" fillId="0" borderId="19"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horizontal="center" vertical="center"/>
    </xf>
    <xf numFmtId="0" fontId="72" fillId="0" borderId="0" xfId="0" applyFont="1" applyAlignment="1" applyProtection="1">
      <alignment vertical="center"/>
      <protection locked="0"/>
    </xf>
    <xf numFmtId="0" fontId="6" fillId="11" borderId="12" xfId="0" applyFont="1" applyFill="1" applyBorder="1" applyAlignment="1">
      <alignment horizontal="left" vertical="center" indent="1"/>
    </xf>
    <xf numFmtId="0" fontId="6" fillId="11" borderId="36" xfId="0" applyFont="1" applyFill="1" applyBorder="1" applyAlignment="1">
      <alignment horizontal="left" vertical="center" indent="1"/>
    </xf>
    <xf numFmtId="0" fontId="6" fillId="11" borderId="37" xfId="0" applyFont="1" applyFill="1" applyBorder="1" applyAlignment="1">
      <alignment vertical="center"/>
    </xf>
    <xf numFmtId="0" fontId="6" fillId="11" borderId="37" xfId="0" applyFont="1" applyFill="1" applyBorder="1" applyAlignment="1">
      <alignment horizontal="left" vertical="center"/>
    </xf>
    <xf numFmtId="0" fontId="7" fillId="11" borderId="37" xfId="0" applyFont="1" applyFill="1" applyBorder="1" applyAlignment="1">
      <alignment horizontal="center" vertical="center"/>
    </xf>
    <xf numFmtId="0" fontId="5" fillId="11" borderId="12" xfId="0" applyFont="1" applyFill="1" applyBorder="1" applyAlignment="1">
      <alignment horizontal="left" vertical="center" indent="1"/>
    </xf>
    <xf numFmtId="0" fontId="4" fillId="3" borderId="64" xfId="0" applyFont="1" applyFill="1" applyBorder="1" applyAlignment="1">
      <alignment horizontal="left" vertical="center"/>
    </xf>
    <xf numFmtId="0" fontId="21" fillId="3" borderId="18" xfId="0" applyFont="1" applyFill="1" applyBorder="1" applyAlignment="1" applyProtection="1">
      <alignment horizontal="center" vertical="center"/>
      <protection locked="0"/>
    </xf>
    <xf numFmtId="0" fontId="5" fillId="2" borderId="0" xfId="0" applyFont="1" applyFill="1" applyAlignment="1">
      <alignment horizontal="center" vertical="center"/>
    </xf>
    <xf numFmtId="0" fontId="5" fillId="2" borderId="1"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55" fillId="0" borderId="2" xfId="0" applyFont="1" applyBorder="1" applyAlignment="1">
      <alignment horizontal="left" vertical="center" indent="1"/>
    </xf>
    <xf numFmtId="0" fontId="5" fillId="2" borderId="24" xfId="0" applyFont="1" applyFill="1" applyBorder="1" applyAlignment="1">
      <alignment horizontal="center" vertical="center" wrapText="1"/>
    </xf>
    <xf numFmtId="0" fontId="7" fillId="0" borderId="17" xfId="0" applyFont="1" applyBorder="1" applyAlignment="1">
      <alignment vertical="center"/>
    </xf>
    <xf numFmtId="2" fontId="7" fillId="0" borderId="0" xfId="0" applyNumberFormat="1" applyFont="1" applyAlignment="1">
      <alignment horizontal="center" vertical="center"/>
    </xf>
    <xf numFmtId="0" fontId="5" fillId="12" borderId="45" xfId="0" applyFont="1" applyFill="1" applyBorder="1" applyAlignment="1">
      <alignment horizontal="center" vertical="center" wrapText="1"/>
    </xf>
    <xf numFmtId="0" fontId="5" fillId="12" borderId="26" xfId="0" applyFont="1" applyFill="1" applyBorder="1" applyAlignment="1" applyProtection="1">
      <alignment horizontal="center" vertical="center"/>
      <protection locked="0"/>
    </xf>
    <xf numFmtId="0" fontId="5" fillId="12" borderId="26" xfId="0" applyFont="1" applyFill="1" applyBorder="1" applyAlignment="1" applyProtection="1">
      <alignment horizontal="center" vertical="center" wrapText="1"/>
      <protection locked="0"/>
    </xf>
    <xf numFmtId="0" fontId="7" fillId="17" borderId="26" xfId="0" applyFont="1" applyFill="1" applyBorder="1" applyAlignment="1" applyProtection="1">
      <alignment horizontal="center" vertical="center"/>
      <protection locked="0"/>
    </xf>
    <xf numFmtId="0" fontId="7" fillId="0" borderId="4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0" fontId="6" fillId="0" borderId="45" xfId="0" applyFont="1" applyBorder="1" applyAlignment="1">
      <alignment horizontal="center" vertical="center"/>
    </xf>
    <xf numFmtId="0" fontId="22" fillId="0" borderId="18" xfId="0" applyFont="1" applyBorder="1" applyAlignment="1" applyProtection="1">
      <alignment vertical="center"/>
      <protection locked="0"/>
    </xf>
    <xf numFmtId="0" fontId="22" fillId="3" borderId="18" xfId="0" applyFont="1" applyFill="1" applyBorder="1" applyAlignment="1" applyProtection="1">
      <alignment horizontal="center" vertical="center"/>
      <protection locked="0"/>
    </xf>
    <xf numFmtId="2" fontId="6" fillId="0" borderId="0" xfId="0" applyNumberFormat="1" applyFont="1" applyAlignment="1">
      <alignment vertical="center"/>
    </xf>
    <xf numFmtId="0" fontId="50" fillId="3" borderId="117" xfId="0" applyFont="1" applyFill="1" applyBorder="1" applyAlignment="1">
      <alignment vertical="center"/>
    </xf>
    <xf numFmtId="0" fontId="50" fillId="3" borderId="119" xfId="0" applyFont="1" applyFill="1" applyBorder="1" applyAlignment="1">
      <alignment vertical="center"/>
    </xf>
    <xf numFmtId="0" fontId="50" fillId="3" borderId="115" xfId="0" applyFont="1" applyFill="1" applyBorder="1" applyAlignment="1">
      <alignment vertical="center"/>
    </xf>
    <xf numFmtId="0" fontId="50" fillId="3" borderId="116" xfId="0" applyFont="1" applyFill="1" applyBorder="1" applyAlignment="1">
      <alignment vertical="center"/>
    </xf>
    <xf numFmtId="0" fontId="7" fillId="6" borderId="115" xfId="0" applyFont="1" applyFill="1" applyBorder="1" applyAlignment="1">
      <alignment vertical="center"/>
    </xf>
    <xf numFmtId="0" fontId="7" fillId="6" borderId="116" xfId="0" applyFont="1" applyFill="1" applyBorder="1" applyAlignment="1">
      <alignment vertical="center"/>
    </xf>
    <xf numFmtId="0" fontId="7" fillId="6" borderId="117" xfId="0" applyFont="1" applyFill="1" applyBorder="1" applyAlignment="1">
      <alignment vertical="center"/>
    </xf>
    <xf numFmtId="0" fontId="7" fillId="6" borderId="119" xfId="0" applyFont="1" applyFill="1" applyBorder="1" applyAlignment="1">
      <alignment vertical="center"/>
    </xf>
    <xf numFmtId="2" fontId="48" fillId="6" borderId="118" xfId="0" applyNumberFormat="1" applyFont="1" applyFill="1" applyBorder="1" applyAlignment="1">
      <alignment vertical="center"/>
    </xf>
    <xf numFmtId="1" fontId="30" fillId="7" borderId="42" xfId="0" applyNumberFormat="1" applyFont="1" applyFill="1" applyBorder="1" applyAlignment="1">
      <alignment horizontal="center" vertical="center"/>
    </xf>
    <xf numFmtId="0" fontId="55" fillId="0" borderId="4" xfId="0" applyFont="1" applyBorder="1" applyAlignment="1">
      <alignment horizontal="left" vertical="center" indent="1"/>
    </xf>
    <xf numFmtId="0" fontId="6" fillId="0" borderId="4" xfId="0" applyFont="1" applyBorder="1" applyAlignment="1">
      <alignment vertical="center"/>
    </xf>
    <xf numFmtId="0" fontId="34" fillId="0" borderId="2" xfId="0" applyFont="1" applyBorder="1" applyAlignment="1">
      <alignment vertical="center"/>
    </xf>
    <xf numFmtId="0" fontId="7" fillId="0" borderId="4" xfId="0" applyFont="1" applyBorder="1" applyAlignment="1">
      <alignment vertical="center"/>
    </xf>
    <xf numFmtId="0" fontId="30" fillId="0" borderId="35" xfId="0" applyFont="1" applyBorder="1" applyAlignment="1">
      <alignment vertical="center"/>
    </xf>
    <xf numFmtId="0" fontId="30" fillId="0" borderId="47" xfId="0" applyFont="1" applyBorder="1" applyAlignment="1">
      <alignment vertical="center"/>
    </xf>
    <xf numFmtId="0" fontId="6" fillId="0" borderId="45" xfId="0" applyFont="1" applyBorder="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indent="1"/>
    </xf>
    <xf numFmtId="0" fontId="51" fillId="0" borderId="0" xfId="0" applyFont="1" applyAlignment="1" applyProtection="1">
      <alignment vertical="center"/>
      <protection locked="0"/>
    </xf>
    <xf numFmtId="0" fontId="51" fillId="0" borderId="26" xfId="0" applyFont="1" applyBorder="1" applyAlignment="1" applyProtection="1">
      <alignment vertical="center"/>
      <protection locked="0"/>
    </xf>
    <xf numFmtId="0" fontId="51" fillId="0" borderId="26" xfId="0" applyFont="1" applyBorder="1" applyAlignment="1" applyProtection="1">
      <alignment horizontal="center" vertical="center"/>
      <protection locked="0"/>
    </xf>
    <xf numFmtId="0" fontId="51" fillId="3" borderId="26" xfId="0" applyFont="1" applyFill="1" applyBorder="1" applyAlignment="1" applyProtection="1">
      <alignment horizontal="center" vertical="center"/>
      <protection locked="0"/>
    </xf>
    <xf numFmtId="0" fontId="35" fillId="0" borderId="26" xfId="0" applyFont="1" applyBorder="1" applyAlignment="1" applyProtection="1">
      <alignment horizontal="center" vertical="center"/>
      <protection locked="0"/>
    </xf>
    <xf numFmtId="0" fontId="51" fillId="0" borderId="18" xfId="0" applyFont="1" applyBorder="1" applyAlignment="1" applyProtection="1">
      <alignment vertical="center"/>
      <protection locked="0"/>
    </xf>
    <xf numFmtId="0" fontId="51" fillId="0" borderId="18" xfId="0" applyFont="1" applyBorder="1" applyAlignment="1" applyProtection="1">
      <alignment horizontal="center" vertical="center"/>
      <protection locked="0"/>
    </xf>
    <xf numFmtId="0" fontId="51" fillId="3" borderId="18" xfId="0" applyFont="1" applyFill="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51" fillId="14" borderId="2" xfId="0" applyFont="1" applyFill="1" applyBorder="1" applyAlignment="1">
      <alignment horizontal="center" vertical="center"/>
    </xf>
    <xf numFmtId="0" fontId="51" fillId="14" borderId="3" xfId="0" applyFont="1" applyFill="1" applyBorder="1" applyAlignment="1" applyProtection="1">
      <alignment vertical="center"/>
      <protection locked="0"/>
    </xf>
    <xf numFmtId="0" fontId="51" fillId="14" borderId="3" xfId="0" applyFont="1" applyFill="1" applyBorder="1" applyAlignment="1" applyProtection="1">
      <alignment horizontal="left" vertical="center" indent="1"/>
      <protection locked="0"/>
    </xf>
    <xf numFmtId="0" fontId="51" fillId="14" borderId="3" xfId="0" applyFont="1" applyFill="1" applyBorder="1" applyAlignment="1" applyProtection="1">
      <alignment horizontal="center" vertical="center"/>
      <protection locked="0"/>
    </xf>
    <xf numFmtId="2" fontId="51" fillId="14" borderId="3" xfId="0" applyNumberFormat="1" applyFont="1" applyFill="1" applyBorder="1" applyAlignment="1" applyProtection="1">
      <alignment horizontal="center" vertical="center"/>
      <protection locked="0"/>
    </xf>
    <xf numFmtId="2" fontId="51" fillId="14" borderId="3" xfId="1" applyNumberFormat="1" applyFont="1" applyFill="1" applyBorder="1" applyAlignment="1" applyProtection="1">
      <alignment horizontal="center" vertical="center"/>
      <protection locked="0"/>
    </xf>
    <xf numFmtId="0" fontId="21" fillId="0" borderId="47" xfId="0" applyFont="1" applyBorder="1" applyAlignment="1">
      <alignment horizontal="center" vertical="center"/>
    </xf>
    <xf numFmtId="0" fontId="30" fillId="0" borderId="45" xfId="0" applyFont="1" applyBorder="1" applyAlignment="1">
      <alignment vertical="center"/>
    </xf>
    <xf numFmtId="0" fontId="4" fillId="0" borderId="46" xfId="0" applyFont="1" applyBorder="1" applyAlignment="1">
      <alignment vertical="center"/>
    </xf>
    <xf numFmtId="0" fontId="4" fillId="0" borderId="1" xfId="0" applyFont="1" applyBorder="1" applyAlignment="1">
      <alignment vertical="center"/>
    </xf>
    <xf numFmtId="0" fontId="4" fillId="0" borderId="19" xfId="0" applyFont="1" applyBorder="1" applyAlignment="1">
      <alignment vertical="center"/>
    </xf>
    <xf numFmtId="0" fontId="7" fillId="0" borderId="27"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2" fontId="51" fillId="14" borderId="4" xfId="1" applyNumberFormat="1" applyFont="1" applyFill="1" applyBorder="1" applyAlignment="1" applyProtection="1">
      <alignment horizontal="center" vertical="center"/>
      <protection locked="0"/>
    </xf>
    <xf numFmtId="0" fontId="51" fillId="0" borderId="0" xfId="0" applyFont="1" applyAlignment="1" applyProtection="1">
      <alignment horizontal="center" vertical="center"/>
      <protection locked="0"/>
    </xf>
    <xf numFmtId="0" fontId="51" fillId="3" borderId="0" xfId="0"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0" fontId="51" fillId="0" borderId="0" xfId="0" quotePrefix="1" applyFont="1" applyAlignment="1" applyProtection="1">
      <alignment horizontal="center" vertical="center"/>
      <protection locked="0"/>
    </xf>
    <xf numFmtId="0" fontId="51" fillId="0" borderId="18" xfId="0" quotePrefix="1" applyFont="1" applyBorder="1" applyAlignment="1" applyProtection="1">
      <alignment horizontal="center" vertical="center"/>
      <protection locked="0"/>
    </xf>
    <xf numFmtId="2" fontId="51" fillId="14" borderId="24" xfId="1" applyNumberFormat="1" applyFont="1" applyFill="1" applyBorder="1" applyAlignment="1" applyProtection="1">
      <alignment horizontal="center" vertical="center"/>
      <protection locked="0"/>
    </xf>
    <xf numFmtId="0" fontId="7" fillId="17" borderId="45" xfId="0" applyFont="1" applyFill="1" applyBorder="1" applyAlignment="1" applyProtection="1">
      <alignment horizontal="center" vertical="center"/>
      <protection locked="0"/>
    </xf>
    <xf numFmtId="0" fontId="51" fillId="0" borderId="35" xfId="0" applyFont="1" applyBorder="1" applyAlignment="1" applyProtection="1">
      <alignment horizontal="center" vertical="center"/>
      <protection locked="0"/>
    </xf>
    <xf numFmtId="0" fontId="51" fillId="3" borderId="45" xfId="0" applyFont="1" applyFill="1" applyBorder="1" applyAlignment="1" applyProtection="1">
      <alignment horizontal="center" vertical="center"/>
      <protection locked="0"/>
    </xf>
    <xf numFmtId="0" fontId="51" fillId="3" borderId="35" xfId="0" applyFont="1" applyFill="1" applyBorder="1" applyAlignment="1" applyProtection="1">
      <alignment horizontal="center" vertical="center"/>
      <protection locked="0"/>
    </xf>
    <xf numFmtId="0" fontId="6" fillId="3" borderId="0" xfId="0" applyFont="1" applyFill="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51" fillId="0" borderId="47" xfId="0" applyFont="1" applyBorder="1" applyAlignment="1" applyProtection="1">
      <alignment horizontal="center" vertical="center"/>
      <protection locked="0"/>
    </xf>
    <xf numFmtId="0" fontId="51" fillId="0" borderId="45" xfId="0" applyFont="1" applyBorder="1" applyAlignment="1" applyProtection="1">
      <alignment horizontal="center" vertical="center"/>
      <protection locked="0"/>
    </xf>
    <xf numFmtId="0" fontId="22" fillId="3" borderId="47" xfId="0" applyFont="1" applyFill="1" applyBorder="1" applyAlignment="1" applyProtection="1">
      <alignment horizontal="center" vertical="center"/>
      <protection locked="0"/>
    </xf>
    <xf numFmtId="0" fontId="51" fillId="3" borderId="47" xfId="0" applyFont="1" applyFill="1" applyBorder="1" applyAlignment="1" applyProtection="1">
      <alignment horizontal="center" vertical="center"/>
      <protection locked="0"/>
    </xf>
    <xf numFmtId="2" fontId="51" fillId="14" borderId="2" xfId="0" applyNumberFormat="1" applyFont="1" applyFill="1" applyBorder="1" applyAlignment="1" applyProtection="1">
      <alignment horizontal="center" vertical="center"/>
      <protection locked="0"/>
    </xf>
    <xf numFmtId="0" fontId="5" fillId="18" borderId="45" xfId="0" applyFont="1" applyFill="1" applyBorder="1" applyAlignment="1" applyProtection="1">
      <alignment horizontal="center" vertical="center" wrapText="1"/>
      <protection locked="0"/>
    </xf>
    <xf numFmtId="0" fontId="5" fillId="12" borderId="46" xfId="0" applyFont="1" applyFill="1" applyBorder="1" applyAlignment="1" applyProtection="1">
      <alignment horizontal="center" vertical="center" wrapText="1"/>
      <protection locked="0"/>
    </xf>
    <xf numFmtId="0" fontId="51" fillId="0" borderId="1" xfId="0" applyFont="1" applyBorder="1" applyAlignment="1" applyProtection="1">
      <alignment horizontal="center" vertical="center"/>
      <protection locked="0"/>
    </xf>
    <xf numFmtId="0" fontId="51" fillId="0" borderId="46" xfId="0" applyFont="1" applyBorder="1" applyAlignment="1" applyProtection="1">
      <alignment horizontal="center" vertical="center"/>
      <protection locked="0"/>
    </xf>
    <xf numFmtId="0" fontId="51" fillId="0" borderId="19" xfId="0" applyFont="1" applyBorder="1" applyAlignment="1" applyProtection="1">
      <alignment horizontal="center" vertical="center"/>
      <protection locked="0"/>
    </xf>
    <xf numFmtId="0" fontId="22" fillId="0" borderId="19" xfId="0" applyFont="1" applyBorder="1" applyAlignment="1" applyProtection="1">
      <alignment horizontal="center" vertical="center"/>
      <protection locked="0"/>
    </xf>
    <xf numFmtId="0" fontId="35" fillId="14" borderId="2" xfId="0" applyFont="1" applyFill="1" applyBorder="1" applyAlignment="1" applyProtection="1">
      <alignment horizontal="center" vertical="center"/>
      <protection locked="0"/>
    </xf>
    <xf numFmtId="0" fontId="51" fillId="14" borderId="4" xfId="0" applyFont="1" applyFill="1" applyBorder="1" applyAlignment="1" applyProtection="1">
      <alignment horizontal="center" vertical="center"/>
      <protection locked="0"/>
    </xf>
    <xf numFmtId="0" fontId="5" fillId="12" borderId="45" xfId="0" applyFont="1" applyFill="1" applyBorder="1" applyAlignment="1" applyProtection="1">
      <alignment horizontal="center" vertical="center" wrapText="1"/>
      <protection locked="0"/>
    </xf>
    <xf numFmtId="0" fontId="22" fillId="0" borderId="47" xfId="0" applyFont="1" applyBorder="1" applyAlignment="1" applyProtection="1">
      <alignment horizontal="center" vertical="center"/>
      <protection locked="0"/>
    </xf>
    <xf numFmtId="0" fontId="51" fillId="14" borderId="2" xfId="0" applyFont="1" applyFill="1" applyBorder="1" applyAlignment="1" applyProtection="1">
      <alignment horizontal="center" vertical="center"/>
      <protection locked="0"/>
    </xf>
    <xf numFmtId="0" fontId="5" fillId="12" borderId="27" xfId="0" applyFont="1" applyFill="1" applyBorder="1" applyAlignment="1" applyProtection="1">
      <alignment horizontal="center" vertical="center" wrapText="1"/>
      <protection locked="0"/>
    </xf>
    <xf numFmtId="0" fontId="51" fillId="0" borderId="13" xfId="0" applyFont="1" applyBorder="1" applyAlignment="1" applyProtection="1">
      <alignment horizontal="center" vertical="center"/>
      <protection locked="0"/>
    </xf>
    <xf numFmtId="0" fontId="51" fillId="0" borderId="27" xfId="0" applyFont="1" applyBorder="1" applyAlignment="1" applyProtection="1">
      <alignment horizontal="center" vertical="center"/>
      <protection locked="0"/>
    </xf>
    <xf numFmtId="0" fontId="51" fillId="0" borderId="20" xfId="0" applyFont="1" applyBorder="1" applyAlignment="1" applyProtection="1">
      <alignment horizontal="center" vertical="center"/>
      <protection locked="0"/>
    </xf>
    <xf numFmtId="0" fontId="22" fillId="0" borderId="20" xfId="0" applyFont="1" applyBorder="1" applyAlignment="1" applyProtection="1">
      <alignment horizontal="center" vertical="center"/>
      <protection locked="0"/>
    </xf>
    <xf numFmtId="0" fontId="35" fillId="14" borderId="24" xfId="0" applyFont="1" applyFill="1" applyBorder="1" applyAlignment="1" applyProtection="1">
      <alignment horizontal="center" vertical="center"/>
      <protection locked="0"/>
    </xf>
    <xf numFmtId="0" fontId="7" fillId="17" borderId="27" xfId="0" applyFont="1" applyFill="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2" fontId="51" fillId="14" borderId="24" xfId="0" applyNumberFormat="1" applyFont="1" applyFill="1" applyBorder="1" applyAlignment="1" applyProtection="1">
      <alignment horizontal="center" vertical="center"/>
      <protection locked="0"/>
    </xf>
    <xf numFmtId="0" fontId="77" fillId="7" borderId="0" xfId="0" applyFont="1" applyFill="1" applyAlignment="1">
      <alignment horizontal="left" vertical="center"/>
    </xf>
    <xf numFmtId="0" fontId="78" fillId="7" borderId="0" xfId="0" applyFont="1" applyFill="1" applyAlignment="1">
      <alignment horizontal="left" vertical="center"/>
    </xf>
    <xf numFmtId="0" fontId="5" fillId="17" borderId="2" xfId="0" applyFont="1" applyFill="1" applyBorder="1" applyAlignment="1">
      <alignment horizontal="left" vertical="center" indent="1"/>
    </xf>
    <xf numFmtId="0" fontId="79" fillId="6" borderId="63" xfId="0" applyFont="1" applyFill="1" applyBorder="1" applyAlignment="1">
      <alignment horizontal="left" vertical="center" indent="1"/>
    </xf>
    <xf numFmtId="0" fontId="79" fillId="6" borderId="3" xfId="0" applyFont="1" applyFill="1" applyBorder="1" applyAlignment="1">
      <alignment horizontal="left" vertical="center" indent="1"/>
    </xf>
    <xf numFmtId="0" fontId="79" fillId="6" borderId="4" xfId="0" applyFont="1" applyFill="1" applyBorder="1" applyAlignment="1">
      <alignment horizontal="left" vertical="center" wrapText="1"/>
    </xf>
    <xf numFmtId="0" fontId="80" fillId="6" borderId="2" xfId="0" applyFont="1" applyFill="1" applyBorder="1" applyAlignment="1">
      <alignment horizontal="left" vertical="center" indent="1"/>
    </xf>
    <xf numFmtId="0" fontId="80" fillId="6" borderId="3" xfId="0" applyFont="1" applyFill="1" applyBorder="1" applyAlignment="1">
      <alignment horizontal="left" vertical="center" indent="1"/>
    </xf>
    <xf numFmtId="0" fontId="80" fillId="6" borderId="3" xfId="0" applyFont="1" applyFill="1" applyBorder="1" applyAlignment="1">
      <alignment horizontal="center" vertical="center"/>
    </xf>
    <xf numFmtId="0" fontId="83" fillId="6" borderId="2" xfId="0" applyFont="1" applyFill="1" applyBorder="1" applyAlignment="1">
      <alignment horizontal="center" vertical="center" wrapText="1"/>
    </xf>
    <xf numFmtId="0" fontId="83" fillId="6" borderId="2" xfId="0" applyFont="1" applyFill="1" applyBorder="1" applyAlignment="1">
      <alignment horizontal="center" vertical="center"/>
    </xf>
    <xf numFmtId="0" fontId="82" fillId="6" borderId="3" xfId="0" applyFont="1" applyFill="1" applyBorder="1" applyAlignment="1">
      <alignment horizontal="left" vertical="center"/>
    </xf>
    <xf numFmtId="0" fontId="82" fillId="6" borderId="128" xfId="0" applyFont="1" applyFill="1" applyBorder="1" applyAlignment="1">
      <alignment horizontal="right" vertical="center" indent="1"/>
    </xf>
    <xf numFmtId="0" fontId="80" fillId="6" borderId="128" xfId="0" applyFont="1" applyFill="1" applyBorder="1" applyAlignment="1">
      <alignment horizontal="center" vertical="center"/>
    </xf>
    <xf numFmtId="0" fontId="82" fillId="6" borderId="131" xfId="0" applyFont="1" applyFill="1" applyBorder="1" applyAlignment="1">
      <alignment horizontal="right" vertical="center" indent="1"/>
    </xf>
    <xf numFmtId="0" fontId="80" fillId="6" borderId="131" xfId="0" applyFont="1" applyFill="1" applyBorder="1" applyAlignment="1">
      <alignment horizontal="center" vertical="center"/>
    </xf>
    <xf numFmtId="0" fontId="82" fillId="6" borderId="134" xfId="0" applyFont="1" applyFill="1" applyBorder="1" applyAlignment="1">
      <alignment horizontal="right" vertical="center" indent="1"/>
    </xf>
    <xf numFmtId="0" fontId="80" fillId="6" borderId="134" xfId="0" applyFont="1" applyFill="1" applyBorder="1" applyAlignment="1">
      <alignment horizontal="center" vertical="center"/>
    </xf>
    <xf numFmtId="0" fontId="81" fillId="6" borderId="2" xfId="0" applyFont="1" applyFill="1" applyBorder="1" applyAlignment="1">
      <alignment horizontal="left" vertical="center" indent="1"/>
    </xf>
    <xf numFmtId="0" fontId="82" fillId="6" borderId="127" xfId="0" applyFont="1" applyFill="1" applyBorder="1" applyAlignment="1">
      <alignment vertical="center"/>
    </xf>
    <xf numFmtId="0" fontId="82" fillId="6" borderId="130" xfId="0" applyFont="1" applyFill="1" applyBorder="1" applyAlignment="1">
      <alignment vertical="center"/>
    </xf>
    <xf numFmtId="0" fontId="82" fillId="6" borderId="133" xfId="0" applyFont="1" applyFill="1" applyBorder="1" applyAlignment="1">
      <alignment vertical="center"/>
    </xf>
    <xf numFmtId="0" fontId="6"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horizontal="left" vertical="center" indent="1"/>
    </xf>
    <xf numFmtId="0" fontId="6" fillId="3" borderId="0" xfId="0" applyFont="1" applyFill="1" applyAlignment="1" applyProtection="1">
      <alignment horizontal="left" vertical="center" indent="1"/>
      <protection locked="0"/>
    </xf>
    <xf numFmtId="0" fontId="14" fillId="16" borderId="0" xfId="0" applyFont="1" applyFill="1" applyAlignment="1">
      <alignment horizontal="left" vertical="center" indent="1"/>
    </xf>
    <xf numFmtId="0" fontId="5" fillId="17" borderId="3" xfId="0" applyFont="1" applyFill="1" applyBorder="1" applyAlignment="1">
      <alignment horizontal="center" vertical="center"/>
    </xf>
    <xf numFmtId="0" fontId="5" fillId="17" borderId="4" xfId="0" applyFont="1" applyFill="1" applyBorder="1" applyAlignment="1">
      <alignment horizontal="left" vertical="center"/>
    </xf>
    <xf numFmtId="0" fontId="5" fillId="17" borderId="2" xfId="0" applyFont="1" applyFill="1" applyBorder="1" applyAlignment="1">
      <alignment horizontal="center" vertical="center"/>
    </xf>
    <xf numFmtId="0" fontId="14" fillId="6" borderId="4" xfId="0" applyFont="1" applyFill="1" applyBorder="1" applyAlignment="1">
      <alignment horizontal="left" vertical="center"/>
    </xf>
    <xf numFmtId="0" fontId="8" fillId="22" borderId="12" xfId="0" applyFont="1" applyFill="1" applyBorder="1" applyAlignment="1">
      <alignment horizontal="left" vertical="center" indent="1"/>
    </xf>
    <xf numFmtId="0" fontId="74" fillId="11" borderId="26" xfId="0" applyFont="1" applyFill="1" applyBorder="1" applyAlignment="1">
      <alignment vertical="center"/>
    </xf>
    <xf numFmtId="0" fontId="6" fillId="11" borderId="18" xfId="0" applyFont="1" applyFill="1" applyBorder="1" applyAlignment="1">
      <alignment horizontal="left" vertical="center"/>
    </xf>
    <xf numFmtId="0" fontId="6" fillId="11" borderId="18" xfId="0" applyFont="1" applyFill="1" applyBorder="1" applyAlignment="1">
      <alignment horizontal="center" vertical="center"/>
    </xf>
    <xf numFmtId="0" fontId="6" fillId="11" borderId="18" xfId="0" applyFont="1" applyFill="1" applyBorder="1" applyAlignment="1">
      <alignment vertical="center"/>
    </xf>
    <xf numFmtId="0" fontId="51" fillId="9" borderId="2" xfId="0" applyFont="1" applyFill="1" applyBorder="1" applyAlignment="1">
      <alignment horizontal="center" vertical="center"/>
    </xf>
    <xf numFmtId="0" fontId="51" fillId="9" borderId="3" xfId="0" applyFont="1" applyFill="1" applyBorder="1" applyAlignment="1" applyProtection="1">
      <alignment vertical="center"/>
      <protection locked="0"/>
    </xf>
    <xf numFmtId="0" fontId="51" fillId="9" borderId="3" xfId="0" applyFont="1" applyFill="1" applyBorder="1" applyAlignment="1" applyProtection="1">
      <alignment horizontal="left" vertical="center" indent="1"/>
      <protection locked="0"/>
    </xf>
    <xf numFmtId="0" fontId="51" fillId="9" borderId="2" xfId="0" applyFont="1" applyFill="1" applyBorder="1" applyAlignment="1" applyProtection="1">
      <alignment horizontal="center" vertical="center"/>
      <protection locked="0"/>
    </xf>
    <xf numFmtId="0" fontId="35" fillId="9" borderId="24" xfId="0" applyFont="1" applyFill="1" applyBorder="1" applyAlignment="1" applyProtection="1">
      <alignment horizontal="center" vertical="center"/>
      <protection locked="0"/>
    </xf>
    <xf numFmtId="0" fontId="35" fillId="9" borderId="2" xfId="0" applyFont="1" applyFill="1" applyBorder="1" applyAlignment="1" applyProtection="1">
      <alignment horizontal="center" vertical="center"/>
      <protection locked="0"/>
    </xf>
    <xf numFmtId="0" fontId="51" fillId="9" borderId="3" xfId="0" applyFont="1" applyFill="1" applyBorder="1" applyAlignment="1" applyProtection="1">
      <alignment horizontal="center" vertical="center"/>
      <protection locked="0"/>
    </xf>
    <xf numFmtId="0" fontId="51" fillId="9" borderId="4" xfId="0" applyFont="1" applyFill="1" applyBorder="1" applyAlignment="1" applyProtection="1">
      <alignment horizontal="center" vertical="center"/>
      <protection locked="0"/>
    </xf>
    <xf numFmtId="2" fontId="51" fillId="9" borderId="2" xfId="0" applyNumberFormat="1" applyFont="1" applyFill="1" applyBorder="1" applyAlignment="1" applyProtection="1">
      <alignment horizontal="center" vertical="center"/>
      <protection locked="0"/>
    </xf>
    <xf numFmtId="2" fontId="51" fillId="9" borderId="3" xfId="0" applyNumberFormat="1" applyFont="1" applyFill="1" applyBorder="1" applyAlignment="1" applyProtection="1">
      <alignment horizontal="center" vertical="center"/>
      <protection locked="0"/>
    </xf>
    <xf numFmtId="1" fontId="51" fillId="9" borderId="24" xfId="0" applyNumberFormat="1" applyFont="1" applyFill="1" applyBorder="1" applyAlignment="1" applyProtection="1">
      <alignment horizontal="center" vertical="center"/>
      <protection locked="0"/>
    </xf>
    <xf numFmtId="1" fontId="51" fillId="9" borderId="24" xfId="1" applyNumberFormat="1" applyFont="1" applyFill="1" applyBorder="1" applyAlignment="1" applyProtection="1">
      <alignment horizontal="center" vertical="center"/>
      <protection locked="0"/>
    </xf>
    <xf numFmtId="1" fontId="51" fillId="9" borderId="3" xfId="1" applyNumberFormat="1" applyFont="1" applyFill="1" applyBorder="1" applyAlignment="1" applyProtection="1">
      <alignment horizontal="center" vertical="center"/>
      <protection locked="0"/>
    </xf>
    <xf numFmtId="2" fontId="51" fillId="9" borderId="24" xfId="0" applyNumberFormat="1" applyFont="1" applyFill="1" applyBorder="1" applyAlignment="1" applyProtection="1">
      <alignment horizontal="center" vertical="center"/>
      <protection locked="0"/>
    </xf>
    <xf numFmtId="2" fontId="51" fillId="9" borderId="24" xfId="1" applyNumberFormat="1" applyFont="1" applyFill="1" applyBorder="1" applyAlignment="1" applyProtection="1">
      <alignment horizontal="center" vertical="center"/>
      <protection locked="0"/>
    </xf>
    <xf numFmtId="2" fontId="51" fillId="9" borderId="3" xfId="1" applyNumberFormat="1" applyFont="1" applyFill="1" applyBorder="1" applyAlignment="1" applyProtection="1">
      <alignment horizontal="center" vertical="center"/>
      <protection locked="0"/>
    </xf>
    <xf numFmtId="0" fontId="15" fillId="17" borderId="11" xfId="0" applyFont="1" applyFill="1" applyBorder="1" applyAlignment="1">
      <alignment horizontal="left" vertical="center" indent="1"/>
    </xf>
    <xf numFmtId="0" fontId="15" fillId="17" borderId="14" xfId="0" applyFont="1" applyFill="1" applyBorder="1" applyAlignment="1">
      <alignment horizontal="left" vertical="center" indent="1"/>
    </xf>
    <xf numFmtId="0" fontId="7" fillId="0" borderId="21" xfId="0" applyFont="1" applyBorder="1" applyAlignment="1">
      <alignment horizontal="center" vertical="center"/>
    </xf>
    <xf numFmtId="0" fontId="6" fillId="11" borderId="14" xfId="0" applyFont="1" applyFill="1" applyBorder="1" applyAlignment="1">
      <alignment horizontal="center" vertical="center"/>
    </xf>
    <xf numFmtId="0" fontId="6" fillId="4" borderId="2" xfId="0" applyFont="1" applyFill="1" applyBorder="1" applyAlignment="1">
      <alignment vertical="center"/>
    </xf>
    <xf numFmtId="0" fontId="6" fillId="4" borderId="4" xfId="0" applyFont="1" applyFill="1" applyBorder="1" applyAlignment="1">
      <alignment vertical="center"/>
    </xf>
    <xf numFmtId="0" fontId="30" fillId="0" borderId="40" xfId="0" applyFont="1" applyBorder="1" applyAlignment="1">
      <alignment horizontal="right" vertical="center" indent="1"/>
    </xf>
    <xf numFmtId="0" fontId="30" fillId="0" borderId="26" xfId="0" applyFont="1" applyBorder="1" applyAlignment="1">
      <alignment horizontal="right" vertical="center" indent="1"/>
    </xf>
    <xf numFmtId="0" fontId="30" fillId="0" borderId="18" xfId="0" applyFont="1" applyBorder="1" applyAlignment="1">
      <alignment vertical="center"/>
    </xf>
    <xf numFmtId="0" fontId="30" fillId="0" borderId="26" xfId="0" applyFont="1" applyBorder="1" applyAlignment="1">
      <alignment horizontal="right" vertical="top" indent="1"/>
    </xf>
    <xf numFmtId="0" fontId="30" fillId="0" borderId="54" xfId="0" applyFont="1" applyBorder="1" applyAlignment="1">
      <alignment horizontal="right" vertical="center" indent="1"/>
    </xf>
    <xf numFmtId="0" fontId="7" fillId="4" borderId="45" xfId="0" applyFont="1" applyFill="1" applyBorder="1" applyAlignment="1">
      <alignment vertical="center"/>
    </xf>
    <xf numFmtId="0" fontId="7" fillId="4" borderId="46" xfId="0" applyFont="1" applyFill="1" applyBorder="1" applyAlignment="1">
      <alignment vertical="center"/>
    </xf>
    <xf numFmtId="0" fontId="30" fillId="0" borderId="0" xfId="0" applyFont="1" applyAlignment="1">
      <alignment vertical="center"/>
    </xf>
    <xf numFmtId="0" fontId="5" fillId="19" borderId="6" xfId="0" applyFont="1" applyFill="1" applyBorder="1" applyAlignment="1">
      <alignment horizontal="left" vertical="center"/>
    </xf>
    <xf numFmtId="0" fontId="6" fillId="0" borderId="26" xfId="0" applyFont="1" applyBorder="1" applyAlignment="1">
      <alignment horizontal="center" vertical="center"/>
    </xf>
    <xf numFmtId="0" fontId="6" fillId="0" borderId="46" xfId="0" applyFont="1" applyBorder="1" applyAlignment="1">
      <alignment horizontal="center" vertical="center" wrapText="1"/>
    </xf>
    <xf numFmtId="2" fontId="7" fillId="0" borderId="35" xfId="0" applyNumberFormat="1" applyFont="1" applyBorder="1" applyAlignment="1">
      <alignment horizontal="center" vertical="center"/>
    </xf>
    <xf numFmtId="0" fontId="7" fillId="0" borderId="1" xfId="0" applyFont="1" applyBorder="1" applyAlignment="1">
      <alignment horizontal="center" vertical="center"/>
    </xf>
    <xf numFmtId="2" fontId="35" fillId="0" borderId="35" xfId="0" applyNumberFormat="1" applyFont="1" applyBorder="1" applyAlignment="1">
      <alignment horizontal="center" vertical="center"/>
    </xf>
    <xf numFmtId="2" fontId="35" fillId="0" borderId="0" xfId="0" applyNumberFormat="1" applyFont="1" applyAlignment="1">
      <alignment horizontal="center" vertical="center"/>
    </xf>
    <xf numFmtId="2" fontId="14" fillId="0" borderId="35" xfId="0" applyNumberFormat="1" applyFont="1" applyBorder="1" applyAlignment="1">
      <alignment horizontal="center" vertical="center"/>
    </xf>
    <xf numFmtId="2" fontId="14" fillId="0" borderId="0" xfId="0" applyNumberFormat="1" applyFont="1" applyAlignment="1">
      <alignment horizontal="center" vertical="center"/>
    </xf>
    <xf numFmtId="0" fontId="14" fillId="0" borderId="1" xfId="0" applyFont="1" applyBorder="1" applyAlignment="1">
      <alignment horizontal="center" vertical="center"/>
    </xf>
    <xf numFmtId="2" fontId="75" fillId="0" borderId="35" xfId="0" applyNumberFormat="1" applyFont="1" applyBorder="1" applyAlignment="1">
      <alignment horizontal="center" vertical="center"/>
    </xf>
    <xf numFmtId="2" fontId="75" fillId="0" borderId="0" xfId="0" applyNumberFormat="1" applyFont="1" applyAlignment="1">
      <alignment horizontal="center" vertical="center"/>
    </xf>
    <xf numFmtId="0" fontId="75" fillId="0" borderId="1" xfId="0" applyFont="1" applyBorder="1" applyAlignment="1">
      <alignment horizontal="center" vertical="center"/>
    </xf>
    <xf numFmtId="2" fontId="84" fillId="0" borderId="35" xfId="0" applyNumberFormat="1" applyFont="1" applyBorder="1" applyAlignment="1">
      <alignment horizontal="center" vertical="center"/>
    </xf>
    <xf numFmtId="2" fontId="84" fillId="0" borderId="0" xfId="0" applyNumberFormat="1" applyFont="1" applyAlignment="1">
      <alignment horizontal="center" vertical="center"/>
    </xf>
    <xf numFmtId="0" fontId="84" fillId="0" borderId="1" xfId="0" applyFont="1" applyBorder="1" applyAlignment="1">
      <alignment horizontal="center" vertical="center"/>
    </xf>
    <xf numFmtId="2" fontId="84" fillId="0" borderId="47" xfId="0" applyNumberFormat="1" applyFont="1" applyBorder="1" applyAlignment="1">
      <alignment horizontal="center" vertical="center"/>
    </xf>
    <xf numFmtId="2" fontId="84" fillId="0" borderId="18" xfId="0" applyNumberFormat="1" applyFont="1" applyBorder="1" applyAlignment="1">
      <alignment horizontal="center" vertical="center"/>
    </xf>
    <xf numFmtId="0" fontId="84" fillId="0" borderId="19" xfId="0" applyFont="1" applyBorder="1" applyAlignment="1">
      <alignment horizontal="center" vertical="center"/>
    </xf>
    <xf numFmtId="0" fontId="6" fillId="0" borderId="23" xfId="0" applyFont="1" applyBorder="1" applyAlignment="1">
      <alignment horizontal="center" vertical="center"/>
    </xf>
    <xf numFmtId="0" fontId="8" fillId="19" borderId="23" xfId="0" applyFont="1" applyFill="1" applyBorder="1" applyAlignment="1">
      <alignment horizontal="left" vertical="center"/>
    </xf>
    <xf numFmtId="0" fontId="14" fillId="5" borderId="5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67" xfId="0" applyFont="1" applyFill="1" applyBorder="1" applyAlignment="1">
      <alignment horizontal="center" vertical="center"/>
    </xf>
    <xf numFmtId="0" fontId="7" fillId="0" borderId="48" xfId="0" applyFont="1" applyBorder="1" applyAlignment="1">
      <alignment horizontal="center" vertical="center"/>
    </xf>
    <xf numFmtId="0" fontId="85" fillId="19" borderId="42" xfId="0" applyFont="1" applyFill="1" applyBorder="1" applyAlignment="1">
      <alignment horizontal="center" vertical="center"/>
    </xf>
    <xf numFmtId="0" fontId="85" fillId="19" borderId="20" xfId="0" applyFont="1" applyFill="1" applyBorder="1" applyAlignment="1">
      <alignment horizontal="center" vertical="center"/>
    </xf>
    <xf numFmtId="0" fontId="85" fillId="19" borderId="21" xfId="0" applyFont="1" applyFill="1" applyBorder="1" applyAlignment="1">
      <alignment horizontal="center" vertical="center"/>
    </xf>
    <xf numFmtId="0" fontId="35" fillId="6" borderId="3" xfId="0" quotePrefix="1" applyFont="1" applyFill="1" applyBorder="1" applyAlignment="1" applyProtection="1">
      <alignment horizontal="center" vertical="center"/>
      <protection locked="0"/>
    </xf>
    <xf numFmtId="0" fontId="6" fillId="0" borderId="23" xfId="0" applyFont="1" applyBorder="1" applyAlignment="1">
      <alignment horizontal="left" vertical="center"/>
    </xf>
    <xf numFmtId="0" fontId="24" fillId="7" borderId="0" xfId="0" applyFont="1" applyFill="1" applyAlignment="1">
      <alignment horizontal="center" vertical="center"/>
    </xf>
    <xf numFmtId="0" fontId="5" fillId="3" borderId="14"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34" xfId="0" applyFont="1" applyFill="1" applyBorder="1" applyAlignment="1">
      <alignment horizontal="center" vertical="center"/>
    </xf>
    <xf numFmtId="0" fontId="86" fillId="11" borderId="14" xfId="0" applyFont="1" applyFill="1" applyBorder="1" applyAlignment="1">
      <alignment horizontal="center" vertical="center"/>
    </xf>
    <xf numFmtId="0" fontId="87" fillId="11" borderId="14" xfId="0" applyFont="1" applyFill="1" applyBorder="1" applyAlignment="1">
      <alignment horizontal="center" vertical="center"/>
    </xf>
    <xf numFmtId="0" fontId="5" fillId="11" borderId="14" xfId="0" applyFont="1" applyFill="1" applyBorder="1" applyAlignment="1">
      <alignment horizontal="center" vertical="center"/>
    </xf>
    <xf numFmtId="0" fontId="6" fillId="11" borderId="34" xfId="0" applyFont="1" applyFill="1" applyBorder="1" applyAlignment="1">
      <alignment horizontal="center" vertical="center"/>
    </xf>
    <xf numFmtId="0" fontId="5" fillId="22" borderId="0" xfId="0" applyFont="1" applyFill="1" applyAlignment="1">
      <alignment vertical="center"/>
    </xf>
    <xf numFmtId="0" fontId="8" fillId="22" borderId="0" xfId="0" applyFont="1" applyFill="1" applyAlignment="1">
      <alignment horizontal="left" vertical="center"/>
    </xf>
    <xf numFmtId="0" fontId="5" fillId="22" borderId="0" xfId="0" applyFont="1" applyFill="1" applyAlignment="1">
      <alignment horizontal="center" vertical="center"/>
    </xf>
    <xf numFmtId="0" fontId="35" fillId="11" borderId="0" xfId="0" applyFont="1" applyFill="1" applyAlignment="1">
      <alignment horizontal="left" vertical="center"/>
    </xf>
    <xf numFmtId="0" fontId="38" fillId="11" borderId="0" xfId="0" applyFont="1" applyFill="1" applyAlignment="1">
      <alignment horizontal="left" vertical="center"/>
    </xf>
    <xf numFmtId="0" fontId="38" fillId="11" borderId="0" xfId="0" applyFont="1" applyFill="1" applyAlignment="1">
      <alignment horizontal="left" vertical="center" wrapText="1"/>
    </xf>
    <xf numFmtId="0" fontId="5" fillId="22" borderId="0" xfId="0" applyFont="1" applyFill="1" applyAlignment="1">
      <alignment horizontal="left" vertical="center"/>
    </xf>
    <xf numFmtId="0" fontId="14" fillId="11" borderId="0" xfId="0" applyFont="1" applyFill="1" applyAlignment="1">
      <alignment horizontal="left" vertical="center"/>
    </xf>
    <xf numFmtId="0" fontId="7" fillId="11" borderId="0" xfId="0" applyFont="1" applyFill="1" applyAlignment="1">
      <alignment horizontal="left" vertical="center"/>
    </xf>
    <xf numFmtId="0" fontId="80" fillId="11" borderId="0" xfId="0" applyFont="1" applyFill="1" applyAlignment="1">
      <alignment vertical="center"/>
    </xf>
    <xf numFmtId="0" fontId="6" fillId="11" borderId="0" xfId="0" applyFont="1" applyFill="1" applyAlignment="1">
      <alignment horizontal="left" vertical="center"/>
    </xf>
    <xf numFmtId="0" fontId="7" fillId="11" borderId="0" xfId="0" applyFont="1" applyFill="1" applyAlignment="1">
      <alignment horizontal="center" vertical="center"/>
    </xf>
    <xf numFmtId="0" fontId="68" fillId="11" borderId="0" xfId="0" applyFont="1" applyFill="1" applyAlignment="1">
      <alignment vertical="top" wrapText="1"/>
    </xf>
    <xf numFmtId="0" fontId="82" fillId="11" borderId="0" xfId="0" applyFont="1" applyFill="1" applyAlignment="1">
      <alignment horizontal="left" vertical="center"/>
    </xf>
    <xf numFmtId="0" fontId="80" fillId="11" borderId="0" xfId="0" applyFont="1" applyFill="1" applyAlignment="1">
      <alignment horizontal="center" vertical="center"/>
    </xf>
    <xf numFmtId="0" fontId="7" fillId="13" borderId="22" xfId="0" applyFont="1" applyFill="1" applyBorder="1" applyAlignment="1">
      <alignment vertical="center"/>
    </xf>
    <xf numFmtId="0" fontId="6" fillId="13" borderId="22" xfId="0" applyFont="1" applyFill="1" applyBorder="1" applyAlignment="1">
      <alignment vertical="center"/>
    </xf>
    <xf numFmtId="0" fontId="6" fillId="13" borderId="25" xfId="0" applyFont="1" applyFill="1" applyBorder="1" applyAlignment="1">
      <alignment vertical="center"/>
    </xf>
    <xf numFmtId="0" fontId="7" fillId="9" borderId="17" xfId="0" applyFont="1" applyFill="1" applyBorder="1" applyAlignment="1">
      <alignment vertical="center"/>
    </xf>
    <xf numFmtId="0" fontId="6" fillId="9" borderId="22" xfId="0" applyFont="1" applyFill="1" applyBorder="1" applyAlignment="1">
      <alignment vertical="center"/>
    </xf>
    <xf numFmtId="0" fontId="6" fillId="9" borderId="30" xfId="0" applyFont="1" applyFill="1" applyBorder="1" applyAlignment="1">
      <alignment vertical="center"/>
    </xf>
    <xf numFmtId="0" fontId="6" fillId="0" borderId="50" xfId="0" applyFont="1" applyBorder="1" applyAlignment="1">
      <alignment horizontal="left" vertical="center" indent="1"/>
    </xf>
    <xf numFmtId="0" fontId="6" fillId="0" borderId="137" xfId="0" applyFont="1" applyBorder="1" applyAlignment="1" applyProtection="1">
      <alignment horizontal="center" vertical="center"/>
      <protection locked="0"/>
    </xf>
    <xf numFmtId="0" fontId="6" fillId="0" borderId="138" xfId="0" applyFont="1" applyBorder="1" applyAlignment="1" applyProtection="1">
      <alignment horizontal="center" vertical="center"/>
      <protection locked="0"/>
    </xf>
    <xf numFmtId="0" fontId="6" fillId="0" borderId="139" xfId="0" applyFont="1" applyBorder="1" applyAlignment="1" applyProtection="1">
      <alignment horizontal="center" vertical="center"/>
      <protection locked="0"/>
    </xf>
    <xf numFmtId="0" fontId="6" fillId="7" borderId="55" xfId="0" applyFont="1" applyFill="1" applyBorder="1" applyAlignment="1">
      <alignment horizontal="center" vertical="center"/>
    </xf>
    <xf numFmtId="2" fontId="6" fillId="7" borderId="56" xfId="0" applyNumberFormat="1" applyFont="1" applyFill="1" applyBorder="1" applyAlignment="1">
      <alignment horizontal="center" vertical="center"/>
    </xf>
    <xf numFmtId="2" fontId="7" fillId="7" borderId="66" xfId="0" applyNumberFormat="1" applyFont="1" applyFill="1" applyBorder="1" applyAlignment="1">
      <alignment horizontal="center" vertical="center"/>
    </xf>
    <xf numFmtId="2" fontId="6" fillId="7" borderId="55" xfId="0" applyNumberFormat="1" applyFont="1" applyFill="1" applyBorder="1" applyAlignment="1">
      <alignment horizontal="center" vertical="center"/>
    </xf>
    <xf numFmtId="2" fontId="6" fillId="7" borderId="66" xfId="0" applyNumberFormat="1" applyFont="1" applyFill="1" applyBorder="1" applyAlignment="1">
      <alignment horizontal="center" vertical="center"/>
    </xf>
    <xf numFmtId="0" fontId="7" fillId="0" borderId="66" xfId="0" applyFont="1" applyBorder="1" applyAlignment="1">
      <alignment horizontal="center" vertical="center"/>
    </xf>
    <xf numFmtId="0" fontId="6" fillId="0" borderId="48" xfId="0" applyFont="1" applyBorder="1" applyAlignment="1">
      <alignment horizontal="left" vertical="center" indent="1"/>
    </xf>
    <xf numFmtId="0" fontId="6" fillId="0" borderId="49" xfId="0" applyFont="1" applyBorder="1" applyAlignment="1">
      <alignment horizontal="left" vertical="center" indent="1"/>
    </xf>
    <xf numFmtId="2" fontId="6" fillId="7" borderId="68" xfId="0" applyNumberFormat="1" applyFont="1" applyFill="1" applyBorder="1" applyAlignment="1">
      <alignment horizontal="center" vertical="center"/>
    </xf>
    <xf numFmtId="2" fontId="6" fillId="0" borderId="55" xfId="0" applyNumberFormat="1" applyFont="1" applyBorder="1" applyAlignment="1">
      <alignment horizontal="center" vertical="center"/>
    </xf>
    <xf numFmtId="2" fontId="6" fillId="0" borderId="53" xfId="0" applyNumberFormat="1" applyFont="1" applyBorder="1" applyAlignment="1">
      <alignment horizontal="center" vertical="center"/>
    </xf>
    <xf numFmtId="2" fontId="6" fillId="0" borderId="43" xfId="0" applyNumberFormat="1" applyFont="1" applyBorder="1" applyAlignment="1">
      <alignment horizontal="center" vertical="center"/>
    </xf>
    <xf numFmtId="0" fontId="7" fillId="7" borderId="29" xfId="0" applyFont="1" applyFill="1" applyBorder="1" applyAlignment="1">
      <alignment horizontal="center" vertical="center"/>
    </xf>
    <xf numFmtId="9" fontId="14" fillId="7" borderId="47" xfId="1" applyFont="1" applyFill="1" applyBorder="1" applyAlignment="1" applyProtection="1">
      <alignment horizontal="center" vertical="center"/>
    </xf>
    <xf numFmtId="0" fontId="5" fillId="2" borderId="93" xfId="0" applyFont="1" applyFill="1" applyBorder="1" applyAlignment="1">
      <alignment vertical="center"/>
    </xf>
    <xf numFmtId="2" fontId="7" fillId="7" borderId="73" xfId="0" applyNumberFormat="1" applyFont="1" applyFill="1" applyBorder="1" applyAlignment="1">
      <alignment horizontal="center" vertical="center"/>
    </xf>
    <xf numFmtId="2" fontId="7" fillId="7" borderId="2" xfId="0" applyNumberFormat="1" applyFont="1" applyFill="1" applyBorder="1" applyAlignment="1">
      <alignment horizontal="center" vertical="center"/>
    </xf>
    <xf numFmtId="2" fontId="7" fillId="7" borderId="51" xfId="0" applyNumberFormat="1" applyFont="1" applyFill="1" applyBorder="1" applyAlignment="1">
      <alignment horizontal="center" vertical="center"/>
    </xf>
    <xf numFmtId="0" fontId="8" fillId="19" borderId="12" xfId="0" applyFont="1" applyFill="1" applyBorder="1" applyAlignment="1">
      <alignment horizontal="center" vertical="center"/>
    </xf>
    <xf numFmtId="2" fontId="6" fillId="19" borderId="6" xfId="0" applyNumberFormat="1" applyFont="1" applyFill="1" applyBorder="1" applyAlignment="1">
      <alignment horizontal="center" vertical="center"/>
    </xf>
    <xf numFmtId="0" fontId="6" fillId="24" borderId="0" xfId="0" applyFont="1" applyFill="1" applyAlignment="1">
      <alignment horizontal="center" vertical="center"/>
    </xf>
    <xf numFmtId="0" fontId="86" fillId="24" borderId="0" xfId="0" applyFont="1" applyFill="1" applyAlignment="1">
      <alignment horizontal="center" vertical="center"/>
    </xf>
    <xf numFmtId="0" fontId="87" fillId="24" borderId="0" xfId="0" applyFont="1" applyFill="1" applyAlignment="1">
      <alignment horizontal="center" vertical="center"/>
    </xf>
    <xf numFmtId="0" fontId="5" fillId="24" borderId="0" xfId="0" applyFont="1" applyFill="1" applyAlignment="1">
      <alignment horizontal="center" vertical="center"/>
    </xf>
    <xf numFmtId="0" fontId="6" fillId="24" borderId="37" xfId="0" applyFont="1" applyFill="1" applyBorder="1" applyAlignment="1">
      <alignment horizontal="center" vertical="center"/>
    </xf>
    <xf numFmtId="0" fontId="79" fillId="3" borderId="2" xfId="0" applyFont="1" applyFill="1" applyBorder="1" applyAlignment="1">
      <alignment horizontal="left" vertical="center" indent="1"/>
    </xf>
    <xf numFmtId="0" fontId="79" fillId="3" borderId="3" xfId="0" applyFont="1" applyFill="1" applyBorder="1" applyAlignment="1">
      <alignment horizontal="left" vertical="center" indent="1"/>
    </xf>
    <xf numFmtId="0" fontId="79" fillId="3" borderId="3" xfId="0" applyFont="1" applyFill="1" applyBorder="1" applyAlignment="1">
      <alignment horizontal="center" vertical="center"/>
    </xf>
    <xf numFmtId="0" fontId="79" fillId="3" borderId="4" xfId="0" applyFont="1" applyFill="1" applyBorder="1" applyAlignment="1">
      <alignment horizontal="left" vertical="center" wrapText="1"/>
    </xf>
    <xf numFmtId="0" fontId="6" fillId="0" borderId="1" xfId="0" applyFont="1" applyBorder="1" applyAlignment="1" applyProtection="1">
      <alignment vertical="center"/>
      <protection locked="0"/>
    </xf>
    <xf numFmtId="0" fontId="6" fillId="0" borderId="35"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19" xfId="0" applyFont="1" applyBorder="1" applyAlignment="1" applyProtection="1">
      <alignment vertical="center"/>
      <protection locked="0"/>
    </xf>
    <xf numFmtId="0" fontId="7" fillId="0" borderId="35" xfId="0" applyFont="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7" fillId="0" borderId="2" xfId="0" applyFont="1" applyBorder="1" applyAlignment="1">
      <alignment vertical="center"/>
    </xf>
    <xf numFmtId="0" fontId="17" fillId="0" borderId="3" xfId="0" applyFont="1" applyBorder="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4" fillId="0" borderId="3" xfId="0" applyFont="1" applyBorder="1" applyAlignment="1">
      <alignment horizontal="left" vertical="center"/>
    </xf>
    <xf numFmtId="0" fontId="7" fillId="15" borderId="35" xfId="0" applyFont="1" applyFill="1" applyBorder="1" applyAlignment="1">
      <alignment vertical="center"/>
    </xf>
    <xf numFmtId="0" fontId="6" fillId="15" borderId="0" xfId="0" applyFont="1" applyFill="1" applyAlignment="1">
      <alignment horizontal="left" vertical="center"/>
    </xf>
    <xf numFmtId="0" fontId="16" fillId="15" borderId="0" xfId="0" applyFont="1" applyFill="1" applyAlignment="1">
      <alignment vertical="center"/>
    </xf>
    <xf numFmtId="0" fontId="16" fillId="15" borderId="1" xfId="0" applyFont="1" applyFill="1" applyBorder="1" applyAlignment="1">
      <alignment vertical="center"/>
    </xf>
    <xf numFmtId="0" fontId="7" fillId="15" borderId="47" xfId="0" applyFont="1" applyFill="1" applyBorder="1" applyAlignment="1">
      <alignment vertical="center"/>
    </xf>
    <xf numFmtId="0" fontId="6" fillId="15" borderId="18" xfId="0" applyFont="1" applyFill="1" applyBorder="1" applyAlignment="1">
      <alignment horizontal="left" vertical="center"/>
    </xf>
    <xf numFmtId="0" fontId="30" fillId="15" borderId="18" xfId="0" applyFont="1" applyFill="1" applyBorder="1" applyAlignment="1">
      <alignment vertical="center"/>
    </xf>
    <xf numFmtId="0" fontId="6" fillId="15" borderId="18" xfId="0" applyFont="1" applyFill="1" applyBorder="1" applyAlignment="1">
      <alignment vertical="center"/>
    </xf>
    <xf numFmtId="0" fontId="6" fillId="15" borderId="19" xfId="0" applyFont="1" applyFill="1" applyBorder="1" applyAlignment="1">
      <alignment vertical="center"/>
    </xf>
    <xf numFmtId="0" fontId="35" fillId="6" borderId="4" xfId="0" applyFont="1" applyFill="1" applyBorder="1" applyAlignment="1" applyProtection="1">
      <alignment horizontal="left" vertical="center" wrapText="1"/>
      <protection locked="0"/>
    </xf>
    <xf numFmtId="9" fontId="35" fillId="6" borderId="4" xfId="1" applyFont="1" applyFill="1" applyBorder="1" applyAlignment="1" applyProtection="1">
      <alignment horizontal="center" vertical="center"/>
      <protection locked="0"/>
    </xf>
    <xf numFmtId="9" fontId="59" fillId="6" borderId="129" xfId="1" applyFont="1" applyFill="1" applyBorder="1" applyAlignment="1" applyProtection="1">
      <alignment horizontal="center" vertical="center"/>
      <protection locked="0"/>
    </xf>
    <xf numFmtId="9" fontId="59" fillId="6" borderId="132" xfId="1" applyFont="1" applyFill="1" applyBorder="1" applyAlignment="1" applyProtection="1">
      <alignment horizontal="center" vertical="center"/>
      <protection locked="0"/>
    </xf>
    <xf numFmtId="9" fontId="59" fillId="6" borderId="135" xfId="1" applyFont="1" applyFill="1" applyBorder="1" applyAlignment="1" applyProtection="1">
      <alignment horizontal="center" vertical="center"/>
      <protection locked="0"/>
    </xf>
    <xf numFmtId="0" fontId="79" fillId="6" borderId="4" xfId="0" applyFont="1" applyFill="1" applyBorder="1" applyAlignment="1" applyProtection="1">
      <alignment horizontal="left" vertical="center" wrapText="1"/>
      <protection locked="0"/>
    </xf>
    <xf numFmtId="0" fontId="7" fillId="6" borderId="24" xfId="0" applyFont="1" applyFill="1" applyBorder="1" applyAlignment="1" applyProtection="1">
      <alignment horizontal="left" vertical="center" indent="1"/>
      <protection locked="0"/>
    </xf>
    <xf numFmtId="2" fontId="6" fillId="7" borderId="27" xfId="0" applyNumberFormat="1" applyFont="1" applyFill="1" applyBorder="1" applyAlignment="1">
      <alignment horizontal="center" vertical="center"/>
    </xf>
    <xf numFmtId="2" fontId="7" fillId="7" borderId="84" xfId="0" applyNumberFormat="1" applyFont="1" applyFill="1" applyBorder="1" applyAlignment="1">
      <alignment horizontal="center" vertical="center"/>
    </xf>
    <xf numFmtId="2" fontId="6" fillId="7" borderId="54" xfId="0" applyNumberFormat="1" applyFont="1" applyFill="1" applyBorder="1" applyAlignment="1">
      <alignment horizontal="center" vertical="center"/>
    </xf>
    <xf numFmtId="2" fontId="6" fillId="7" borderId="84" xfId="0" applyNumberFormat="1" applyFont="1" applyFill="1" applyBorder="1" applyAlignment="1">
      <alignment horizontal="center" vertical="center"/>
    </xf>
    <xf numFmtId="2" fontId="7" fillId="7" borderId="45" xfId="0" applyNumberFormat="1" applyFont="1" applyFill="1" applyBorder="1" applyAlignment="1">
      <alignment horizontal="center" vertical="center"/>
    </xf>
    <xf numFmtId="2" fontId="6" fillId="0" borderId="54" xfId="0" applyNumberFormat="1" applyFont="1" applyBorder="1" applyAlignment="1">
      <alignment horizontal="center" vertical="center"/>
    </xf>
    <xf numFmtId="0" fontId="7" fillId="0" borderId="84" xfId="0" applyFont="1" applyBorder="1" applyAlignment="1">
      <alignment horizontal="center" vertical="center"/>
    </xf>
    <xf numFmtId="0" fontId="6" fillId="0" borderId="38" xfId="0" applyFont="1" applyBorder="1" applyAlignment="1">
      <alignment horizontal="left" vertical="center" indent="1"/>
    </xf>
    <xf numFmtId="2" fontId="6" fillId="7" borderId="20" xfId="0" applyNumberFormat="1" applyFont="1" applyFill="1" applyBorder="1" applyAlignment="1">
      <alignment horizontal="center" vertical="center"/>
    </xf>
    <xf numFmtId="2" fontId="7" fillId="7" borderId="21" xfId="0" applyNumberFormat="1" applyFont="1" applyFill="1" applyBorder="1" applyAlignment="1">
      <alignment horizontal="center" vertical="center"/>
    </xf>
    <xf numFmtId="2" fontId="6" fillId="7" borderId="42" xfId="0" applyNumberFormat="1" applyFont="1" applyFill="1" applyBorder="1" applyAlignment="1">
      <alignment horizontal="center" vertical="center"/>
    </xf>
    <xf numFmtId="2" fontId="6" fillId="7" borderId="21" xfId="0" applyNumberFormat="1" applyFont="1" applyFill="1" applyBorder="1" applyAlignment="1">
      <alignment horizontal="center" vertical="center"/>
    </xf>
    <xf numFmtId="2" fontId="7" fillId="7" borderId="47" xfId="0" applyNumberFormat="1" applyFont="1" applyFill="1" applyBorder="1" applyAlignment="1">
      <alignment horizontal="center" vertical="center"/>
    </xf>
    <xf numFmtId="2" fontId="6" fillId="0" borderId="42" xfId="0" applyNumberFormat="1" applyFont="1" applyBorder="1" applyAlignment="1">
      <alignment horizontal="center" vertical="center"/>
    </xf>
    <xf numFmtId="0" fontId="6" fillId="19" borderId="5" xfId="0" applyFont="1" applyFill="1" applyBorder="1" applyAlignment="1">
      <alignment horizontal="left" vertical="center" indent="1"/>
    </xf>
    <xf numFmtId="0" fontId="35" fillId="3" borderId="4" xfId="0" quotePrefix="1" applyFont="1" applyFill="1" applyBorder="1" applyAlignment="1" applyProtection="1">
      <alignment vertical="center"/>
      <protection locked="0"/>
    </xf>
    <xf numFmtId="0" fontId="27" fillId="6" borderId="3" xfId="0" applyFont="1" applyFill="1" applyBorder="1" applyAlignment="1">
      <alignment horizontal="left" vertical="center" wrapText="1"/>
    </xf>
    <xf numFmtId="0" fontId="27" fillId="6" borderId="4" xfId="0" applyFont="1" applyFill="1" applyBorder="1" applyAlignment="1">
      <alignment horizontal="left" vertical="center" wrapText="1"/>
    </xf>
    <xf numFmtId="0" fontId="88" fillId="6" borderId="2" xfId="0" applyFont="1" applyFill="1" applyBorder="1" applyAlignment="1">
      <alignment horizontal="left" vertical="center"/>
    </xf>
    <xf numFmtId="0" fontId="27" fillId="25" borderId="2" xfId="0" applyFont="1" applyFill="1" applyBorder="1" applyAlignment="1">
      <alignment horizontal="left" vertical="center" wrapText="1"/>
    </xf>
    <xf numFmtId="0" fontId="27" fillId="25" borderId="3" xfId="0" applyFont="1" applyFill="1" applyBorder="1" applyAlignment="1">
      <alignment horizontal="left" vertical="center" wrapText="1"/>
    </xf>
    <xf numFmtId="0" fontId="27" fillId="25" borderId="4" xfId="0" applyFont="1" applyFill="1" applyBorder="1" applyAlignment="1">
      <alignment horizontal="left" vertical="center" wrapText="1"/>
    </xf>
    <xf numFmtId="0" fontId="6" fillId="0" borderId="10" xfId="0" applyFont="1" applyBorder="1" applyAlignment="1">
      <alignment vertical="center"/>
    </xf>
    <xf numFmtId="0" fontId="5" fillId="22" borderId="9" xfId="0" applyFont="1" applyFill="1" applyBorder="1" applyAlignment="1">
      <alignment vertical="center"/>
    </xf>
    <xf numFmtId="0" fontId="15" fillId="22" borderId="10" xfId="0" applyFont="1" applyFill="1" applyBorder="1" applyAlignment="1">
      <alignment vertical="center"/>
    </xf>
    <xf numFmtId="0" fontId="15" fillId="22" borderId="11" xfId="0" applyFont="1" applyFill="1" applyBorder="1" applyAlignment="1">
      <alignment vertical="center"/>
    </xf>
    <xf numFmtId="0" fontId="19" fillId="23" borderId="0" xfId="0" applyFont="1" applyFill="1" applyAlignment="1">
      <alignment vertical="center"/>
    </xf>
    <xf numFmtId="1" fontId="91" fillId="26" borderId="140" xfId="0" applyNumberFormat="1" applyFont="1" applyFill="1" applyBorder="1" applyAlignment="1" applyProtection="1">
      <alignment horizontal="center" vertical="center"/>
      <protection locked="0"/>
    </xf>
    <xf numFmtId="1" fontId="91" fillId="0" borderId="0" xfId="0" applyNumberFormat="1" applyFont="1" applyFill="1" applyBorder="1" applyAlignment="1" applyProtection="1">
      <alignment horizontal="center" vertical="center"/>
      <protection locked="0"/>
    </xf>
    <xf numFmtId="0" fontId="34" fillId="6" borderId="2" xfId="0" applyFont="1" applyFill="1" applyBorder="1" applyAlignment="1" applyProtection="1">
      <alignment horizontal="center" vertical="center"/>
      <protection locked="0"/>
    </xf>
    <xf numFmtId="0" fontId="34" fillId="6" borderId="4" xfId="0" applyFont="1" applyFill="1" applyBorder="1" applyAlignment="1" applyProtection="1">
      <alignment horizontal="center" vertical="center"/>
      <protection locked="0"/>
    </xf>
    <xf numFmtId="0" fontId="35" fillId="6" borderId="3" xfId="0" applyFont="1" applyFill="1" applyBorder="1" applyAlignment="1">
      <alignment horizontal="left" vertical="center"/>
    </xf>
    <xf numFmtId="0" fontId="35" fillId="6" borderId="4" xfId="0" applyFont="1" applyFill="1" applyBorder="1" applyAlignment="1">
      <alignment horizontal="left" vertical="center"/>
    </xf>
    <xf numFmtId="0" fontId="16" fillId="9" borderId="45" xfId="0" applyFont="1" applyFill="1" applyBorder="1" applyAlignment="1">
      <alignment horizontal="left" vertical="center" wrapText="1" indent="1"/>
    </xf>
    <xf numFmtId="0" fontId="16" fillId="9" borderId="26" xfId="0" applyFont="1" applyFill="1" applyBorder="1" applyAlignment="1">
      <alignment horizontal="left" vertical="center" wrapText="1" indent="1"/>
    </xf>
    <xf numFmtId="0" fontId="16" fillId="9" borderId="46" xfId="0" applyFont="1" applyFill="1" applyBorder="1" applyAlignment="1">
      <alignment horizontal="left" vertical="center" wrapText="1" indent="1"/>
    </xf>
    <xf numFmtId="0" fontId="16" fillId="9" borderId="47" xfId="0" applyFont="1" applyFill="1" applyBorder="1" applyAlignment="1">
      <alignment horizontal="left" vertical="center" wrapText="1" indent="1"/>
    </xf>
    <xf numFmtId="0" fontId="16" fillId="9" borderId="18" xfId="0" applyFont="1" applyFill="1" applyBorder="1" applyAlignment="1">
      <alignment horizontal="left" vertical="center" wrapText="1" indent="1"/>
    </xf>
    <xf numFmtId="0" fontId="16" fillId="9" borderId="19" xfId="0" applyFont="1" applyFill="1" applyBorder="1" applyAlignment="1">
      <alignment horizontal="left" vertical="center" wrapText="1" indent="1"/>
    </xf>
    <xf numFmtId="0" fontId="22" fillId="11" borderId="98" xfId="0" applyFont="1" applyFill="1" applyBorder="1" applyAlignment="1">
      <alignment horizontal="left" vertical="center" wrapText="1"/>
    </xf>
    <xf numFmtId="0" fontId="22" fillId="11" borderId="0" xfId="0" applyFont="1" applyFill="1" applyAlignment="1">
      <alignment horizontal="left" vertical="center" wrapText="1"/>
    </xf>
    <xf numFmtId="0" fontId="51" fillId="0" borderId="0" xfId="0" applyFont="1" applyAlignment="1">
      <alignment horizontal="left" vertical="center" wrapText="1"/>
    </xf>
    <xf numFmtId="0" fontId="53" fillId="15" borderId="35" xfId="0" applyFont="1" applyFill="1" applyBorder="1" applyAlignment="1">
      <alignment horizontal="left" vertical="center" wrapText="1" indent="1"/>
    </xf>
    <xf numFmtId="0" fontId="53" fillId="15" borderId="0" xfId="0" applyFont="1" applyFill="1" applyAlignment="1">
      <alignment horizontal="left" vertical="center" wrapText="1" indent="1"/>
    </xf>
    <xf numFmtId="0" fontId="53" fillId="15" borderId="1" xfId="0" applyFont="1" applyFill="1" applyBorder="1" applyAlignment="1">
      <alignment horizontal="left" vertical="center" wrapText="1" indent="1"/>
    </xf>
    <xf numFmtId="0" fontId="53" fillId="15" borderId="47" xfId="0" applyFont="1" applyFill="1" applyBorder="1" applyAlignment="1">
      <alignment horizontal="left" vertical="center" wrapText="1" indent="1"/>
    </xf>
    <xf numFmtId="0" fontId="53" fillId="15" borderId="18" xfId="0" applyFont="1" applyFill="1" applyBorder="1" applyAlignment="1">
      <alignment horizontal="left" vertical="center" wrapText="1" indent="1"/>
    </xf>
    <xf numFmtId="0" fontId="53" fillId="15" borderId="19" xfId="0" applyFont="1" applyFill="1" applyBorder="1" applyAlignment="1">
      <alignment horizontal="left" vertical="center" wrapText="1" indent="1"/>
    </xf>
    <xf numFmtId="0" fontId="45" fillId="8" borderId="125" xfId="0" applyFont="1" applyFill="1" applyBorder="1" applyAlignment="1">
      <alignment horizontal="center" vertical="center"/>
    </xf>
    <xf numFmtId="0" fontId="45" fillId="8" borderId="124" xfId="0" applyFont="1" applyFill="1" applyBorder="1" applyAlignment="1">
      <alignment horizontal="center" vertical="center"/>
    </xf>
    <xf numFmtId="0" fontId="36" fillId="10" borderId="125" xfId="0" applyFont="1" applyFill="1" applyBorder="1" applyAlignment="1">
      <alignment horizontal="center" vertical="center"/>
    </xf>
    <xf numFmtId="0" fontId="16" fillId="15" borderId="35" xfId="0" applyFont="1" applyFill="1" applyBorder="1" applyAlignment="1">
      <alignment horizontal="left" vertical="center" wrapText="1" indent="1"/>
    </xf>
    <xf numFmtId="0" fontId="16" fillId="15" borderId="0" xfId="0" applyFont="1" applyFill="1" applyAlignment="1">
      <alignment horizontal="left" vertical="center" wrapText="1" indent="1"/>
    </xf>
    <xf numFmtId="0" fontId="16" fillId="15" borderId="1" xfId="0" applyFont="1" applyFill="1" applyBorder="1" applyAlignment="1">
      <alignment horizontal="left" vertical="center" wrapText="1" indent="1"/>
    </xf>
    <xf numFmtId="0" fontId="16" fillId="15" borderId="47" xfId="0" applyFont="1" applyFill="1" applyBorder="1" applyAlignment="1">
      <alignment horizontal="left" vertical="center" wrapText="1" indent="1"/>
    </xf>
    <xf numFmtId="0" fontId="16" fillId="15" borderId="18" xfId="0" applyFont="1" applyFill="1" applyBorder="1" applyAlignment="1">
      <alignment horizontal="left" vertical="center" wrapText="1" indent="1"/>
    </xf>
    <xf numFmtId="0" fontId="16" fillId="15" borderId="19" xfId="0" applyFont="1" applyFill="1" applyBorder="1" applyAlignment="1">
      <alignment horizontal="left" vertical="center" wrapText="1" indent="1"/>
    </xf>
    <xf numFmtId="0" fontId="45" fillId="8" borderId="126" xfId="0" applyFont="1" applyFill="1" applyBorder="1" applyAlignment="1">
      <alignment horizontal="center" vertical="center"/>
    </xf>
    <xf numFmtId="0" fontId="6" fillId="0" borderId="0" xfId="0" applyFont="1" applyAlignment="1">
      <alignment horizontal="left" vertical="top" wrapText="1"/>
    </xf>
    <xf numFmtId="0" fontId="16" fillId="9" borderId="110" xfId="0" applyFont="1" applyFill="1" applyBorder="1" applyAlignment="1">
      <alignment horizontal="left" vertical="center" indent="1"/>
    </xf>
    <xf numFmtId="0" fontId="16" fillId="9" borderId="111" xfId="0" applyFont="1" applyFill="1" applyBorder="1" applyAlignment="1">
      <alignment horizontal="left" vertical="center" indent="1"/>
    </xf>
    <xf numFmtId="0" fontId="16" fillId="9" borderId="112" xfId="0" applyFont="1" applyFill="1" applyBorder="1" applyAlignment="1">
      <alignment horizontal="left" vertical="center" indent="1"/>
    </xf>
    <xf numFmtId="0" fontId="16" fillId="0" borderId="45" xfId="0" applyFont="1" applyBorder="1" applyAlignment="1">
      <alignment horizontal="left" vertical="center" wrapText="1" indent="1"/>
    </xf>
    <xf numFmtId="0" fontId="16" fillId="0" borderId="26" xfId="0" applyFont="1" applyBorder="1" applyAlignment="1">
      <alignment horizontal="left" vertical="center" wrapText="1" indent="1"/>
    </xf>
    <xf numFmtId="0" fontId="16" fillId="0" borderId="46" xfId="0" applyFont="1" applyBorder="1" applyAlignment="1">
      <alignment horizontal="left" vertical="center" wrapText="1" indent="1"/>
    </xf>
    <xf numFmtId="0" fontId="16" fillId="0" borderId="47" xfId="0" applyFont="1" applyBorder="1" applyAlignment="1">
      <alignment horizontal="left" vertical="center" wrapText="1" indent="1"/>
    </xf>
    <xf numFmtId="0" fontId="16" fillId="0" borderId="18" xfId="0" applyFont="1" applyBorder="1" applyAlignment="1">
      <alignment horizontal="left" vertical="center" wrapText="1" indent="1"/>
    </xf>
    <xf numFmtId="0" fontId="16" fillId="0" borderId="19" xfId="0" applyFont="1" applyBorder="1" applyAlignment="1">
      <alignment horizontal="left" vertical="center" wrapText="1" indent="1"/>
    </xf>
    <xf numFmtId="0" fontId="17" fillId="20" borderId="45" xfId="0" applyFont="1" applyFill="1" applyBorder="1" applyAlignment="1">
      <alignment horizontal="left" vertical="center" indent="1"/>
    </xf>
    <xf numFmtId="0" fontId="17" fillId="20" borderId="26" xfId="0" applyFont="1" applyFill="1" applyBorder="1" applyAlignment="1">
      <alignment horizontal="left" vertical="center" indent="1"/>
    </xf>
    <xf numFmtId="0" fontId="17" fillId="20" borderId="46" xfId="0" applyFont="1" applyFill="1" applyBorder="1" applyAlignment="1">
      <alignment horizontal="left" vertical="center" indent="1"/>
    </xf>
    <xf numFmtId="0" fontId="64" fillId="0" borderId="2" xfId="0" applyFont="1" applyBorder="1" applyAlignment="1">
      <alignment horizontal="left" vertical="center" indent="1"/>
    </xf>
    <xf numFmtId="0" fontId="64" fillId="0" borderId="3" xfId="0" applyFont="1" applyBorder="1" applyAlignment="1">
      <alignment horizontal="left" vertical="center" indent="1"/>
    </xf>
    <xf numFmtId="0" fontId="5" fillId="10" borderId="9" xfId="0" applyFont="1" applyFill="1" applyBorder="1" applyAlignment="1">
      <alignment horizontal="left" vertical="center"/>
    </xf>
    <xf numFmtId="0" fontId="5" fillId="10" borderId="10" xfId="0" applyFont="1" applyFill="1" applyBorder="1" applyAlignment="1">
      <alignment horizontal="left" vertical="center"/>
    </xf>
    <xf numFmtId="0" fontId="65" fillId="10" borderId="2" xfId="0" applyFont="1" applyFill="1" applyBorder="1" applyAlignment="1">
      <alignment horizontal="left" vertical="center" indent="1"/>
    </xf>
    <xf numFmtId="0" fontId="65" fillId="10" borderId="3" xfId="0" applyFont="1" applyFill="1" applyBorder="1" applyAlignment="1">
      <alignment horizontal="left" vertical="center" indent="1"/>
    </xf>
    <xf numFmtId="0" fontId="65" fillId="10" borderId="4" xfId="0" applyFont="1" applyFill="1" applyBorder="1" applyAlignment="1">
      <alignment horizontal="left" vertical="center" indent="1"/>
    </xf>
    <xf numFmtId="0" fontId="35" fillId="0" borderId="0" xfId="0" applyFont="1" applyAlignment="1">
      <alignment horizontal="center" vertical="center" wrapText="1"/>
    </xf>
    <xf numFmtId="0" fontId="30" fillId="0" borderId="0" xfId="0" applyFont="1" applyAlignment="1">
      <alignment horizontal="left" vertical="top" wrapText="1"/>
    </xf>
    <xf numFmtId="0" fontId="30" fillId="0" borderId="18" xfId="0" applyFont="1" applyBorder="1" applyAlignment="1">
      <alignment horizontal="left" vertical="top" wrapText="1"/>
    </xf>
    <xf numFmtId="0" fontId="89" fillId="23" borderId="35" xfId="0" applyFont="1" applyFill="1" applyBorder="1" applyAlignment="1">
      <alignment horizontal="left" vertical="center" wrapText="1" indent="1"/>
    </xf>
    <xf numFmtId="0" fontId="89" fillId="23" borderId="0" xfId="0" applyFont="1" applyFill="1" applyAlignment="1">
      <alignment horizontal="left" vertical="center" wrapText="1" indent="1"/>
    </xf>
    <xf numFmtId="0" fontId="89" fillId="23" borderId="1" xfId="0" applyFont="1" applyFill="1" applyBorder="1" applyAlignment="1">
      <alignment horizontal="left" vertical="center" wrapText="1" indent="1"/>
    </xf>
    <xf numFmtId="0" fontId="89" fillId="23" borderId="47" xfId="0" applyFont="1" applyFill="1" applyBorder="1" applyAlignment="1">
      <alignment horizontal="left" vertical="center" wrapText="1" indent="1"/>
    </xf>
    <xf numFmtId="0" fontId="89" fillId="23" borderId="18" xfId="0" applyFont="1" applyFill="1" applyBorder="1" applyAlignment="1">
      <alignment horizontal="left" vertical="center" wrapText="1" indent="1"/>
    </xf>
    <xf numFmtId="0" fontId="89" fillId="23" borderId="19" xfId="0" applyFont="1" applyFill="1" applyBorder="1" applyAlignment="1">
      <alignment horizontal="left" vertical="center" wrapText="1" indent="1"/>
    </xf>
    <xf numFmtId="0" fontId="6" fillId="0" borderId="0" xfId="0" applyFont="1" applyAlignment="1">
      <alignment horizontal="left" vertical="center" wrapText="1"/>
    </xf>
    <xf numFmtId="2" fontId="48" fillId="6" borderId="0" xfId="0" applyNumberFormat="1" applyFont="1" applyFill="1" applyAlignment="1">
      <alignment horizontal="center" vertical="center"/>
    </xf>
    <xf numFmtId="2" fontId="48" fillId="6" borderId="116" xfId="0" applyNumberFormat="1" applyFont="1" applyFill="1" applyBorder="1" applyAlignment="1">
      <alignment horizontal="center" vertical="center"/>
    </xf>
    <xf numFmtId="2" fontId="48" fillId="6" borderId="115" xfId="0" applyNumberFormat="1" applyFont="1" applyFill="1" applyBorder="1" applyAlignment="1">
      <alignment horizontal="center" vertical="center"/>
    </xf>
    <xf numFmtId="2" fontId="6" fillId="6" borderId="0" xfId="0" applyNumberFormat="1" applyFont="1" applyFill="1" applyAlignment="1">
      <alignment horizontal="center" vertical="center"/>
    </xf>
    <xf numFmtId="2" fontId="6" fillId="6" borderId="116" xfId="0" applyNumberFormat="1" applyFont="1" applyFill="1" applyBorder="1" applyAlignment="1">
      <alignment horizontal="center" vertical="center"/>
    </xf>
    <xf numFmtId="2" fontId="6" fillId="6" borderId="115" xfId="0" applyNumberFormat="1" applyFont="1" applyFill="1" applyBorder="1" applyAlignment="1">
      <alignment horizontal="center" vertical="center"/>
    </xf>
    <xf numFmtId="0" fontId="61" fillId="3" borderId="121" xfId="0" applyFont="1" applyFill="1" applyBorder="1" applyAlignment="1">
      <alignment horizontal="right" vertical="center"/>
    </xf>
    <xf numFmtId="0" fontId="61" fillId="3" borderId="18" xfId="0" applyFont="1" applyFill="1" applyBorder="1" applyAlignment="1">
      <alignment horizontal="right" vertical="center"/>
    </xf>
    <xf numFmtId="2" fontId="6" fillId="6" borderId="117" xfId="0" applyNumberFormat="1" applyFont="1" applyFill="1" applyBorder="1" applyAlignment="1">
      <alignment horizontal="center" vertical="center"/>
    </xf>
    <xf numFmtId="2" fontId="6" fillId="6" borderId="118" xfId="0" applyNumberFormat="1" applyFont="1" applyFill="1" applyBorder="1" applyAlignment="1">
      <alignment horizontal="center" vertical="center"/>
    </xf>
    <xf numFmtId="2" fontId="48" fillId="6" borderId="117" xfId="0" applyNumberFormat="1" applyFont="1" applyFill="1" applyBorder="1" applyAlignment="1">
      <alignment horizontal="center" vertical="center"/>
    </xf>
    <xf numFmtId="2" fontId="48" fillId="6" borderId="118" xfId="0" applyNumberFormat="1" applyFont="1" applyFill="1" applyBorder="1" applyAlignment="1">
      <alignment horizontal="center" vertical="center"/>
    </xf>
    <xf numFmtId="2" fontId="6" fillId="6" borderId="119" xfId="0" applyNumberFormat="1" applyFont="1" applyFill="1" applyBorder="1" applyAlignment="1">
      <alignment horizontal="center" vertical="center"/>
    </xf>
    <xf numFmtId="0" fontId="56" fillId="0" borderId="20" xfId="0" applyFont="1" applyBorder="1" applyAlignment="1">
      <alignment horizontal="left" vertical="center" indent="2"/>
    </xf>
    <xf numFmtId="0" fontId="56" fillId="0" borderId="47" xfId="0" applyFont="1" applyBorder="1" applyAlignment="1">
      <alignment horizontal="left" vertical="center" indent="2"/>
    </xf>
    <xf numFmtId="0" fontId="56" fillId="3" borderId="13" xfId="0" applyFont="1" applyFill="1" applyBorder="1" applyAlignment="1">
      <alignment horizontal="left" vertical="center" indent="2"/>
    </xf>
    <xf numFmtId="0" fontId="56" fillId="3" borderId="35" xfId="0" applyFont="1" applyFill="1" applyBorder="1" applyAlignment="1">
      <alignment horizontal="left" vertical="center" indent="2"/>
    </xf>
    <xf numFmtId="2" fontId="6" fillId="6" borderId="120" xfId="0" applyNumberFormat="1" applyFont="1" applyFill="1" applyBorder="1" applyAlignment="1">
      <alignment horizontal="center" vertical="center"/>
    </xf>
    <xf numFmtId="2" fontId="6" fillId="6" borderId="121" xfId="0" applyNumberFormat="1" applyFont="1" applyFill="1" applyBorder="1" applyAlignment="1">
      <alignment horizontal="center" vertical="center"/>
    </xf>
    <xf numFmtId="2" fontId="6" fillId="6" borderId="122" xfId="0" applyNumberFormat="1" applyFont="1" applyFill="1" applyBorder="1" applyAlignment="1">
      <alignment horizontal="center" vertical="center"/>
    </xf>
    <xf numFmtId="0" fontId="57" fillId="3" borderId="120" xfId="0" applyFont="1" applyFill="1" applyBorder="1" applyAlignment="1">
      <alignment horizontal="center" vertical="center" wrapText="1"/>
    </xf>
    <xf numFmtId="0" fontId="57" fillId="3" borderId="122" xfId="0" applyFont="1" applyFill="1" applyBorder="1" applyAlignment="1">
      <alignment horizontal="center" vertical="center" wrapText="1"/>
    </xf>
    <xf numFmtId="0" fontId="57" fillId="3" borderId="117" xfId="0" applyFont="1" applyFill="1" applyBorder="1" applyAlignment="1">
      <alignment horizontal="center" vertical="center" wrapText="1"/>
    </xf>
    <xf numFmtId="0" fontId="57" fillId="3" borderId="119" xfId="0" applyFont="1" applyFill="1" applyBorder="1" applyAlignment="1">
      <alignment horizontal="center" vertical="center" wrapText="1"/>
    </xf>
    <xf numFmtId="0" fontId="6" fillId="0" borderId="26" xfId="0" applyFont="1" applyBorder="1" applyAlignment="1">
      <alignment horizontal="left" vertical="top" wrapText="1"/>
    </xf>
    <xf numFmtId="0" fontId="16" fillId="15" borderId="35" xfId="0" applyFont="1" applyFill="1" applyBorder="1" applyAlignment="1">
      <alignment horizontal="left" vertical="center" indent="1"/>
    </xf>
    <xf numFmtId="0" fontId="16" fillId="15" borderId="0" xfId="0" applyFont="1" applyFill="1" applyAlignment="1">
      <alignment horizontal="left" vertical="center" indent="1"/>
    </xf>
    <xf numFmtId="0" fontId="16" fillId="15" borderId="1" xfId="0" applyFont="1" applyFill="1" applyBorder="1" applyAlignment="1">
      <alignment horizontal="left" vertical="center" indent="1"/>
    </xf>
    <xf numFmtId="0" fontId="57" fillId="3" borderId="121" xfId="0" applyFont="1" applyFill="1" applyBorder="1" applyAlignment="1">
      <alignment horizontal="center" vertical="center" wrapText="1"/>
    </xf>
    <xf numFmtId="0" fontId="58" fillId="3" borderId="117" xfId="0" applyFont="1" applyFill="1" applyBorder="1" applyAlignment="1">
      <alignment horizontal="center" vertical="center" wrapText="1"/>
    </xf>
    <xf numFmtId="0" fontId="58" fillId="3" borderId="118" xfId="0" applyFont="1" applyFill="1" applyBorder="1" applyAlignment="1">
      <alignment horizontal="center" vertical="center" wrapText="1"/>
    </xf>
    <xf numFmtId="0" fontId="7" fillId="3" borderId="45"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46" xfId="0" applyFont="1" applyFill="1" applyBorder="1" applyAlignment="1">
      <alignment horizontal="center" vertical="center"/>
    </xf>
    <xf numFmtId="0" fontId="6" fillId="0" borderId="18" xfId="0" applyFont="1" applyBorder="1" applyAlignment="1">
      <alignment horizontal="left" vertical="top" wrapText="1"/>
    </xf>
    <xf numFmtId="0" fontId="56" fillId="0" borderId="13" xfId="0" applyFont="1" applyBorder="1" applyAlignment="1">
      <alignment horizontal="left" vertical="center" wrapText="1" indent="2"/>
    </xf>
    <xf numFmtId="0" fontId="56" fillId="0" borderId="35" xfId="0" applyFont="1" applyBorder="1" applyAlignment="1">
      <alignment horizontal="left" vertical="center" wrapText="1" indent="2"/>
    </xf>
    <xf numFmtId="0" fontId="56" fillId="3" borderId="20" xfId="0" applyFont="1" applyFill="1" applyBorder="1" applyAlignment="1">
      <alignment horizontal="left" vertical="center" indent="2"/>
    </xf>
    <xf numFmtId="0" fontId="56" fillId="3" borderId="47" xfId="0" applyFont="1" applyFill="1" applyBorder="1" applyAlignment="1">
      <alignment horizontal="left" vertical="center" indent="2"/>
    </xf>
    <xf numFmtId="0" fontId="55" fillId="0" borderId="27" xfId="0" applyFont="1" applyBorder="1" applyAlignment="1">
      <alignment horizontal="left" vertical="center" indent="1"/>
    </xf>
    <xf numFmtId="0" fontId="55" fillId="0" borderId="45" xfId="0" applyFont="1" applyBorder="1" applyAlignment="1">
      <alignment horizontal="left" vertical="center" indent="1"/>
    </xf>
    <xf numFmtId="0" fontId="53" fillId="9" borderId="45" xfId="0" applyFont="1" applyFill="1" applyBorder="1" applyAlignment="1">
      <alignment horizontal="left" vertical="center" wrapText="1" indent="1"/>
    </xf>
    <xf numFmtId="0" fontId="53" fillId="9" borderId="26" xfId="0" applyFont="1" applyFill="1" applyBorder="1" applyAlignment="1">
      <alignment horizontal="left" vertical="center" wrapText="1" indent="1"/>
    </xf>
    <xf numFmtId="0" fontId="53" fillId="9" borderId="46" xfId="0" applyFont="1" applyFill="1" applyBorder="1" applyAlignment="1">
      <alignment horizontal="left" vertical="center" wrapText="1" indent="1"/>
    </xf>
    <xf numFmtId="0" fontId="53" fillId="9" borderId="47" xfId="0" applyFont="1" applyFill="1" applyBorder="1" applyAlignment="1">
      <alignment horizontal="left" vertical="center" wrapText="1" indent="1"/>
    </xf>
    <xf numFmtId="0" fontId="53" fillId="9" borderId="18" xfId="0" applyFont="1" applyFill="1" applyBorder="1" applyAlignment="1">
      <alignment horizontal="left" vertical="center" wrapText="1" indent="1"/>
    </xf>
    <xf numFmtId="0" fontId="53" fillId="9" borderId="19" xfId="0" applyFont="1" applyFill="1" applyBorder="1" applyAlignment="1">
      <alignment horizontal="left" vertical="center" wrapText="1" indent="1"/>
    </xf>
    <xf numFmtId="0" fontId="5" fillId="2" borderId="45"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46" xfId="0" applyFont="1" applyFill="1" applyBorder="1" applyAlignment="1">
      <alignment horizontal="center" vertical="center"/>
    </xf>
    <xf numFmtId="0" fontId="16" fillId="0" borderId="0" xfId="0" applyFont="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indent="1"/>
    </xf>
    <xf numFmtId="9" fontId="55" fillId="0" borderId="13" xfId="1" applyFont="1" applyBorder="1" applyAlignment="1">
      <alignment horizontal="center" vertical="center"/>
    </xf>
    <xf numFmtId="0" fontId="79" fillId="3" borderId="2" xfId="0" applyFont="1" applyFill="1" applyBorder="1" applyAlignment="1">
      <alignment horizontal="left" vertical="center" indent="1"/>
    </xf>
    <xf numFmtId="0" fontId="79" fillId="3" borderId="3" xfId="0" applyFont="1" applyFill="1" applyBorder="1" applyAlignment="1">
      <alignment horizontal="left" vertical="center" indent="1"/>
    </xf>
    <xf numFmtId="0" fontId="80" fillId="6" borderId="45" xfId="0" applyFont="1" applyFill="1" applyBorder="1" applyAlignment="1">
      <alignment horizontal="left" vertical="center" wrapText="1" indent="1"/>
    </xf>
    <xf numFmtId="0" fontId="80" fillId="6" borderId="26" xfId="0" applyFont="1" applyFill="1" applyBorder="1" applyAlignment="1">
      <alignment horizontal="left" vertical="center" wrapText="1" indent="1"/>
    </xf>
    <xf numFmtId="0" fontId="80" fillId="6" borderId="47" xfId="0" applyFont="1" applyFill="1" applyBorder="1" applyAlignment="1">
      <alignment horizontal="left" vertical="center" wrapText="1" indent="1"/>
    </xf>
    <xf numFmtId="0" fontId="80" fillId="6" borderId="18" xfId="0" applyFont="1" applyFill="1" applyBorder="1" applyAlignment="1">
      <alignment horizontal="left" vertical="center" wrapText="1" indent="1"/>
    </xf>
    <xf numFmtId="0" fontId="73" fillId="6" borderId="26" xfId="0" applyFont="1" applyFill="1" applyBorder="1" applyAlignment="1">
      <alignment horizontal="center" vertical="center"/>
    </xf>
    <xf numFmtId="0" fontId="73" fillId="6" borderId="18" xfId="0" applyFont="1" applyFill="1" applyBorder="1" applyAlignment="1">
      <alignment horizontal="center" vertical="center"/>
    </xf>
    <xf numFmtId="0" fontId="35" fillId="6" borderId="26" xfId="0" applyFont="1" applyFill="1" applyBorder="1" applyAlignment="1" applyProtection="1">
      <alignment horizontal="left" vertical="center" wrapText="1" indent="1"/>
      <protection locked="0"/>
    </xf>
    <xf numFmtId="0" fontId="35" fillId="6" borderId="46" xfId="0" applyFont="1" applyFill="1" applyBorder="1" applyAlignment="1" applyProtection="1">
      <alignment horizontal="left" vertical="center" wrapText="1" indent="1"/>
      <protection locked="0"/>
    </xf>
    <xf numFmtId="0" fontId="35" fillId="6" borderId="18" xfId="0" applyFont="1" applyFill="1" applyBorder="1" applyAlignment="1" applyProtection="1">
      <alignment horizontal="left" vertical="center" wrapText="1" indent="1"/>
      <protection locked="0"/>
    </xf>
    <xf numFmtId="0" fontId="35" fillId="6" borderId="19" xfId="0" applyFont="1" applyFill="1" applyBorder="1" applyAlignment="1" applyProtection="1">
      <alignment horizontal="left" vertical="center" wrapText="1" indent="1"/>
      <protection locked="0"/>
    </xf>
    <xf numFmtId="9" fontId="14" fillId="11" borderId="27" xfId="1" applyFont="1" applyFill="1" applyBorder="1" applyAlignment="1">
      <alignment horizontal="center" vertical="center"/>
    </xf>
    <xf numFmtId="9" fontId="14" fillId="11" borderId="13" xfId="1" applyFont="1" applyFill="1" applyBorder="1" applyAlignment="1">
      <alignment horizontal="center" vertical="center"/>
    </xf>
    <xf numFmtId="9" fontId="14" fillId="11" borderId="20" xfId="1" applyFont="1" applyFill="1" applyBorder="1" applyAlignment="1">
      <alignment horizontal="center" vertical="center"/>
    </xf>
    <xf numFmtId="0" fontId="76" fillId="11" borderId="26" xfId="0" applyFont="1" applyFill="1" applyBorder="1" applyAlignment="1">
      <alignment horizontal="center" vertical="top" wrapText="1"/>
    </xf>
    <xf numFmtId="0" fontId="76" fillId="11" borderId="18" xfId="0" applyFont="1" applyFill="1" applyBorder="1" applyAlignment="1">
      <alignment horizontal="center" vertical="top" wrapText="1"/>
    </xf>
    <xf numFmtId="0" fontId="76" fillId="11" borderId="37" xfId="0" applyFont="1" applyFill="1" applyBorder="1" applyAlignment="1">
      <alignment horizontal="center" vertical="top" wrapText="1"/>
    </xf>
    <xf numFmtId="0" fontId="26" fillId="6" borderId="26" xfId="0" applyFont="1" applyFill="1" applyBorder="1" applyAlignment="1">
      <alignment horizontal="center" vertical="top"/>
    </xf>
    <xf numFmtId="0" fontId="26" fillId="6" borderId="18" xfId="0" applyFont="1" applyFill="1" applyBorder="1" applyAlignment="1">
      <alignment horizontal="center" vertical="top"/>
    </xf>
    <xf numFmtId="0" fontId="79" fillId="6" borderId="2" xfId="0" applyFont="1" applyFill="1" applyBorder="1" applyAlignment="1">
      <alignment horizontal="left" vertical="center" indent="1"/>
    </xf>
    <xf numFmtId="0" fontId="79" fillId="6" borderId="3" xfId="0" applyFont="1" applyFill="1" applyBorder="1" applyAlignment="1">
      <alignment horizontal="left" vertical="center" indent="1"/>
    </xf>
    <xf numFmtId="0" fontId="7" fillId="6" borderId="3" xfId="0" applyFont="1" applyFill="1" applyBorder="1" applyAlignment="1" applyProtection="1">
      <alignment horizontal="left" vertical="center" wrapText="1"/>
      <protection locked="0"/>
    </xf>
    <xf numFmtId="0" fontId="7" fillId="6" borderId="4" xfId="0" applyFont="1" applyFill="1" applyBorder="1" applyAlignment="1" applyProtection="1">
      <alignment horizontal="left" vertical="center" wrapText="1"/>
      <protection locked="0"/>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49" fillId="6" borderId="26" xfId="0" applyFont="1" applyFill="1" applyBorder="1" applyAlignment="1" applyProtection="1">
      <alignment horizontal="left" vertical="top" wrapText="1"/>
      <protection locked="0"/>
    </xf>
    <xf numFmtId="0" fontId="49" fillId="6" borderId="46" xfId="0" applyFont="1" applyFill="1" applyBorder="1" applyAlignment="1" applyProtection="1">
      <alignment horizontal="left" vertical="top" wrapText="1"/>
      <protection locked="0"/>
    </xf>
    <xf numFmtId="0" fontId="49" fillId="6" borderId="18" xfId="0" applyFont="1" applyFill="1" applyBorder="1" applyAlignment="1" applyProtection="1">
      <alignment horizontal="left" vertical="top" wrapText="1"/>
      <protection locked="0"/>
    </xf>
    <xf numFmtId="0" fontId="49" fillId="6" borderId="19" xfId="0" applyFont="1" applyFill="1" applyBorder="1" applyAlignment="1" applyProtection="1">
      <alignment horizontal="left" vertical="top" wrapText="1"/>
      <protection locked="0"/>
    </xf>
    <xf numFmtId="0" fontId="79" fillId="6" borderId="45" xfId="0" applyFont="1" applyFill="1" applyBorder="1" applyAlignment="1">
      <alignment horizontal="left" vertical="top" indent="1"/>
    </xf>
    <xf numFmtId="0" fontId="79" fillId="6" borderId="26" xfId="0" applyFont="1" applyFill="1" applyBorder="1" applyAlignment="1">
      <alignment horizontal="left" vertical="top" indent="1"/>
    </xf>
    <xf numFmtId="0" fontId="79" fillId="6" borderId="47" xfId="0" applyFont="1" applyFill="1" applyBorder="1" applyAlignment="1">
      <alignment horizontal="left" vertical="top" indent="1"/>
    </xf>
    <xf numFmtId="0" fontId="79" fillId="6" borderId="18" xfId="0" applyFont="1" applyFill="1" applyBorder="1" applyAlignment="1">
      <alignment horizontal="left" vertical="top" indent="1"/>
    </xf>
    <xf numFmtId="0" fontId="36" fillId="17" borderId="9" xfId="0" applyFont="1" applyFill="1" applyBorder="1" applyAlignment="1">
      <alignment horizontal="left" vertical="center" indent="1"/>
    </xf>
    <xf numFmtId="0" fontId="36" fillId="17" borderId="10" xfId="0" applyFont="1" applyFill="1" applyBorder="1" applyAlignment="1">
      <alignment horizontal="left" vertical="center" indent="1"/>
    </xf>
    <xf numFmtId="0" fontId="36" fillId="17" borderId="11" xfId="0" applyFont="1" applyFill="1" applyBorder="1" applyAlignment="1">
      <alignment horizontal="left" vertical="center" indent="1"/>
    </xf>
    <xf numFmtId="0" fontId="36" fillId="17" borderId="12" xfId="0" applyFont="1" applyFill="1" applyBorder="1" applyAlignment="1">
      <alignment horizontal="left" vertical="center" indent="1"/>
    </xf>
    <xf numFmtId="0" fontId="36" fillId="17" borderId="0" xfId="0" applyFont="1" applyFill="1" applyAlignment="1">
      <alignment horizontal="left" vertical="center" indent="1"/>
    </xf>
    <xf numFmtId="0" fontId="36" fillId="17" borderId="14" xfId="0" applyFont="1" applyFill="1" applyBorder="1" applyAlignment="1">
      <alignment horizontal="left" vertical="center" indent="1"/>
    </xf>
    <xf numFmtId="0" fontId="15" fillId="17" borderId="9" xfId="0" applyFont="1" applyFill="1" applyBorder="1" applyAlignment="1">
      <alignment horizontal="left" vertical="center" indent="1"/>
    </xf>
    <xf numFmtId="0" fontId="15" fillId="17" borderId="10" xfId="0" applyFont="1" applyFill="1" applyBorder="1" applyAlignment="1">
      <alignment horizontal="left" vertical="center" indent="1"/>
    </xf>
    <xf numFmtId="0" fontId="15" fillId="17" borderId="11" xfId="0" applyFont="1" applyFill="1" applyBorder="1" applyAlignment="1">
      <alignment horizontal="left" vertical="center" indent="1"/>
    </xf>
    <xf numFmtId="0" fontId="15" fillId="17" borderId="12" xfId="0" applyFont="1" applyFill="1" applyBorder="1" applyAlignment="1">
      <alignment horizontal="left" vertical="center" indent="1"/>
    </xf>
    <xf numFmtId="0" fontId="15" fillId="17" borderId="0" xfId="0" applyFont="1" applyFill="1" applyAlignment="1">
      <alignment horizontal="left" vertical="center" indent="1"/>
    </xf>
    <xf numFmtId="0" fontId="15" fillId="17" borderId="14" xfId="0" applyFont="1" applyFill="1" applyBorder="1" applyAlignment="1">
      <alignment horizontal="left" vertical="center" indent="1"/>
    </xf>
    <xf numFmtId="0" fontId="35" fillId="6" borderId="3" xfId="0" applyFont="1" applyFill="1" applyBorder="1" applyAlignment="1" applyProtection="1">
      <alignment horizontal="left" vertical="center"/>
      <protection locked="0"/>
    </xf>
    <xf numFmtId="0" fontId="35" fillId="6" borderId="4" xfId="0" applyFont="1" applyFill="1" applyBorder="1" applyAlignment="1" applyProtection="1">
      <alignment horizontal="left" vertical="center"/>
      <protection locked="0"/>
    </xf>
    <xf numFmtId="0" fontId="7" fillId="6" borderId="65" xfId="0" applyFont="1" applyFill="1" applyBorder="1" applyAlignment="1" applyProtection="1">
      <alignment horizontal="left" vertical="center" wrapText="1"/>
      <protection locked="0"/>
    </xf>
    <xf numFmtId="0" fontId="35" fillId="6" borderId="26" xfId="0" applyFont="1" applyFill="1" applyBorder="1" applyAlignment="1" applyProtection="1">
      <alignment horizontal="left" vertical="top"/>
      <protection locked="0"/>
    </xf>
    <xf numFmtId="0" fontId="35" fillId="6" borderId="46" xfId="0" applyFont="1" applyFill="1" applyBorder="1" applyAlignment="1" applyProtection="1">
      <alignment horizontal="left" vertical="top"/>
      <protection locked="0"/>
    </xf>
    <xf numFmtId="0" fontId="35" fillId="6" borderId="18" xfId="0" applyFont="1" applyFill="1" applyBorder="1" applyAlignment="1" applyProtection="1">
      <alignment horizontal="left" vertical="top"/>
      <protection locked="0"/>
    </xf>
    <xf numFmtId="0" fontId="35" fillId="6" borderId="19" xfId="0" applyFont="1" applyFill="1" applyBorder="1" applyAlignment="1" applyProtection="1">
      <alignment horizontal="left" vertical="top"/>
      <protection locked="0"/>
    </xf>
    <xf numFmtId="0" fontId="26" fillId="6" borderId="59" xfId="0" applyFont="1" applyFill="1" applyBorder="1" applyAlignment="1">
      <alignment horizontal="center" vertical="center"/>
    </xf>
    <xf numFmtId="0" fontId="26" fillId="6" borderId="18" xfId="0" applyFont="1" applyFill="1" applyBorder="1" applyAlignment="1">
      <alignment horizontal="center" vertical="center"/>
    </xf>
    <xf numFmtId="0" fontId="79" fillId="6" borderId="58" xfId="0" applyFont="1" applyFill="1" applyBorder="1" applyAlignment="1">
      <alignment horizontal="left" vertical="center" indent="1"/>
    </xf>
    <xf numFmtId="0" fontId="79" fillId="6" borderId="59" xfId="0" applyFont="1" applyFill="1" applyBorder="1" applyAlignment="1">
      <alignment horizontal="left" vertical="center" indent="1"/>
    </xf>
    <xf numFmtId="0" fontId="79" fillId="6" borderId="61" xfId="0" applyFont="1" applyFill="1" applyBorder="1" applyAlignment="1">
      <alignment horizontal="left" vertical="center" indent="1"/>
    </xf>
    <xf numFmtId="0" fontId="79" fillId="6" borderId="18" xfId="0" applyFont="1" applyFill="1" applyBorder="1" applyAlignment="1">
      <alignment horizontal="left" vertical="center" indent="1"/>
    </xf>
    <xf numFmtId="0" fontId="7" fillId="6" borderId="59" xfId="0" applyFont="1" applyFill="1" applyBorder="1" applyAlignment="1" applyProtection="1">
      <alignment horizontal="left" vertical="center" wrapText="1"/>
      <protection locked="0"/>
    </xf>
    <xf numFmtId="0" fontId="7" fillId="6" borderId="60" xfId="0" applyFont="1" applyFill="1" applyBorder="1" applyAlignment="1" applyProtection="1">
      <alignment horizontal="left" vertical="center" wrapText="1"/>
      <protection locked="0"/>
    </xf>
    <xf numFmtId="0" fontId="7" fillId="6" borderId="18" xfId="0" applyFont="1" applyFill="1" applyBorder="1" applyAlignment="1" applyProtection="1">
      <alignment horizontal="left" vertical="center" wrapText="1"/>
      <protection locked="0"/>
    </xf>
    <xf numFmtId="0" fontId="7" fillId="6" borderId="62" xfId="0" applyFont="1" applyFill="1" applyBorder="1" applyAlignment="1" applyProtection="1">
      <alignment horizontal="left" vertical="center" wrapText="1"/>
      <protection locked="0"/>
    </xf>
    <xf numFmtId="0" fontId="14" fillId="0" borderId="53" xfId="0" applyFont="1" applyBorder="1" applyAlignment="1">
      <alignment horizontal="right" vertical="center" indent="1"/>
    </xf>
    <xf numFmtId="0" fontId="14" fillId="0" borderId="2" xfId="0" applyFont="1" applyBorder="1" applyAlignment="1">
      <alignment horizontal="right" vertical="center" indent="1"/>
    </xf>
    <xf numFmtId="0" fontId="7" fillId="0" borderId="33" xfId="0" applyFont="1" applyBorder="1" applyAlignment="1">
      <alignment horizontal="right" vertical="center" indent="1"/>
    </xf>
    <xf numFmtId="0" fontId="6" fillId="0" borderId="43" xfId="0" applyFont="1" applyBorder="1" applyAlignment="1">
      <alignment horizontal="right" vertical="center" indent="1"/>
    </xf>
    <xf numFmtId="0" fontId="6" fillId="0" borderId="33" xfId="0" applyFont="1" applyBorder="1" applyAlignment="1">
      <alignment horizontal="right" vertical="center" indent="1"/>
    </xf>
    <xf numFmtId="0" fontId="6" fillId="0" borderId="55" xfId="0" applyFont="1" applyBorder="1" applyAlignment="1">
      <alignment horizontal="right" vertical="center" indent="1"/>
    </xf>
    <xf numFmtId="0" fontId="6" fillId="0" borderId="56" xfId="0" applyFont="1" applyBorder="1" applyAlignment="1">
      <alignment horizontal="right" vertical="center" indent="1"/>
    </xf>
    <xf numFmtId="0" fontId="6" fillId="0" borderId="73" xfId="0" applyFont="1" applyBorder="1" applyAlignment="1">
      <alignment horizontal="right" vertical="center" indent="1"/>
    </xf>
    <xf numFmtId="0" fontId="6" fillId="0" borderId="40" xfId="0" applyFont="1" applyBorder="1" applyAlignment="1">
      <alignment horizontal="right" vertical="center" indent="1"/>
    </xf>
    <xf numFmtId="0" fontId="6" fillId="0" borderId="70" xfId="0" applyFont="1" applyBorder="1" applyAlignment="1">
      <alignment horizontal="right" vertical="center" indent="1"/>
    </xf>
    <xf numFmtId="0" fontId="13" fillId="0" borderId="55" xfId="0" applyFont="1" applyBorder="1" applyAlignment="1">
      <alignment horizontal="center" vertical="center"/>
    </xf>
    <xf numFmtId="0" fontId="13" fillId="0" borderId="73" xfId="0" applyFont="1" applyBorder="1" applyAlignment="1">
      <alignment horizontal="center" vertical="center"/>
    </xf>
    <xf numFmtId="0" fontId="13" fillId="0" borderId="53" xfId="0" applyFont="1" applyBorder="1" applyAlignment="1">
      <alignment horizontal="center" vertical="center"/>
    </xf>
    <xf numFmtId="0" fontId="13" fillId="0" borderId="2" xfId="0" applyFont="1" applyBorder="1" applyAlignment="1">
      <alignment horizontal="center" vertical="center"/>
    </xf>
    <xf numFmtId="0" fontId="12" fillId="3" borderId="75" xfId="0" applyFont="1" applyFill="1" applyBorder="1" applyAlignment="1">
      <alignment horizontal="center"/>
    </xf>
    <xf numFmtId="0" fontId="12" fillId="3" borderId="76" xfId="0" applyFont="1" applyFill="1" applyBorder="1" applyAlignment="1">
      <alignment horizontal="center"/>
    </xf>
    <xf numFmtId="0" fontId="12" fillId="3" borderId="136" xfId="0" applyFont="1" applyFill="1" applyBorder="1" applyAlignment="1">
      <alignment horizontal="center"/>
    </xf>
    <xf numFmtId="9" fontId="32" fillId="3" borderId="83" xfId="0" applyNumberFormat="1" applyFont="1" applyFill="1" applyBorder="1" applyAlignment="1">
      <alignment horizontal="center" vertical="center"/>
    </xf>
    <xf numFmtId="9" fontId="32" fillId="3" borderId="13" xfId="0" applyNumberFormat="1" applyFont="1" applyFill="1" applyBorder="1" applyAlignment="1">
      <alignment horizontal="center" vertical="center"/>
    </xf>
    <xf numFmtId="9" fontId="32" fillId="3" borderId="35" xfId="0" applyNumberFormat="1" applyFont="1" applyFill="1" applyBorder="1" applyAlignment="1">
      <alignment horizontal="center" vertical="center"/>
    </xf>
    <xf numFmtId="0" fontId="9" fillId="0" borderId="56" xfId="0" applyFont="1" applyBorder="1" applyAlignment="1">
      <alignment horizontal="right" vertical="center" indent="1"/>
    </xf>
    <xf numFmtId="0" fontId="7" fillId="0" borderId="51" xfId="0" applyFont="1" applyBorder="1" applyAlignment="1">
      <alignment horizontal="left" vertical="center" indent="1"/>
    </xf>
    <xf numFmtId="0" fontId="7" fillId="0" borderId="31" xfId="0" applyFont="1" applyBorder="1" applyAlignment="1">
      <alignment horizontal="left" vertical="center" indent="1"/>
    </xf>
    <xf numFmtId="0" fontId="7" fillId="0" borderId="69" xfId="0" applyFont="1" applyBorder="1" applyAlignment="1">
      <alignment horizontal="left" vertical="center" indent="1"/>
    </xf>
    <xf numFmtId="0" fontId="7" fillId="0" borderId="55"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12" fillId="3" borderId="77" xfId="0" applyFont="1" applyFill="1" applyBorder="1" applyAlignment="1">
      <alignment horizontal="center"/>
    </xf>
    <xf numFmtId="9" fontId="32" fillId="3" borderId="83" xfId="1" applyFont="1" applyFill="1" applyBorder="1" applyAlignment="1" applyProtection="1">
      <alignment horizontal="center" vertical="center"/>
    </xf>
    <xf numFmtId="9" fontId="32" fillId="3" borderId="13" xfId="1" applyFont="1" applyFill="1" applyBorder="1" applyAlignment="1" applyProtection="1">
      <alignment horizontal="center" vertical="center"/>
    </xf>
    <xf numFmtId="9" fontId="32" fillId="3" borderId="82" xfId="1" applyFont="1" applyFill="1" applyBorder="1" applyAlignment="1" applyProtection="1">
      <alignment horizontal="center" vertical="center"/>
    </xf>
    <xf numFmtId="9" fontId="32" fillId="3" borderId="82" xfId="0" applyNumberFormat="1" applyFont="1" applyFill="1" applyBorder="1" applyAlignment="1">
      <alignment horizontal="center" vertical="center"/>
    </xf>
    <xf numFmtId="0" fontId="7" fillId="0" borderId="24" xfId="0" applyFont="1" applyBorder="1" applyAlignment="1">
      <alignment horizontal="left" vertical="center" indent="1"/>
    </xf>
    <xf numFmtId="0" fontId="7" fillId="0" borderId="2" xfId="0" applyFont="1" applyBorder="1" applyAlignment="1">
      <alignment horizontal="left" vertical="center" indent="1"/>
    </xf>
    <xf numFmtId="0" fontId="7" fillId="0" borderId="3" xfId="0" applyFont="1" applyBorder="1" applyAlignment="1">
      <alignment horizontal="left" vertical="center" indent="1"/>
    </xf>
    <xf numFmtId="0" fontId="7" fillId="0" borderId="4" xfId="0" applyFont="1" applyBorder="1" applyAlignment="1">
      <alignment horizontal="left" vertical="center" indent="1"/>
    </xf>
    <xf numFmtId="0" fontId="7" fillId="0" borderId="56" xfId="0" applyFont="1" applyBorder="1" applyAlignment="1">
      <alignment horizontal="left" vertical="center" indent="1"/>
    </xf>
    <xf numFmtId="0" fontId="29" fillId="0" borderId="73" xfId="0" applyFont="1" applyBorder="1" applyAlignment="1">
      <alignment horizontal="left" vertical="center" indent="1"/>
    </xf>
    <xf numFmtId="0" fontId="29" fillId="0" borderId="40" xfId="0" applyFont="1" applyBorder="1" applyAlignment="1">
      <alignment horizontal="left" vertical="center" indent="1"/>
    </xf>
    <xf numFmtId="0" fontId="29" fillId="0" borderId="41" xfId="0" applyFont="1" applyBorder="1" applyAlignment="1">
      <alignment horizontal="left" vertical="center" indent="1"/>
    </xf>
    <xf numFmtId="0" fontId="7" fillId="0" borderId="73" xfId="0" applyFont="1" applyBorder="1" applyAlignment="1">
      <alignment horizontal="left" vertical="center" indent="1"/>
    </xf>
    <xf numFmtId="0" fontId="7" fillId="0" borderId="40" xfId="0" applyFont="1" applyBorder="1" applyAlignment="1">
      <alignment horizontal="left" vertical="center" indent="1"/>
    </xf>
    <xf numFmtId="0" fontId="7" fillId="0" borderId="70" xfId="0" applyFont="1" applyBorder="1" applyAlignment="1">
      <alignment horizontal="left" vertical="center" indent="1"/>
    </xf>
    <xf numFmtId="0" fontId="7" fillId="0" borderId="27" xfId="0" applyFont="1" applyBorder="1" applyAlignment="1">
      <alignment horizontal="left" vertical="center" indent="1"/>
    </xf>
    <xf numFmtId="0" fontId="7" fillId="0" borderId="45" xfId="0" applyFont="1" applyBorder="1" applyAlignment="1">
      <alignment horizontal="left" vertical="center" indent="1"/>
    </xf>
    <xf numFmtId="0" fontId="7" fillId="0" borderId="84" xfId="0" applyFont="1" applyBorder="1" applyAlignment="1">
      <alignment horizontal="left" vertical="center" indent="1"/>
    </xf>
    <xf numFmtId="0" fontId="7" fillId="0" borderId="42"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38" xfId="0" applyFont="1" applyBorder="1" applyAlignment="1">
      <alignment horizontal="center" vertical="center"/>
    </xf>
    <xf numFmtId="0" fontId="7" fillId="0" borderId="49" xfId="0" applyFont="1" applyBorder="1" applyAlignment="1">
      <alignment horizontal="center" vertical="center"/>
    </xf>
    <xf numFmtId="0" fontId="7" fillId="0" borderId="52" xfId="0" applyFont="1" applyBorder="1" applyAlignment="1">
      <alignment horizontal="center" vertical="center"/>
    </xf>
    <xf numFmtId="0" fontId="7" fillId="0" borderId="32" xfId="0" applyFont="1" applyBorder="1" applyAlignment="1">
      <alignment horizontal="center" vertical="center"/>
    </xf>
    <xf numFmtId="0" fontId="9" fillId="0" borderId="56" xfId="0" applyFont="1" applyBorder="1" applyAlignment="1">
      <alignment horizontal="left" vertical="top" wrapText="1" indent="1"/>
    </xf>
    <xf numFmtId="0" fontId="9" fillId="0" borderId="73" xfId="0" applyFont="1" applyBorder="1" applyAlignment="1">
      <alignment horizontal="left" vertical="top" wrapText="1" indent="1"/>
    </xf>
    <xf numFmtId="0" fontId="9" fillId="0" borderId="66" xfId="0" applyFont="1" applyBorder="1" applyAlignment="1">
      <alignment horizontal="left" vertical="top" wrapText="1" indent="1"/>
    </xf>
    <xf numFmtId="0" fontId="9" fillId="0" borderId="24" xfId="0" applyFont="1" applyBorder="1" applyAlignment="1">
      <alignment horizontal="left" vertical="top" wrapText="1" indent="1"/>
    </xf>
    <xf numFmtId="0" fontId="9" fillId="0" borderId="2" xfId="0" applyFont="1" applyBorder="1" applyAlignment="1">
      <alignment horizontal="left" vertical="top" wrapText="1" indent="1"/>
    </xf>
    <xf numFmtId="0" fontId="9" fillId="0" borderId="67" xfId="0" applyFont="1" applyBorder="1" applyAlignment="1">
      <alignment horizontal="left" vertical="top" wrapText="1" indent="1"/>
    </xf>
    <xf numFmtId="0" fontId="7" fillId="0" borderId="47" xfId="0" applyFont="1" applyBorder="1" applyAlignment="1">
      <alignment horizontal="center" vertical="center"/>
    </xf>
    <xf numFmtId="0" fontId="7" fillId="0" borderId="43" xfId="0" applyFont="1" applyBorder="1" applyAlignment="1">
      <alignment horizontal="center" vertical="center"/>
    </xf>
    <xf numFmtId="0" fontId="7" fillId="0" borderId="33" xfId="0" applyFont="1" applyBorder="1" applyAlignment="1">
      <alignment horizontal="center" vertical="center"/>
    </xf>
    <xf numFmtId="0" fontId="7" fillId="0" borderId="51" xfId="0" applyFont="1" applyBorder="1" applyAlignment="1">
      <alignment horizontal="center" vertical="center"/>
    </xf>
    <xf numFmtId="0" fontId="7" fillId="0" borderId="2" xfId="0" applyFont="1" applyBorder="1" applyAlignment="1">
      <alignment horizontal="left" vertical="top" indent="1"/>
    </xf>
    <xf numFmtId="0" fontId="7" fillId="0" borderId="3" xfId="0" applyFont="1" applyBorder="1" applyAlignment="1">
      <alignment horizontal="left" vertical="top" indent="1"/>
    </xf>
    <xf numFmtId="0" fontId="7" fillId="0" borderId="51" xfId="0" applyFont="1" applyBorder="1" applyAlignment="1">
      <alignment horizontal="left" vertical="top" indent="1"/>
    </xf>
    <xf numFmtId="0" fontId="7" fillId="0" borderId="31" xfId="0" applyFont="1" applyBorder="1" applyAlignment="1">
      <alignment horizontal="left" vertical="top" indent="1"/>
    </xf>
    <xf numFmtId="0" fontId="66" fillId="0" borderId="75" xfId="0" applyFont="1" applyBorder="1" applyAlignment="1">
      <alignment horizontal="right" vertical="top" indent="1"/>
    </xf>
    <xf numFmtId="0" fontId="66" fillId="0" borderId="42" xfId="0" applyFont="1" applyBorder="1" applyAlignment="1">
      <alignment horizontal="right" vertical="top" indent="1"/>
    </xf>
    <xf numFmtId="0" fontId="7" fillId="0" borderId="44" xfId="0" applyFont="1" applyBorder="1" applyAlignment="1">
      <alignment horizontal="center" vertical="center"/>
    </xf>
    <xf numFmtId="0" fontId="7" fillId="0" borderId="57" xfId="0" applyFont="1" applyBorder="1" applyAlignment="1">
      <alignment horizontal="center" vertical="center"/>
    </xf>
    <xf numFmtId="0" fontId="14" fillId="5" borderId="24" xfId="0" applyFont="1" applyFill="1" applyBorder="1" applyAlignment="1">
      <alignment horizontal="center" vertical="center"/>
    </xf>
    <xf numFmtId="0" fontId="7" fillId="0" borderId="33" xfId="0" applyFont="1" applyBorder="1" applyAlignment="1">
      <alignment horizontal="center" vertical="center" wrapText="1"/>
    </xf>
    <xf numFmtId="0" fontId="7" fillId="0" borderId="45"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cellXfs>
  <cellStyles count="3">
    <cellStyle name="Normal" xfId="0" builtinId="0"/>
    <cellStyle name="Normal 2" xfId="2" xr:uid="{00000000-0005-0000-0000-000002000000}"/>
    <cellStyle name="Percent" xfId="1" builtinId="5"/>
  </cellStyles>
  <dxfs count="78">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theme="5"/>
      </font>
    </dxf>
    <dxf>
      <font>
        <b/>
        <i val="0"/>
        <color theme="5"/>
      </font>
      <fill>
        <patternFill patternType="none">
          <bgColor auto="1"/>
        </patternFill>
      </fill>
    </dxf>
    <dxf>
      <font>
        <b/>
        <i val="0"/>
        <color auto="1"/>
      </font>
      <fill>
        <patternFill>
          <bgColor theme="5" tint="0.79998168889431442"/>
        </patternFill>
      </fill>
    </dxf>
    <dxf>
      <font>
        <b/>
        <i val="0"/>
        <color theme="2"/>
      </font>
      <fill>
        <patternFill>
          <bgColor theme="2"/>
        </patternFill>
      </fill>
    </dxf>
    <dxf>
      <font>
        <b/>
        <i val="0"/>
        <color theme="2"/>
      </font>
      <fill>
        <patternFill>
          <bgColor theme="2"/>
        </patternFill>
      </fill>
    </dxf>
    <dxf>
      <font>
        <b/>
        <i val="0"/>
        <color theme="2"/>
      </font>
      <fill>
        <patternFill>
          <bgColor theme="2"/>
        </patternFill>
      </fill>
    </dxf>
    <dxf>
      <font>
        <b/>
        <i val="0"/>
        <color theme="2"/>
      </font>
      <fill>
        <patternFill>
          <bgColor theme="2"/>
        </patternFill>
      </fill>
    </dxf>
    <dxf>
      <font>
        <b/>
        <i val="0"/>
        <color rgb="FF008000"/>
      </font>
    </dxf>
    <dxf>
      <font>
        <b/>
        <i val="0"/>
        <color rgb="FF0046D2"/>
      </font>
    </dxf>
    <dxf>
      <font>
        <b/>
        <i val="0"/>
        <color rgb="FF008000"/>
      </font>
    </dxf>
    <dxf>
      <font>
        <b/>
        <i val="0"/>
        <color rgb="FF0046D2"/>
      </font>
    </dxf>
    <dxf>
      <font>
        <b/>
        <i val="0"/>
        <color theme="5"/>
      </font>
    </dxf>
    <dxf>
      <font>
        <color theme="1"/>
      </font>
      <fill>
        <patternFill>
          <bgColor theme="0"/>
        </patternFill>
      </fill>
    </dxf>
    <dxf>
      <font>
        <color theme="2" tint="-0.24994659260841701"/>
      </font>
      <fill>
        <patternFill>
          <bgColor theme="0" tint="-0.14996795556505021"/>
        </patternFill>
      </fill>
    </dxf>
  </dxfs>
  <tableStyles count="0" defaultTableStyle="TableStyleMedium2" defaultPivotStyle="PivotStyleLight16"/>
  <colors>
    <mruColors>
      <color rgb="FF0046D2"/>
      <color rgb="FFCCCCFF"/>
      <color rgb="FF008000"/>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59</xdr:row>
      <xdr:rowOff>1</xdr:rowOff>
    </xdr:from>
    <xdr:to>
      <xdr:col>26</xdr:col>
      <xdr:colOff>8212</xdr:colOff>
      <xdr:row>66</xdr:row>
      <xdr:rowOff>13922</xdr:rowOff>
    </xdr:to>
    <xdr:pic>
      <xdr:nvPicPr>
        <xdr:cNvPr id="6" name="Picture 5">
          <a:extLst>
            <a:ext uri="{FF2B5EF4-FFF2-40B4-BE49-F238E27FC236}">
              <a16:creationId xmlns:a16="http://schemas.microsoft.com/office/drawing/2014/main" id="{7AD40C41-FE22-46E3-ABAB-3B51076933D6}"/>
            </a:ext>
          </a:extLst>
        </xdr:cNvPr>
        <xdr:cNvPicPr>
          <a:picLocks noChangeAspect="1"/>
        </xdr:cNvPicPr>
      </xdr:nvPicPr>
      <xdr:blipFill>
        <a:blip xmlns:r="http://schemas.openxmlformats.org/officeDocument/2006/relationships" r:embed="rId1"/>
        <a:stretch>
          <a:fillRect/>
        </a:stretch>
      </xdr:blipFill>
      <xdr:spPr>
        <a:xfrm>
          <a:off x="492673" y="12136165"/>
          <a:ext cx="9089806" cy="1508360"/>
        </a:xfrm>
        <a:prstGeom prst="rect">
          <a:avLst/>
        </a:prstGeom>
      </xdr:spPr>
    </xdr:pic>
    <xdr:clientData/>
  </xdr:twoCellAnchor>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a:extLst>
            <a:ext uri="{FF2B5EF4-FFF2-40B4-BE49-F238E27FC236}">
              <a16:creationId xmlns:a16="http://schemas.microsoft.com/office/drawing/2014/main" id="{E692956D-0F5B-AFCD-292F-C2A8D2721D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2028" y="1946058"/>
          <a:ext cx="656897" cy="6568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1269856</xdr:colOff>
      <xdr:row>0</xdr:row>
      <xdr:rowOff>173629</xdr:rowOff>
    </xdr:from>
    <xdr:to>
      <xdr:col>20</xdr:col>
      <xdr:colOff>20902</xdr:colOff>
      <xdr:row>3</xdr:row>
      <xdr:rowOff>166549</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absolute">
    <xdr:from>
      <xdr:col>0</xdr:col>
      <xdr:colOff>220980</xdr:colOff>
      <xdr:row>54</xdr:row>
      <xdr:rowOff>72389</xdr:rowOff>
    </xdr:from>
    <xdr:to>
      <xdr:col>2</xdr:col>
      <xdr:colOff>662940</xdr:colOff>
      <xdr:row>59</xdr:row>
      <xdr:rowOff>43814</xdr:rowOff>
    </xdr:to>
    <xdr:pic>
      <xdr:nvPicPr>
        <xdr:cNvPr id="2" name="Graphic 1" descr="Comment Important with solid fill">
          <a:extLst>
            <a:ext uri="{FF2B5EF4-FFF2-40B4-BE49-F238E27FC236}">
              <a16:creationId xmlns:a16="http://schemas.microsoft.com/office/drawing/2014/main" id="{1537533B-1585-4DCC-9BFD-119A0884AD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 y="10206989"/>
          <a:ext cx="944880" cy="847725"/>
        </a:xfrm>
        <a:prstGeom prst="rect">
          <a:avLst/>
        </a:prstGeom>
      </xdr:spPr>
    </xdr:pic>
    <xdr:clientData/>
  </xdr:twoCellAnchor>
  <xdr:twoCellAnchor editAs="absolute">
    <xdr:from>
      <xdr:col>1</xdr:col>
      <xdr:colOff>7150</xdr:colOff>
      <xdr:row>1</xdr:row>
      <xdr:rowOff>0</xdr:rowOff>
    </xdr:from>
    <xdr:to>
      <xdr:col>2</xdr:col>
      <xdr:colOff>540540</xdr:colOff>
      <xdr:row>4</xdr:row>
      <xdr:rowOff>90960</xdr:rowOff>
    </xdr:to>
    <xdr:pic>
      <xdr:nvPicPr>
        <xdr:cNvPr id="5" name="Picture 4">
          <a:extLst>
            <a:ext uri="{FF2B5EF4-FFF2-40B4-BE49-F238E27FC236}">
              <a16:creationId xmlns:a16="http://schemas.microsoft.com/office/drawing/2014/main" id="{4364870D-C6DD-47BC-8B78-47EEC86A4F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460" y="190500"/>
          <a:ext cx="792000" cy="79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6" name="Picture 5">
          <a:extLst>
            <a:ext uri="{FF2B5EF4-FFF2-40B4-BE49-F238E27FC236}">
              <a16:creationId xmlns:a16="http://schemas.microsoft.com/office/drawing/2014/main" id="{A6CADF59-82EF-4E2B-AEF3-E5DC45AD8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20750" y="208358"/>
          <a:ext cx="1971826" cy="102552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7" name="Picture 6">
          <a:extLst>
            <a:ext uri="{FF2B5EF4-FFF2-40B4-BE49-F238E27FC236}">
              <a16:creationId xmlns:a16="http://schemas.microsoft.com/office/drawing/2014/main" id="{069BED24-7A4C-C834-206B-B0C988496F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012" y="179294"/>
          <a:ext cx="1260000" cy="1260000"/>
        </a:xfrm>
        <a:prstGeom prst="rect">
          <a:avLst/>
        </a:prstGeom>
      </xdr:spPr>
    </xdr:pic>
    <xdr:clientData/>
  </xdr:twoCellAnchor>
  <xdr:twoCellAnchor>
    <xdr:from>
      <xdr:col>3</xdr:col>
      <xdr:colOff>0</xdr:colOff>
      <xdr:row>118</xdr:row>
      <xdr:rowOff>9</xdr:rowOff>
    </xdr:from>
    <xdr:to>
      <xdr:col>7</xdr:col>
      <xdr:colOff>237369</xdr:colOff>
      <xdr:row>118</xdr:row>
      <xdr:rowOff>306924</xdr:rowOff>
    </xdr:to>
    <xdr:sp macro="" textlink="">
      <xdr:nvSpPr>
        <xdr:cNvPr id="12" name="TextBox 11">
          <a:extLst>
            <a:ext uri="{FF2B5EF4-FFF2-40B4-BE49-F238E27FC236}">
              <a16:creationId xmlns:a16="http://schemas.microsoft.com/office/drawing/2014/main" id="{CE599F6D-42CE-4007-A3BD-DBCA366BFE1B}"/>
            </a:ext>
          </a:extLst>
        </xdr:cNvPr>
        <xdr:cNvSpPr txBox="1"/>
      </xdr:nvSpPr>
      <xdr:spPr>
        <a:xfrm>
          <a:off x="3066143" y="8400152"/>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PREPARED BY:</a:t>
          </a:r>
        </a:p>
      </xdr:txBody>
    </xdr:sp>
    <xdr:clientData/>
  </xdr:twoCellAnchor>
  <xdr:twoCellAnchor>
    <xdr:from>
      <xdr:col>3</xdr:col>
      <xdr:colOff>275167</xdr:colOff>
      <xdr:row>118</xdr:row>
      <xdr:rowOff>306921</xdr:rowOff>
    </xdr:from>
    <xdr:to>
      <xdr:col>11</xdr:col>
      <xdr:colOff>173114</xdr:colOff>
      <xdr:row>118</xdr:row>
      <xdr:rowOff>740839</xdr:rowOff>
    </xdr:to>
    <xdr:sp macro="" textlink="">
      <xdr:nvSpPr>
        <xdr:cNvPr id="13" name="TextBox 12">
          <a:extLst>
            <a:ext uri="{FF2B5EF4-FFF2-40B4-BE49-F238E27FC236}">
              <a16:creationId xmlns:a16="http://schemas.microsoft.com/office/drawing/2014/main" id="{ABBC8C77-733F-486E-BF89-0A8A7C3A8838}"/>
            </a:ext>
          </a:extLst>
        </xdr:cNvPr>
        <xdr:cNvSpPr txBox="1"/>
      </xdr:nvSpPr>
      <xdr:spPr>
        <a:xfrm>
          <a:off x="3341310" y="8707064"/>
          <a:ext cx="2365375" cy="43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KAREN P. GONZAGA LPT, MAED</a:t>
          </a:r>
        </a:p>
        <a:p>
          <a:pPr algn="ctr"/>
          <a:r>
            <a:rPr lang="en-US" sz="1100" b="0">
              <a:ln>
                <a:noFill/>
              </a:ln>
              <a:latin typeface="Arial Narrow" panose="020B0606020202030204" pitchFamily="34" charset="0"/>
            </a:rPr>
            <a:t>Teacher I</a:t>
          </a:r>
        </a:p>
      </xdr:txBody>
    </xdr:sp>
    <xdr:clientData/>
  </xdr:twoCellAnchor>
  <xdr:twoCellAnchor>
    <xdr:from>
      <xdr:col>17</xdr:col>
      <xdr:colOff>262319</xdr:colOff>
      <xdr:row>118</xdr:row>
      <xdr:rowOff>5291</xdr:rowOff>
    </xdr:from>
    <xdr:to>
      <xdr:col>22</xdr:col>
      <xdr:colOff>191259</xdr:colOff>
      <xdr:row>118</xdr:row>
      <xdr:rowOff>312206</xdr:rowOff>
    </xdr:to>
    <xdr:sp macro="" textlink="">
      <xdr:nvSpPr>
        <xdr:cNvPr id="14" name="TextBox 13">
          <a:extLst>
            <a:ext uri="{FF2B5EF4-FFF2-40B4-BE49-F238E27FC236}">
              <a16:creationId xmlns:a16="http://schemas.microsoft.com/office/drawing/2014/main" id="{5818E387-1395-4FEE-A666-AF251D9639F7}"/>
            </a:ext>
          </a:extLst>
        </xdr:cNvPr>
        <xdr:cNvSpPr txBox="1"/>
      </xdr:nvSpPr>
      <xdr:spPr>
        <a:xfrm>
          <a:off x="8109105" y="8405434"/>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CHECKED BY:</a:t>
          </a:r>
        </a:p>
      </xdr:txBody>
    </xdr:sp>
    <xdr:clientData/>
  </xdr:twoCellAnchor>
  <xdr:twoCellAnchor>
    <xdr:from>
      <xdr:col>18</xdr:col>
      <xdr:colOff>229059</xdr:colOff>
      <xdr:row>118</xdr:row>
      <xdr:rowOff>328090</xdr:rowOff>
    </xdr:from>
    <xdr:to>
      <xdr:col>25</xdr:col>
      <xdr:colOff>207891</xdr:colOff>
      <xdr:row>118</xdr:row>
      <xdr:rowOff>825499</xdr:rowOff>
    </xdr:to>
    <xdr:sp macro="" textlink="">
      <xdr:nvSpPr>
        <xdr:cNvPr id="15" name="TextBox 14">
          <a:extLst>
            <a:ext uri="{FF2B5EF4-FFF2-40B4-BE49-F238E27FC236}">
              <a16:creationId xmlns:a16="http://schemas.microsoft.com/office/drawing/2014/main" id="{84A046C6-170D-4CE8-BE82-85B9F1462BBF}"/>
            </a:ext>
          </a:extLst>
        </xdr:cNvPr>
        <xdr:cNvSpPr txBox="1"/>
      </xdr:nvSpPr>
      <xdr:spPr>
        <a:xfrm>
          <a:off x="8384273" y="8456090"/>
          <a:ext cx="2137832" cy="49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BRYAN ANTHONY O. SARIO</a:t>
          </a: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Head Teacher II</a:t>
          </a:r>
        </a:p>
      </xdr:txBody>
    </xdr:sp>
    <xdr:clientData/>
  </xdr:twoCellAnchor>
  <xdr:twoCellAnchor>
    <xdr:from>
      <xdr:col>34</xdr:col>
      <xdr:colOff>253995</xdr:colOff>
      <xdr:row>118</xdr:row>
      <xdr:rowOff>0</xdr:rowOff>
    </xdr:from>
    <xdr:to>
      <xdr:col>37</xdr:col>
      <xdr:colOff>337150</xdr:colOff>
      <xdr:row>118</xdr:row>
      <xdr:rowOff>306915</xdr:rowOff>
    </xdr:to>
    <xdr:sp macro="" textlink="">
      <xdr:nvSpPr>
        <xdr:cNvPr id="16" name="TextBox 15">
          <a:extLst>
            <a:ext uri="{FF2B5EF4-FFF2-40B4-BE49-F238E27FC236}">
              <a16:creationId xmlns:a16="http://schemas.microsoft.com/office/drawing/2014/main" id="{7FA76023-0BB6-4743-AFEF-878A81E26181}"/>
            </a:ext>
          </a:extLst>
        </xdr:cNvPr>
        <xdr:cNvSpPr txBox="1"/>
      </xdr:nvSpPr>
      <xdr:spPr>
        <a:xfrm>
          <a:off x="14115138" y="8400143"/>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NOTED BY:</a:t>
          </a:r>
        </a:p>
      </xdr:txBody>
    </xdr:sp>
    <xdr:clientData/>
  </xdr:twoCellAnchor>
  <xdr:twoCellAnchor>
    <xdr:from>
      <xdr:col>35</xdr:col>
      <xdr:colOff>66520</xdr:colOff>
      <xdr:row>118</xdr:row>
      <xdr:rowOff>322802</xdr:rowOff>
    </xdr:from>
    <xdr:to>
      <xdr:col>39</xdr:col>
      <xdr:colOff>63495</xdr:colOff>
      <xdr:row>119</xdr:row>
      <xdr:rowOff>0</xdr:rowOff>
    </xdr:to>
    <xdr:sp macro="" textlink="">
      <xdr:nvSpPr>
        <xdr:cNvPr id="17" name="TextBox 16">
          <a:extLst>
            <a:ext uri="{FF2B5EF4-FFF2-40B4-BE49-F238E27FC236}">
              <a16:creationId xmlns:a16="http://schemas.microsoft.com/office/drawing/2014/main" id="{89A30B3F-8A75-4133-ADFA-8B771F45086B}"/>
            </a:ext>
          </a:extLst>
        </xdr:cNvPr>
        <xdr:cNvSpPr txBox="1"/>
      </xdr:nvSpPr>
      <xdr:spPr>
        <a:xfrm>
          <a:off x="14390306" y="8450802"/>
          <a:ext cx="2137832" cy="529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SUSAN D. SAMSON</a:t>
          </a: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Principal I</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E4237472-A922-49B6-8BAA-49A7F30C0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31ACB848-7B94-4C79-B987-047E84DEE8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twoCellAnchor>
    <xdr:from>
      <xdr:col>3</xdr:col>
      <xdr:colOff>0</xdr:colOff>
      <xdr:row>118</xdr:row>
      <xdr:rowOff>9</xdr:rowOff>
    </xdr:from>
    <xdr:to>
      <xdr:col>7</xdr:col>
      <xdr:colOff>245907</xdr:colOff>
      <xdr:row>118</xdr:row>
      <xdr:rowOff>306924</xdr:rowOff>
    </xdr:to>
    <xdr:sp macro="" textlink="">
      <xdr:nvSpPr>
        <xdr:cNvPr id="4" name="TextBox 3">
          <a:extLst>
            <a:ext uri="{FF2B5EF4-FFF2-40B4-BE49-F238E27FC236}">
              <a16:creationId xmlns:a16="http://schemas.microsoft.com/office/drawing/2014/main" id="{72603531-23CF-40E2-8E8D-233B60140040}"/>
            </a:ext>
          </a:extLst>
        </xdr:cNvPr>
        <xdr:cNvSpPr txBox="1"/>
      </xdr:nvSpPr>
      <xdr:spPr>
        <a:xfrm>
          <a:off x="3070412" y="8247538"/>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PREPARED BY:</a:t>
          </a:r>
        </a:p>
      </xdr:txBody>
    </xdr:sp>
    <xdr:clientData/>
  </xdr:twoCellAnchor>
  <xdr:twoCellAnchor>
    <xdr:from>
      <xdr:col>3</xdr:col>
      <xdr:colOff>275167</xdr:colOff>
      <xdr:row>118</xdr:row>
      <xdr:rowOff>306921</xdr:rowOff>
    </xdr:from>
    <xdr:to>
      <xdr:col>11</xdr:col>
      <xdr:colOff>190189</xdr:colOff>
      <xdr:row>1048576</xdr:row>
      <xdr:rowOff>83427</xdr:rowOff>
    </xdr:to>
    <xdr:sp macro="" textlink="">
      <xdr:nvSpPr>
        <xdr:cNvPr id="5" name="TextBox 4">
          <a:extLst>
            <a:ext uri="{FF2B5EF4-FFF2-40B4-BE49-F238E27FC236}">
              <a16:creationId xmlns:a16="http://schemas.microsoft.com/office/drawing/2014/main" id="{9133C94A-B955-4161-9906-64026F94E7C3}"/>
            </a:ext>
          </a:extLst>
        </xdr:cNvPr>
        <xdr:cNvSpPr txBox="1"/>
      </xdr:nvSpPr>
      <xdr:spPr>
        <a:xfrm>
          <a:off x="3345579" y="8554450"/>
          <a:ext cx="2365375" cy="43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KAREN P. GONZAGA LPT, MAED</a:t>
          </a:r>
        </a:p>
        <a:p>
          <a:pPr algn="ctr"/>
          <a:r>
            <a:rPr lang="en-US" sz="1100" b="0">
              <a:ln>
                <a:noFill/>
              </a:ln>
              <a:latin typeface="Arial Narrow" panose="020B0606020202030204" pitchFamily="34" charset="0"/>
            </a:rPr>
            <a:t>Teacher I</a:t>
          </a:r>
        </a:p>
      </xdr:txBody>
    </xdr:sp>
    <xdr:clientData/>
  </xdr:twoCellAnchor>
  <xdr:twoCellAnchor>
    <xdr:from>
      <xdr:col>17</xdr:col>
      <xdr:colOff>284198</xdr:colOff>
      <xdr:row>118</xdr:row>
      <xdr:rowOff>5291</xdr:rowOff>
    </xdr:from>
    <xdr:to>
      <xdr:col>22</xdr:col>
      <xdr:colOff>223810</xdr:colOff>
      <xdr:row>118</xdr:row>
      <xdr:rowOff>312206</xdr:rowOff>
    </xdr:to>
    <xdr:sp macro="" textlink="">
      <xdr:nvSpPr>
        <xdr:cNvPr id="6" name="TextBox 5">
          <a:extLst>
            <a:ext uri="{FF2B5EF4-FFF2-40B4-BE49-F238E27FC236}">
              <a16:creationId xmlns:a16="http://schemas.microsoft.com/office/drawing/2014/main" id="{EE1CC7E7-A18C-442D-9BD5-8CDA756C3E98}"/>
            </a:ext>
          </a:extLst>
        </xdr:cNvPr>
        <xdr:cNvSpPr txBox="1"/>
      </xdr:nvSpPr>
      <xdr:spPr>
        <a:xfrm>
          <a:off x="8113374" y="8252820"/>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CHECKED BY:</a:t>
          </a:r>
        </a:p>
      </xdr:txBody>
    </xdr:sp>
    <xdr:clientData/>
  </xdr:twoCellAnchor>
  <xdr:twoCellAnchor>
    <xdr:from>
      <xdr:col>18</xdr:col>
      <xdr:colOff>253071</xdr:colOff>
      <xdr:row>118</xdr:row>
      <xdr:rowOff>328090</xdr:rowOff>
    </xdr:from>
    <xdr:to>
      <xdr:col>25</xdr:col>
      <xdr:colOff>246845</xdr:colOff>
      <xdr:row>1048576</xdr:row>
      <xdr:rowOff>168087</xdr:rowOff>
    </xdr:to>
    <xdr:sp macro="" textlink="">
      <xdr:nvSpPr>
        <xdr:cNvPr id="7" name="TextBox 6">
          <a:extLst>
            <a:ext uri="{FF2B5EF4-FFF2-40B4-BE49-F238E27FC236}">
              <a16:creationId xmlns:a16="http://schemas.microsoft.com/office/drawing/2014/main" id="{6D772BFC-3AE4-4546-9986-A98ED701CC4E}"/>
            </a:ext>
          </a:extLst>
        </xdr:cNvPr>
        <xdr:cNvSpPr txBox="1"/>
      </xdr:nvSpPr>
      <xdr:spPr>
        <a:xfrm>
          <a:off x="8388542" y="8575619"/>
          <a:ext cx="2137832" cy="49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BRYAN ANTHONY O. SARIO</a:t>
          </a: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Head Teacher II</a:t>
          </a:r>
        </a:p>
      </xdr:txBody>
    </xdr:sp>
    <xdr:clientData/>
  </xdr:twoCellAnchor>
  <xdr:twoCellAnchor>
    <xdr:from>
      <xdr:col>30</xdr:col>
      <xdr:colOff>149402</xdr:colOff>
      <xdr:row>118</xdr:row>
      <xdr:rowOff>0</xdr:rowOff>
    </xdr:from>
    <xdr:to>
      <xdr:col>34</xdr:col>
      <xdr:colOff>81544</xdr:colOff>
      <xdr:row>118</xdr:row>
      <xdr:rowOff>306915</xdr:rowOff>
    </xdr:to>
    <xdr:sp macro="" textlink="">
      <xdr:nvSpPr>
        <xdr:cNvPr id="8" name="TextBox 7">
          <a:extLst>
            <a:ext uri="{FF2B5EF4-FFF2-40B4-BE49-F238E27FC236}">
              <a16:creationId xmlns:a16="http://schemas.microsoft.com/office/drawing/2014/main" id="{23118BD5-4EAA-48CD-89F5-CD3664E66407}"/>
            </a:ext>
          </a:extLst>
        </xdr:cNvPr>
        <xdr:cNvSpPr txBox="1"/>
      </xdr:nvSpPr>
      <xdr:spPr>
        <a:xfrm>
          <a:off x="12431049" y="8247529"/>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NOTED BY:</a:t>
          </a:r>
        </a:p>
      </xdr:txBody>
    </xdr:sp>
    <xdr:clientData/>
  </xdr:twoCellAnchor>
  <xdr:twoCellAnchor>
    <xdr:from>
      <xdr:col>31</xdr:col>
      <xdr:colOff>118276</xdr:colOff>
      <xdr:row>118</xdr:row>
      <xdr:rowOff>255252</xdr:rowOff>
    </xdr:from>
    <xdr:to>
      <xdr:col>36</xdr:col>
      <xdr:colOff>97108</xdr:colOff>
      <xdr:row>119</xdr:row>
      <xdr:rowOff>0</xdr:rowOff>
    </xdr:to>
    <xdr:sp macro="" textlink="">
      <xdr:nvSpPr>
        <xdr:cNvPr id="9" name="TextBox 8">
          <a:extLst>
            <a:ext uri="{FF2B5EF4-FFF2-40B4-BE49-F238E27FC236}">
              <a16:creationId xmlns:a16="http://schemas.microsoft.com/office/drawing/2014/main" id="{B391462D-49A7-441C-AB52-95B46BFA1509}"/>
            </a:ext>
          </a:extLst>
        </xdr:cNvPr>
        <xdr:cNvSpPr txBox="1"/>
      </xdr:nvSpPr>
      <xdr:spPr>
        <a:xfrm>
          <a:off x="12706217" y="8502781"/>
          <a:ext cx="2137832" cy="402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SUSAN D. SAMSON</a:t>
          </a: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Principal I</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0F659DB8-E9A8-4607-BCCB-F5769F3A2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1C8F670A-9BE1-4F6D-9EA6-7DF46227C9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twoCellAnchor>
    <xdr:from>
      <xdr:col>3</xdr:col>
      <xdr:colOff>0</xdr:colOff>
      <xdr:row>118</xdr:row>
      <xdr:rowOff>9</xdr:rowOff>
    </xdr:from>
    <xdr:to>
      <xdr:col>7</xdr:col>
      <xdr:colOff>245907</xdr:colOff>
      <xdr:row>118</xdr:row>
      <xdr:rowOff>306924</xdr:rowOff>
    </xdr:to>
    <xdr:sp macro="" textlink="">
      <xdr:nvSpPr>
        <xdr:cNvPr id="4" name="TextBox 3">
          <a:extLst>
            <a:ext uri="{FF2B5EF4-FFF2-40B4-BE49-F238E27FC236}">
              <a16:creationId xmlns:a16="http://schemas.microsoft.com/office/drawing/2014/main" id="{2A8E8490-C51B-4419-93C7-A0605CB1E57F}"/>
            </a:ext>
          </a:extLst>
        </xdr:cNvPr>
        <xdr:cNvSpPr txBox="1"/>
      </xdr:nvSpPr>
      <xdr:spPr>
        <a:xfrm>
          <a:off x="3070412" y="8247538"/>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PREPARED BY:</a:t>
          </a:r>
        </a:p>
      </xdr:txBody>
    </xdr:sp>
    <xdr:clientData/>
  </xdr:twoCellAnchor>
  <xdr:twoCellAnchor>
    <xdr:from>
      <xdr:col>3</xdr:col>
      <xdr:colOff>275167</xdr:colOff>
      <xdr:row>118</xdr:row>
      <xdr:rowOff>306921</xdr:rowOff>
    </xdr:from>
    <xdr:to>
      <xdr:col>11</xdr:col>
      <xdr:colOff>190189</xdr:colOff>
      <xdr:row>1048576</xdr:row>
      <xdr:rowOff>83427</xdr:rowOff>
    </xdr:to>
    <xdr:sp macro="" textlink="">
      <xdr:nvSpPr>
        <xdr:cNvPr id="5" name="TextBox 4">
          <a:extLst>
            <a:ext uri="{FF2B5EF4-FFF2-40B4-BE49-F238E27FC236}">
              <a16:creationId xmlns:a16="http://schemas.microsoft.com/office/drawing/2014/main" id="{A7C3EC25-D725-4A03-B698-C8F5FED5B263}"/>
            </a:ext>
          </a:extLst>
        </xdr:cNvPr>
        <xdr:cNvSpPr txBox="1"/>
      </xdr:nvSpPr>
      <xdr:spPr>
        <a:xfrm>
          <a:off x="3345579" y="8554450"/>
          <a:ext cx="2365375" cy="43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KAREN P. GONZAGA LPT, MAED</a:t>
          </a:r>
        </a:p>
        <a:p>
          <a:pPr algn="ctr"/>
          <a:r>
            <a:rPr lang="en-US" sz="1100" b="0">
              <a:ln>
                <a:noFill/>
              </a:ln>
              <a:latin typeface="Arial Narrow" panose="020B0606020202030204" pitchFamily="34" charset="0"/>
            </a:rPr>
            <a:t>Teacher I</a:t>
          </a:r>
        </a:p>
      </xdr:txBody>
    </xdr:sp>
    <xdr:clientData/>
  </xdr:twoCellAnchor>
  <xdr:twoCellAnchor>
    <xdr:from>
      <xdr:col>17</xdr:col>
      <xdr:colOff>284198</xdr:colOff>
      <xdr:row>118</xdr:row>
      <xdr:rowOff>5291</xdr:rowOff>
    </xdr:from>
    <xdr:to>
      <xdr:col>22</xdr:col>
      <xdr:colOff>223810</xdr:colOff>
      <xdr:row>118</xdr:row>
      <xdr:rowOff>312206</xdr:rowOff>
    </xdr:to>
    <xdr:sp macro="" textlink="">
      <xdr:nvSpPr>
        <xdr:cNvPr id="6" name="TextBox 5">
          <a:extLst>
            <a:ext uri="{FF2B5EF4-FFF2-40B4-BE49-F238E27FC236}">
              <a16:creationId xmlns:a16="http://schemas.microsoft.com/office/drawing/2014/main" id="{9F78F5AD-3523-4319-AA2B-C8A55D96D12E}"/>
            </a:ext>
          </a:extLst>
        </xdr:cNvPr>
        <xdr:cNvSpPr txBox="1"/>
      </xdr:nvSpPr>
      <xdr:spPr>
        <a:xfrm>
          <a:off x="8113374" y="8252820"/>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CHECKED BY:</a:t>
          </a:r>
        </a:p>
      </xdr:txBody>
    </xdr:sp>
    <xdr:clientData/>
  </xdr:twoCellAnchor>
  <xdr:twoCellAnchor>
    <xdr:from>
      <xdr:col>18</xdr:col>
      <xdr:colOff>253071</xdr:colOff>
      <xdr:row>118</xdr:row>
      <xdr:rowOff>328090</xdr:rowOff>
    </xdr:from>
    <xdr:to>
      <xdr:col>25</xdr:col>
      <xdr:colOff>246845</xdr:colOff>
      <xdr:row>1048576</xdr:row>
      <xdr:rowOff>168087</xdr:rowOff>
    </xdr:to>
    <xdr:sp macro="" textlink="">
      <xdr:nvSpPr>
        <xdr:cNvPr id="7" name="TextBox 6">
          <a:extLst>
            <a:ext uri="{FF2B5EF4-FFF2-40B4-BE49-F238E27FC236}">
              <a16:creationId xmlns:a16="http://schemas.microsoft.com/office/drawing/2014/main" id="{35631A3B-7056-49E8-A412-7F4F7C4096C3}"/>
            </a:ext>
          </a:extLst>
        </xdr:cNvPr>
        <xdr:cNvSpPr txBox="1"/>
      </xdr:nvSpPr>
      <xdr:spPr>
        <a:xfrm>
          <a:off x="8388542" y="8575619"/>
          <a:ext cx="2137832" cy="49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BRYAN ANTHONY O. SARIO</a:t>
          </a: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Head Teacher II</a:t>
          </a:r>
        </a:p>
      </xdr:txBody>
    </xdr:sp>
    <xdr:clientData/>
  </xdr:twoCellAnchor>
  <xdr:twoCellAnchor>
    <xdr:from>
      <xdr:col>30</xdr:col>
      <xdr:colOff>156875</xdr:colOff>
      <xdr:row>118</xdr:row>
      <xdr:rowOff>0</xdr:rowOff>
    </xdr:from>
    <xdr:to>
      <xdr:col>34</xdr:col>
      <xdr:colOff>89017</xdr:colOff>
      <xdr:row>118</xdr:row>
      <xdr:rowOff>306915</xdr:rowOff>
    </xdr:to>
    <xdr:sp macro="" textlink="">
      <xdr:nvSpPr>
        <xdr:cNvPr id="8" name="TextBox 7">
          <a:extLst>
            <a:ext uri="{FF2B5EF4-FFF2-40B4-BE49-F238E27FC236}">
              <a16:creationId xmlns:a16="http://schemas.microsoft.com/office/drawing/2014/main" id="{EA021781-977E-42B6-AD8F-48A2B36AB3CC}"/>
            </a:ext>
          </a:extLst>
        </xdr:cNvPr>
        <xdr:cNvSpPr txBox="1"/>
      </xdr:nvSpPr>
      <xdr:spPr>
        <a:xfrm>
          <a:off x="12438522" y="8247529"/>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NOTED BY:</a:t>
          </a:r>
        </a:p>
      </xdr:txBody>
    </xdr:sp>
    <xdr:clientData/>
  </xdr:twoCellAnchor>
  <xdr:twoCellAnchor>
    <xdr:from>
      <xdr:col>31</xdr:col>
      <xdr:colOff>125749</xdr:colOff>
      <xdr:row>118</xdr:row>
      <xdr:rowOff>277665</xdr:rowOff>
    </xdr:from>
    <xdr:to>
      <xdr:col>36</xdr:col>
      <xdr:colOff>112059</xdr:colOff>
      <xdr:row>118</xdr:row>
      <xdr:rowOff>717179</xdr:rowOff>
    </xdr:to>
    <xdr:sp macro="" textlink="">
      <xdr:nvSpPr>
        <xdr:cNvPr id="9" name="TextBox 8">
          <a:extLst>
            <a:ext uri="{FF2B5EF4-FFF2-40B4-BE49-F238E27FC236}">
              <a16:creationId xmlns:a16="http://schemas.microsoft.com/office/drawing/2014/main" id="{7420DBC0-6916-4C2B-A616-38DA9F862915}"/>
            </a:ext>
          </a:extLst>
        </xdr:cNvPr>
        <xdr:cNvSpPr txBox="1"/>
      </xdr:nvSpPr>
      <xdr:spPr>
        <a:xfrm>
          <a:off x="12713690" y="8525194"/>
          <a:ext cx="2145310" cy="439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SUSAN D. SAMSON</a:t>
          </a: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Principal I</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a:extLst>
            <a:ext uri="{FF2B5EF4-FFF2-40B4-BE49-F238E27FC236}">
              <a16:creationId xmlns:a16="http://schemas.microsoft.com/office/drawing/2014/main" id="{57B9C4C1-6EE8-46AD-8C6B-4D62AE8B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91575" y="209550"/>
          <a:ext cx="1257299" cy="668426"/>
        </a:xfrm>
        <a:prstGeom prst="rect">
          <a:avLst/>
        </a:prstGeom>
      </xdr:spPr>
    </xdr:pic>
    <xdr:clientData/>
  </xdr:twoCellAnchor>
  <xdr:twoCellAnchor editAs="absolute">
    <xdr:from>
      <xdr:col>1</xdr:col>
      <xdr:colOff>0</xdr:colOff>
      <xdr:row>1</xdr:row>
      <xdr:rowOff>0</xdr:rowOff>
    </xdr:from>
    <xdr:to>
      <xdr:col>2</xdr:col>
      <xdr:colOff>1008540</xdr:colOff>
      <xdr:row>6</xdr:row>
      <xdr:rowOff>139860</xdr:rowOff>
    </xdr:to>
    <xdr:pic>
      <xdr:nvPicPr>
        <xdr:cNvPr id="6" name="Picture 5">
          <a:extLst>
            <a:ext uri="{FF2B5EF4-FFF2-40B4-BE49-F238E27FC236}">
              <a16:creationId xmlns:a16="http://schemas.microsoft.com/office/drawing/2014/main" id="{16957459-6A33-45D6-8021-549267F5C1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000" cy="1260000"/>
        </a:xfrm>
        <a:prstGeom prst="rect">
          <a:avLst/>
        </a:prstGeom>
      </xdr:spPr>
    </xdr:pic>
    <xdr:clientData/>
  </xdr:twoCellAnchor>
  <xdr:twoCellAnchor>
    <xdr:from>
      <xdr:col>3</xdr:col>
      <xdr:colOff>0</xdr:colOff>
      <xdr:row>124</xdr:row>
      <xdr:rowOff>190521</xdr:rowOff>
    </xdr:from>
    <xdr:to>
      <xdr:col>3</xdr:col>
      <xdr:colOff>1471083</xdr:colOff>
      <xdr:row>124</xdr:row>
      <xdr:rowOff>497436</xdr:rowOff>
    </xdr:to>
    <xdr:sp macro="" textlink="">
      <xdr:nvSpPr>
        <xdr:cNvPr id="4" name="TextBox 3">
          <a:extLst>
            <a:ext uri="{FF2B5EF4-FFF2-40B4-BE49-F238E27FC236}">
              <a16:creationId xmlns:a16="http://schemas.microsoft.com/office/drawing/2014/main" id="{473E2259-3945-48DC-89CD-19CBE8371AA8}"/>
            </a:ext>
          </a:extLst>
        </xdr:cNvPr>
        <xdr:cNvSpPr txBox="1"/>
      </xdr:nvSpPr>
      <xdr:spPr>
        <a:xfrm>
          <a:off x="1601611" y="9680243"/>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PREPARED BY:</a:t>
          </a:r>
        </a:p>
      </xdr:txBody>
    </xdr:sp>
    <xdr:clientData/>
  </xdr:twoCellAnchor>
  <xdr:twoCellAnchor>
    <xdr:from>
      <xdr:col>3</xdr:col>
      <xdr:colOff>275167</xdr:colOff>
      <xdr:row>124</xdr:row>
      <xdr:rowOff>497433</xdr:rowOff>
    </xdr:from>
    <xdr:to>
      <xdr:col>4</xdr:col>
      <xdr:colOff>340431</xdr:colOff>
      <xdr:row>124</xdr:row>
      <xdr:rowOff>931351</xdr:rowOff>
    </xdr:to>
    <xdr:sp macro="" textlink="">
      <xdr:nvSpPr>
        <xdr:cNvPr id="7" name="TextBox 6">
          <a:extLst>
            <a:ext uri="{FF2B5EF4-FFF2-40B4-BE49-F238E27FC236}">
              <a16:creationId xmlns:a16="http://schemas.microsoft.com/office/drawing/2014/main" id="{BF9A0128-ABF7-49E5-90EA-D999924A3638}"/>
            </a:ext>
          </a:extLst>
        </xdr:cNvPr>
        <xdr:cNvSpPr txBox="1"/>
      </xdr:nvSpPr>
      <xdr:spPr>
        <a:xfrm>
          <a:off x="1876778" y="9987155"/>
          <a:ext cx="2365375" cy="43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KAREN P. GONZAGA LPT, MAED</a:t>
          </a:r>
        </a:p>
        <a:p>
          <a:pPr algn="ctr"/>
          <a:r>
            <a:rPr lang="en-US" sz="1100" b="0">
              <a:ln>
                <a:noFill/>
              </a:ln>
              <a:latin typeface="Arial Narrow" panose="020B0606020202030204" pitchFamily="34" charset="0"/>
            </a:rPr>
            <a:t>Teacher I</a:t>
          </a:r>
        </a:p>
      </xdr:txBody>
    </xdr:sp>
    <xdr:clientData/>
  </xdr:twoCellAnchor>
  <xdr:twoCellAnchor>
    <xdr:from>
      <xdr:col>5</xdr:col>
      <xdr:colOff>493540</xdr:colOff>
      <xdr:row>124</xdr:row>
      <xdr:rowOff>195803</xdr:rowOff>
    </xdr:from>
    <xdr:to>
      <xdr:col>6</xdr:col>
      <xdr:colOff>871012</xdr:colOff>
      <xdr:row>124</xdr:row>
      <xdr:rowOff>502718</xdr:rowOff>
    </xdr:to>
    <xdr:sp macro="" textlink="">
      <xdr:nvSpPr>
        <xdr:cNvPr id="8" name="TextBox 7">
          <a:extLst>
            <a:ext uri="{FF2B5EF4-FFF2-40B4-BE49-F238E27FC236}">
              <a16:creationId xmlns:a16="http://schemas.microsoft.com/office/drawing/2014/main" id="{1ABDF309-C3D4-485D-A8BA-BB95A9D919CA}"/>
            </a:ext>
          </a:extLst>
        </xdr:cNvPr>
        <xdr:cNvSpPr txBox="1"/>
      </xdr:nvSpPr>
      <xdr:spPr>
        <a:xfrm>
          <a:off x="5488873" y="9685525"/>
          <a:ext cx="1471083"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CHECKED BY:</a:t>
          </a:r>
        </a:p>
      </xdr:txBody>
    </xdr:sp>
    <xdr:clientData/>
  </xdr:twoCellAnchor>
  <xdr:twoCellAnchor>
    <xdr:from>
      <xdr:col>5</xdr:col>
      <xdr:colOff>399346</xdr:colOff>
      <xdr:row>124</xdr:row>
      <xdr:rowOff>518603</xdr:rowOff>
    </xdr:from>
    <xdr:to>
      <xdr:col>7</xdr:col>
      <xdr:colOff>349955</xdr:colOff>
      <xdr:row>124</xdr:row>
      <xdr:rowOff>931351</xdr:rowOff>
    </xdr:to>
    <xdr:sp macro="" textlink="">
      <xdr:nvSpPr>
        <xdr:cNvPr id="9" name="TextBox 8">
          <a:extLst>
            <a:ext uri="{FF2B5EF4-FFF2-40B4-BE49-F238E27FC236}">
              <a16:creationId xmlns:a16="http://schemas.microsoft.com/office/drawing/2014/main" id="{C596869F-B2B5-4DD2-97D4-2ED531B5A99C}"/>
            </a:ext>
          </a:extLst>
        </xdr:cNvPr>
        <xdr:cNvSpPr txBox="1"/>
      </xdr:nvSpPr>
      <xdr:spPr>
        <a:xfrm>
          <a:off x="5394679" y="10008325"/>
          <a:ext cx="2137832" cy="41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BRYAN ANTHONY O. SARIO</a:t>
          </a: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Head Teacher II</a:t>
          </a:r>
        </a:p>
      </xdr:txBody>
    </xdr:sp>
    <xdr:clientData/>
  </xdr:twoCellAnchor>
  <xdr:twoCellAnchor>
    <xdr:from>
      <xdr:col>7</xdr:col>
      <xdr:colOff>864305</xdr:colOff>
      <xdr:row>124</xdr:row>
      <xdr:rowOff>190512</xdr:rowOff>
    </xdr:from>
    <xdr:to>
      <xdr:col>8</xdr:col>
      <xdr:colOff>843844</xdr:colOff>
      <xdr:row>124</xdr:row>
      <xdr:rowOff>497427</xdr:rowOff>
    </xdr:to>
    <xdr:sp macro="" textlink="">
      <xdr:nvSpPr>
        <xdr:cNvPr id="10" name="TextBox 9">
          <a:extLst>
            <a:ext uri="{FF2B5EF4-FFF2-40B4-BE49-F238E27FC236}">
              <a16:creationId xmlns:a16="http://schemas.microsoft.com/office/drawing/2014/main" id="{D5C5496A-BF48-4C8A-B9D2-1328D3464E4C}"/>
            </a:ext>
          </a:extLst>
        </xdr:cNvPr>
        <xdr:cNvSpPr txBox="1"/>
      </xdr:nvSpPr>
      <xdr:spPr>
        <a:xfrm flipH="1">
          <a:off x="8046861" y="9680234"/>
          <a:ext cx="1073150" cy="30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NOTED BY:</a:t>
          </a:r>
        </a:p>
      </xdr:txBody>
    </xdr:sp>
    <xdr:clientData/>
  </xdr:twoCellAnchor>
  <xdr:twoCellAnchor>
    <xdr:from>
      <xdr:col>8</xdr:col>
      <xdr:colOff>151694</xdr:colOff>
      <xdr:row>124</xdr:row>
      <xdr:rowOff>513314</xdr:rowOff>
    </xdr:from>
    <xdr:to>
      <xdr:col>9</xdr:col>
      <xdr:colOff>480483</xdr:colOff>
      <xdr:row>124</xdr:row>
      <xdr:rowOff>926062</xdr:rowOff>
    </xdr:to>
    <xdr:sp macro="" textlink="">
      <xdr:nvSpPr>
        <xdr:cNvPr id="11" name="TextBox 10">
          <a:extLst>
            <a:ext uri="{FF2B5EF4-FFF2-40B4-BE49-F238E27FC236}">
              <a16:creationId xmlns:a16="http://schemas.microsoft.com/office/drawing/2014/main" id="{FB97057D-902F-475B-91FE-9D7332C937B7}"/>
            </a:ext>
          </a:extLst>
        </xdr:cNvPr>
        <xdr:cNvSpPr txBox="1"/>
      </xdr:nvSpPr>
      <xdr:spPr>
        <a:xfrm>
          <a:off x="8427861" y="10003036"/>
          <a:ext cx="1422400" cy="41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SUSAN D. SAMSON</a:t>
          </a: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Principal I</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044D-F259-4E7B-B667-692BCCF7E315}">
  <sheetPr codeName="Sheet1">
    <tabColor rgb="FFC00000"/>
    <pageSetUpPr fitToPage="1"/>
  </sheetPr>
  <dimension ref="A1:AR169"/>
  <sheetViews>
    <sheetView showGridLines="0" zoomScale="116" zoomScaleNormal="116" workbookViewId="0">
      <pane ySplit="3" topLeftCell="A75" activePane="bottomLeft" state="frozen"/>
      <selection pane="bottomLeft" activeCell="T17" sqref="T17"/>
    </sheetView>
  </sheetViews>
  <sheetFormatPr defaultColWidth="0" defaultRowHeight="15.5" zeroHeight="1"/>
  <cols>
    <col min="1" max="2" width="3.6328125" style="2" customWidth="1"/>
    <col min="3" max="3" width="3.6328125" style="89" customWidth="1"/>
    <col min="4" max="4" width="3.6328125" style="146" customWidth="1"/>
    <col min="5" max="5" width="25.6328125" style="90" customWidth="1"/>
    <col min="6" max="6" width="3.6328125" style="90" customWidth="1"/>
    <col min="7" max="9" width="12.1796875" style="90" customWidth="1"/>
    <col min="10" max="12" width="3.6328125" style="2" customWidth="1"/>
    <col min="13" max="13" width="3.6328125" style="19" customWidth="1"/>
    <col min="14" max="17" width="3.6328125" style="2" customWidth="1"/>
    <col min="18" max="18" width="3.6328125" style="6" customWidth="1"/>
    <col min="19" max="20" width="3.6328125" style="18" customWidth="1"/>
    <col min="21" max="25" width="3.6328125" style="20" customWidth="1"/>
    <col min="26" max="28" width="3.6328125" style="2" customWidth="1"/>
    <col min="29" max="33" width="9.1796875" style="2" hidden="1" customWidth="1"/>
    <col min="34" max="44" width="0" style="2" hidden="1" customWidth="1"/>
    <col min="45" max="16384" width="9.1796875" style="2" hidden="1"/>
  </cols>
  <sheetData>
    <row r="1" spans="1:28" ht="14">
      <c r="A1" s="96"/>
      <c r="B1" s="96"/>
      <c r="C1" s="122"/>
      <c r="D1" s="145"/>
      <c r="E1" s="98"/>
      <c r="F1" s="98"/>
      <c r="G1" s="98"/>
      <c r="H1" s="98"/>
      <c r="I1" s="98"/>
      <c r="J1" s="75"/>
      <c r="K1" s="75"/>
      <c r="L1" s="75"/>
      <c r="M1" s="74"/>
      <c r="N1" s="75"/>
      <c r="O1" s="75"/>
      <c r="P1" s="75"/>
      <c r="Q1" s="75"/>
      <c r="R1" s="75"/>
      <c r="S1" s="97"/>
      <c r="T1" s="75"/>
      <c r="U1" s="76"/>
      <c r="V1" s="76"/>
      <c r="W1" s="76"/>
      <c r="X1" s="76"/>
      <c r="Y1" s="76"/>
      <c r="Z1" s="76"/>
      <c r="AA1" s="76"/>
      <c r="AB1" s="76"/>
    </row>
    <row r="2" spans="1:28" ht="14">
      <c r="A2" s="24"/>
      <c r="B2" s="264" t="s">
        <v>0</v>
      </c>
      <c r="C2" s="122"/>
      <c r="D2" s="145"/>
      <c r="E2" s="98"/>
      <c r="F2" s="98"/>
      <c r="G2" s="98"/>
      <c r="H2" s="98"/>
      <c r="I2" s="98"/>
      <c r="J2" s="75"/>
      <c r="K2" s="75"/>
      <c r="L2" s="75"/>
      <c r="M2" s="74"/>
      <c r="N2" s="75"/>
      <c r="O2" s="75"/>
      <c r="P2" s="75"/>
      <c r="Q2" s="75"/>
      <c r="R2" s="75"/>
      <c r="S2" s="97"/>
      <c r="T2" s="75"/>
      <c r="U2" s="76"/>
      <c r="V2" s="76"/>
      <c r="W2" s="76"/>
      <c r="X2" s="76"/>
      <c r="Y2" s="76"/>
      <c r="Z2" s="76"/>
      <c r="AA2" s="76"/>
      <c r="AB2" s="76"/>
    </row>
    <row r="3" spans="1:28" ht="25">
      <c r="A3" s="24"/>
      <c r="B3" s="113" t="s">
        <v>1</v>
      </c>
      <c r="C3" s="122"/>
      <c r="D3" s="145"/>
      <c r="E3" s="98"/>
      <c r="F3" s="98"/>
      <c r="G3" s="98"/>
      <c r="H3" s="98"/>
      <c r="I3" s="98"/>
      <c r="J3" s="75"/>
      <c r="K3" s="75"/>
      <c r="L3" s="75"/>
      <c r="M3" s="74"/>
      <c r="N3" s="75"/>
      <c r="O3" s="75"/>
      <c r="P3" s="75"/>
      <c r="Q3" s="75"/>
      <c r="R3" s="99"/>
      <c r="S3" s="97"/>
      <c r="T3" s="75"/>
      <c r="U3" s="76"/>
      <c r="V3" s="76"/>
      <c r="W3" s="76"/>
      <c r="X3" s="76"/>
      <c r="Y3" s="76"/>
      <c r="Z3" s="76"/>
      <c r="AA3" s="348"/>
      <c r="AB3" s="76"/>
    </row>
    <row r="4" spans="1:28" ht="14">
      <c r="A4" s="24"/>
      <c r="B4" s="257"/>
      <c r="C4" s="256"/>
      <c r="D4" s="256"/>
      <c r="E4" s="256"/>
      <c r="F4" s="256"/>
      <c r="G4" s="256"/>
      <c r="H4" s="256"/>
      <c r="I4" s="256"/>
      <c r="J4" s="75"/>
      <c r="K4" s="75"/>
      <c r="L4" s="75"/>
      <c r="M4" s="74"/>
      <c r="N4" s="75"/>
      <c r="O4" s="75"/>
      <c r="P4" s="75"/>
      <c r="Q4" s="75"/>
      <c r="R4" s="99"/>
      <c r="S4" s="97"/>
      <c r="T4" s="75"/>
      <c r="U4" s="76"/>
      <c r="V4" s="76"/>
      <c r="W4" s="76"/>
      <c r="X4" s="76"/>
      <c r="Y4" s="76"/>
      <c r="Z4" s="76"/>
      <c r="AA4" s="255"/>
      <c r="AB4" s="76"/>
    </row>
    <row r="5" spans="1:28" ht="16" thickBot="1"/>
    <row r="6" spans="1:28" ht="14">
      <c r="B6" s="104"/>
      <c r="C6" s="105"/>
      <c r="D6" s="147"/>
      <c r="E6" s="106"/>
      <c r="F6" s="106"/>
      <c r="G6" s="106"/>
      <c r="H6" s="106"/>
      <c r="I6" s="106"/>
      <c r="J6" s="106"/>
      <c r="K6" s="107"/>
      <c r="L6" s="107"/>
      <c r="M6" s="107"/>
      <c r="N6" s="107"/>
      <c r="O6" s="107"/>
      <c r="P6" s="107"/>
      <c r="Q6" s="107"/>
      <c r="R6" s="107"/>
      <c r="S6" s="107"/>
      <c r="T6" s="107"/>
      <c r="U6" s="107"/>
      <c r="V6" s="107"/>
      <c r="W6" s="107"/>
      <c r="X6" s="107"/>
      <c r="Y6" s="107"/>
      <c r="Z6" s="107"/>
      <c r="AA6" s="133"/>
    </row>
    <row r="7" spans="1:28" ht="22.5">
      <c r="B7" s="108"/>
      <c r="C7" s="103">
        <v>1</v>
      </c>
      <c r="D7" s="149" t="s">
        <v>2</v>
      </c>
      <c r="E7" s="101"/>
      <c r="F7" s="101"/>
      <c r="G7" s="101"/>
      <c r="H7" s="101"/>
      <c r="I7" s="101"/>
      <c r="J7" s="101"/>
      <c r="K7" s="102"/>
      <c r="L7" s="102"/>
      <c r="M7" s="102"/>
      <c r="N7" s="102"/>
      <c r="O7" s="102"/>
      <c r="P7" s="102"/>
      <c r="Q7" s="102"/>
      <c r="R7" s="102"/>
      <c r="S7" s="102"/>
      <c r="T7" s="102"/>
      <c r="U7" s="102"/>
      <c r="V7" s="102"/>
      <c r="W7" s="102"/>
      <c r="X7" s="102"/>
      <c r="Y7" s="102"/>
      <c r="Z7" s="102"/>
      <c r="AA7" s="134"/>
    </row>
    <row r="8" spans="1:28" ht="14.5" thickBot="1">
      <c r="B8" s="109"/>
      <c r="C8" s="123"/>
      <c r="D8" s="150"/>
      <c r="E8" s="112"/>
      <c r="F8" s="112"/>
      <c r="G8" s="112"/>
      <c r="H8" s="112"/>
      <c r="I8" s="112"/>
      <c r="J8" s="110"/>
      <c r="K8" s="111"/>
      <c r="L8" s="111"/>
      <c r="M8" s="111"/>
      <c r="N8" s="111"/>
      <c r="O8" s="111"/>
      <c r="P8" s="111"/>
      <c r="Q8" s="111"/>
      <c r="R8" s="111"/>
      <c r="S8" s="111"/>
      <c r="T8" s="111"/>
      <c r="U8" s="111"/>
      <c r="V8" s="111"/>
      <c r="W8" s="111"/>
      <c r="X8" s="111"/>
      <c r="Y8" s="111"/>
      <c r="Z8" s="111"/>
      <c r="AA8" s="135"/>
    </row>
    <row r="9" spans="1:28" ht="16.5" customHeight="1">
      <c r="B9" s="259"/>
      <c r="C9" s="263"/>
      <c r="D9" s="262"/>
      <c r="E9" s="708" t="s">
        <v>3</v>
      </c>
      <c r="F9" s="708"/>
      <c r="G9" s="708"/>
      <c r="H9" s="708"/>
      <c r="I9" s="708"/>
      <c r="J9" s="708"/>
      <c r="K9" s="261"/>
      <c r="L9" s="261"/>
      <c r="M9" s="261"/>
      <c r="N9" s="261"/>
      <c r="O9" s="261"/>
      <c r="P9" s="261"/>
      <c r="Q9" s="261"/>
      <c r="R9" s="261"/>
      <c r="S9" s="261"/>
      <c r="T9" s="261"/>
      <c r="U9" s="261"/>
      <c r="V9" s="261"/>
      <c r="W9" s="261"/>
      <c r="X9" s="261"/>
      <c r="Y9" s="261"/>
      <c r="Z9" s="261"/>
      <c r="AA9" s="258"/>
    </row>
    <row r="10" spans="1:28" ht="17.25" customHeight="1" thickBot="1">
      <c r="B10" s="259"/>
      <c r="C10" s="260"/>
      <c r="D10" s="261"/>
      <c r="E10" s="709"/>
      <c r="F10" s="709"/>
      <c r="G10" s="709"/>
      <c r="H10" s="709"/>
      <c r="I10" s="709"/>
      <c r="J10" s="709"/>
      <c r="K10" s="261"/>
      <c r="L10" s="46"/>
      <c r="M10" s="21"/>
      <c r="N10" s="21"/>
      <c r="O10" s="21"/>
      <c r="P10" s="21"/>
      <c r="Q10" s="21"/>
      <c r="R10" s="21"/>
      <c r="S10" s="54"/>
      <c r="T10" s="54"/>
      <c r="U10" s="203"/>
      <c r="V10" s="203"/>
      <c r="W10" s="203"/>
      <c r="X10" s="203"/>
      <c r="Y10" s="203"/>
      <c r="Z10" s="42"/>
      <c r="AA10" s="258"/>
    </row>
    <row r="11" spans="1:28" ht="16.5" customHeight="1">
      <c r="B11" s="259"/>
      <c r="C11" s="261"/>
      <c r="D11" s="262"/>
      <c r="E11" s="709"/>
      <c r="F11" s="709"/>
      <c r="G11" s="709"/>
      <c r="H11" s="709"/>
      <c r="I11" s="709"/>
      <c r="J11" s="709"/>
      <c r="K11" s="261"/>
      <c r="L11" s="235"/>
      <c r="M11" s="692" t="s">
        <v>4</v>
      </c>
      <c r="N11" s="693"/>
      <c r="O11" s="693"/>
      <c r="P11" s="693"/>
      <c r="Q11" s="693"/>
      <c r="R11" s="693"/>
      <c r="S11" s="693"/>
      <c r="T11" s="693"/>
      <c r="U11" s="693"/>
      <c r="V11" s="693"/>
      <c r="W11" s="693"/>
      <c r="X11" s="693"/>
      <c r="Y11" s="694"/>
      <c r="Z11" s="183"/>
      <c r="AA11" s="258"/>
    </row>
    <row r="12" spans="1:28">
      <c r="B12" s="114"/>
      <c r="C12" s="342" t="s">
        <v>4</v>
      </c>
      <c r="L12" s="235"/>
      <c r="M12" s="25"/>
      <c r="N12" s="236"/>
      <c r="O12" s="236"/>
      <c r="P12" s="236"/>
      <c r="Q12" s="236"/>
      <c r="R12" s="236"/>
      <c r="S12" s="237"/>
      <c r="T12" s="237"/>
      <c r="U12" s="236"/>
      <c r="V12" s="236"/>
      <c r="W12" s="236"/>
      <c r="X12" s="236"/>
      <c r="Y12" s="26"/>
      <c r="Z12" s="183"/>
      <c r="AA12" s="115"/>
    </row>
    <row r="13" spans="1:28">
      <c r="B13" s="114"/>
      <c r="C13" s="344">
        <v>1</v>
      </c>
      <c r="D13" s="6" t="s">
        <v>5</v>
      </c>
      <c r="E13" s="2"/>
      <c r="F13" s="2"/>
      <c r="G13" s="2"/>
      <c r="H13" s="2"/>
      <c r="I13" s="2"/>
      <c r="K13" s="346" t="s">
        <v>6</v>
      </c>
      <c r="L13" s="235"/>
      <c r="M13" s="28"/>
      <c r="N13" s="228" t="s">
        <v>7</v>
      </c>
      <c r="O13" s="83"/>
      <c r="P13" s="83"/>
      <c r="Q13" s="83"/>
      <c r="R13" s="83"/>
      <c r="S13" s="29" t="s">
        <v>8</v>
      </c>
      <c r="T13" s="125"/>
      <c r="U13" s="125"/>
      <c r="V13" s="125"/>
      <c r="W13" s="125"/>
      <c r="X13" s="82"/>
      <c r="Y13" s="26"/>
      <c r="Z13" s="183"/>
      <c r="AA13" s="115"/>
    </row>
    <row r="14" spans="1:28">
      <c r="B14" s="114"/>
      <c r="C14" s="344">
        <v>2</v>
      </c>
      <c r="D14" s="6" t="s">
        <v>9</v>
      </c>
      <c r="E14" s="2"/>
      <c r="F14" s="2"/>
      <c r="G14" s="2"/>
      <c r="H14" s="2"/>
      <c r="I14" s="2"/>
      <c r="K14" s="346" t="s">
        <v>6</v>
      </c>
      <c r="L14" s="235"/>
      <c r="M14" s="28"/>
      <c r="N14" s="228" t="s">
        <v>10</v>
      </c>
      <c r="O14" s="83"/>
      <c r="P14" s="83"/>
      <c r="Q14" s="83"/>
      <c r="R14" s="83"/>
      <c r="S14" s="29" t="s">
        <v>8</v>
      </c>
      <c r="T14" s="86"/>
      <c r="U14" s="86"/>
      <c r="V14" s="86"/>
      <c r="W14" s="86"/>
      <c r="X14" s="82"/>
      <c r="Y14" s="26"/>
      <c r="Z14" s="183"/>
      <c r="AA14" s="115"/>
    </row>
    <row r="15" spans="1:28">
      <c r="B15" s="114"/>
      <c r="C15" s="344"/>
      <c r="D15" s="6"/>
      <c r="E15" s="2"/>
      <c r="F15" s="2"/>
      <c r="G15" s="2"/>
      <c r="H15" s="2"/>
      <c r="I15" s="2"/>
      <c r="K15" s="346"/>
      <c r="L15" s="235"/>
      <c r="M15" s="28"/>
      <c r="N15" s="238"/>
      <c r="O15" s="239"/>
      <c r="P15" s="239"/>
      <c r="Q15" s="239"/>
      <c r="R15" s="239"/>
      <c r="S15" s="240"/>
      <c r="T15" s="240"/>
      <c r="U15" s="241"/>
      <c r="V15" s="241"/>
      <c r="W15" s="241"/>
      <c r="X15" s="241"/>
      <c r="Y15" s="26"/>
      <c r="Z15" s="183"/>
      <c r="AA15" s="115"/>
    </row>
    <row r="16" spans="1:28">
      <c r="B16" s="114"/>
      <c r="C16" s="344">
        <v>3</v>
      </c>
      <c r="D16" s="6" t="s">
        <v>11</v>
      </c>
      <c r="E16" s="2"/>
      <c r="F16" s="2"/>
      <c r="G16" s="2"/>
      <c r="H16" s="2"/>
      <c r="I16" s="2"/>
      <c r="K16" s="346" t="s">
        <v>6</v>
      </c>
      <c r="L16" s="235"/>
      <c r="M16" s="28"/>
      <c r="N16" s="228" t="s">
        <v>12</v>
      </c>
      <c r="O16" s="83"/>
      <c r="P16" s="83"/>
      <c r="Q16" s="83"/>
      <c r="R16" s="83"/>
      <c r="S16" s="29" t="s">
        <v>8</v>
      </c>
      <c r="T16" s="48"/>
      <c r="U16" s="87"/>
      <c r="V16" s="242"/>
      <c r="W16" s="242"/>
      <c r="X16" s="242"/>
      <c r="Y16" s="26"/>
      <c r="Z16" s="183"/>
      <c r="AA16" s="115"/>
    </row>
    <row r="17" spans="2:27">
      <c r="B17" s="114"/>
      <c r="C17" s="344">
        <v>4</v>
      </c>
      <c r="D17" s="6" t="s">
        <v>13</v>
      </c>
      <c r="E17" s="2"/>
      <c r="F17" s="2"/>
      <c r="G17" s="2"/>
      <c r="H17" s="2"/>
      <c r="I17" s="2"/>
      <c r="K17" s="346" t="s">
        <v>6</v>
      </c>
      <c r="L17" s="235"/>
      <c r="M17" s="28"/>
      <c r="N17" s="229" t="s">
        <v>14</v>
      </c>
      <c r="O17" s="84"/>
      <c r="P17" s="84"/>
      <c r="Q17" s="84"/>
      <c r="R17" s="84"/>
      <c r="S17" s="48" t="s">
        <v>8</v>
      </c>
      <c r="T17" s="85"/>
      <c r="U17" s="85"/>
      <c r="V17" s="85"/>
      <c r="W17" s="85"/>
      <c r="X17" s="82"/>
      <c r="Y17" s="26"/>
      <c r="Z17" s="183"/>
      <c r="AA17" s="115"/>
    </row>
    <row r="18" spans="2:27">
      <c r="B18" s="114"/>
      <c r="C18" s="344">
        <v>5</v>
      </c>
      <c r="D18" s="6" t="s">
        <v>15</v>
      </c>
      <c r="E18" s="2"/>
      <c r="F18" s="2"/>
      <c r="G18" s="2"/>
      <c r="H18" s="2"/>
      <c r="I18" s="2"/>
      <c r="K18" s="346" t="s">
        <v>6</v>
      </c>
      <c r="L18" s="235"/>
      <c r="M18" s="28"/>
      <c r="N18" s="228" t="s">
        <v>16</v>
      </c>
      <c r="O18" s="83"/>
      <c r="P18" s="83"/>
      <c r="Q18" s="83"/>
      <c r="R18" s="83"/>
      <c r="S18" s="29" t="s">
        <v>8</v>
      </c>
      <c r="T18" s="700" t="s">
        <v>17</v>
      </c>
      <c r="U18" s="700"/>
      <c r="V18" s="700"/>
      <c r="W18" s="700"/>
      <c r="X18" s="701"/>
      <c r="Y18" s="26"/>
      <c r="Z18" s="183"/>
      <c r="AA18" s="115"/>
    </row>
    <row r="19" spans="2:27" ht="16" thickBot="1">
      <c r="B19" s="114"/>
      <c r="D19" s="702" t="s">
        <v>18</v>
      </c>
      <c r="E19" s="703"/>
      <c r="F19" s="703"/>
      <c r="G19" s="703"/>
      <c r="H19" s="703"/>
      <c r="I19" s="703"/>
      <c r="J19" s="704"/>
      <c r="K19" s="23"/>
      <c r="L19" s="235"/>
      <c r="M19" s="31"/>
      <c r="N19" s="32"/>
      <c r="O19" s="32"/>
      <c r="P19" s="32"/>
      <c r="Q19" s="32"/>
      <c r="R19" s="33"/>
      <c r="S19" s="34"/>
      <c r="T19" s="34"/>
      <c r="U19" s="33"/>
      <c r="V19" s="33"/>
      <c r="W19" s="33"/>
      <c r="X19" s="33"/>
      <c r="Y19" s="127"/>
      <c r="Z19" s="183"/>
      <c r="AA19" s="115"/>
    </row>
    <row r="20" spans="2:27" ht="16" thickBot="1">
      <c r="B20" s="114"/>
      <c r="D20" s="705"/>
      <c r="E20" s="706"/>
      <c r="F20" s="706"/>
      <c r="G20" s="706"/>
      <c r="H20" s="706"/>
      <c r="I20" s="706"/>
      <c r="J20" s="707"/>
      <c r="K20" s="23"/>
      <c r="L20" s="47"/>
      <c r="M20" s="2"/>
      <c r="Z20" s="183"/>
      <c r="AA20" s="115"/>
    </row>
    <row r="21" spans="2:27" ht="16.5" customHeight="1">
      <c r="B21" s="114"/>
      <c r="C21" s="2"/>
      <c r="K21" s="23"/>
      <c r="L21" s="235"/>
      <c r="M21" s="692" t="s">
        <v>19</v>
      </c>
      <c r="N21" s="693"/>
      <c r="O21" s="693"/>
      <c r="P21" s="693"/>
      <c r="Q21" s="693"/>
      <c r="R21" s="693"/>
      <c r="S21" s="693"/>
      <c r="T21" s="693"/>
      <c r="U21" s="693"/>
      <c r="V21" s="693"/>
      <c r="W21" s="693"/>
      <c r="X21" s="693"/>
      <c r="Y21" s="694"/>
      <c r="Z21" s="183"/>
      <c r="AA21" s="115"/>
    </row>
    <row r="22" spans="2:27">
      <c r="B22" s="114"/>
      <c r="C22" s="342" t="s">
        <v>19</v>
      </c>
      <c r="K22" s="23"/>
      <c r="L22" s="235"/>
      <c r="M22" s="25"/>
      <c r="N22" s="236"/>
      <c r="O22" s="236"/>
      <c r="P22" s="236"/>
      <c r="Q22" s="236"/>
      <c r="R22" s="237"/>
      <c r="S22" s="237"/>
      <c r="T22" s="236"/>
      <c r="U22" s="236"/>
      <c r="V22" s="236"/>
      <c r="W22" s="236"/>
      <c r="X22" s="236"/>
      <c r="Y22" s="131"/>
      <c r="Z22" s="183"/>
      <c r="AA22" s="115"/>
    </row>
    <row r="23" spans="2:27">
      <c r="B23" s="114"/>
      <c r="C23" s="344">
        <v>6</v>
      </c>
      <c r="D23" s="6" t="s">
        <v>20</v>
      </c>
      <c r="E23" s="19"/>
      <c r="F23" s="19"/>
      <c r="G23" s="19"/>
      <c r="H23" s="19"/>
      <c r="I23" s="19"/>
      <c r="J23" s="19"/>
      <c r="K23" s="346" t="s">
        <v>6</v>
      </c>
      <c r="L23" s="235"/>
      <c r="M23" s="28"/>
      <c r="N23" s="225" t="s">
        <v>21</v>
      </c>
      <c r="O23" s="91"/>
      <c r="P23" s="91"/>
      <c r="Q23" s="91"/>
      <c r="R23" s="91"/>
      <c r="S23" s="92" t="s">
        <v>8</v>
      </c>
      <c r="T23" s="125"/>
      <c r="U23" s="125"/>
      <c r="V23" s="125"/>
      <c r="W23" s="125"/>
      <c r="X23" s="82"/>
      <c r="Y23" s="131"/>
      <c r="Z23" s="183"/>
      <c r="AA23" s="115"/>
    </row>
    <row r="24" spans="2:27" ht="16.5" customHeight="1">
      <c r="B24" s="114"/>
      <c r="C24" s="344">
        <v>7</v>
      </c>
      <c r="D24" s="6" t="s">
        <v>22</v>
      </c>
      <c r="E24" s="19"/>
      <c r="F24" s="19"/>
      <c r="G24" s="19"/>
      <c r="H24" s="19"/>
      <c r="I24" s="19"/>
      <c r="J24" s="19"/>
      <c r="K24" s="346" t="s">
        <v>6</v>
      </c>
      <c r="L24" s="235"/>
      <c r="M24" s="28"/>
      <c r="N24" s="226" t="s">
        <v>23</v>
      </c>
      <c r="O24" s="80"/>
      <c r="P24" s="80"/>
      <c r="Q24" s="80"/>
      <c r="R24" s="80"/>
      <c r="S24" s="49" t="s">
        <v>8</v>
      </c>
      <c r="T24" s="243"/>
      <c r="U24" s="88"/>
      <c r="V24" s="244"/>
      <c r="W24" s="244"/>
      <c r="X24" s="244"/>
      <c r="Y24" s="131"/>
      <c r="Z24" s="183"/>
      <c r="AA24" s="115"/>
    </row>
    <row r="25" spans="2:27">
      <c r="B25" s="114"/>
      <c r="C25" s="344">
        <v>8</v>
      </c>
      <c r="D25" s="6" t="s">
        <v>24</v>
      </c>
      <c r="E25" s="19"/>
      <c r="F25" s="19"/>
      <c r="G25" s="19"/>
      <c r="H25" s="19"/>
      <c r="I25" s="19"/>
      <c r="J25" s="19"/>
      <c r="K25" s="346" t="s">
        <v>6</v>
      </c>
      <c r="L25" s="235"/>
      <c r="M25" s="28"/>
      <c r="N25" s="227" t="s">
        <v>25</v>
      </c>
      <c r="O25" s="79"/>
      <c r="P25" s="79"/>
      <c r="Q25" s="79"/>
      <c r="R25" s="79"/>
      <c r="S25" s="29" t="s">
        <v>8</v>
      </c>
      <c r="T25" s="125"/>
      <c r="U25" s="125"/>
      <c r="V25" s="125"/>
      <c r="W25" s="125"/>
      <c r="X25" s="82"/>
      <c r="Y25" s="131"/>
      <c r="Z25" s="183"/>
      <c r="AA25" s="115"/>
    </row>
    <row r="26" spans="2:27">
      <c r="B26" s="114"/>
      <c r="C26" s="344"/>
      <c r="D26" s="728" t="s">
        <v>26</v>
      </c>
      <c r="E26" s="729"/>
      <c r="F26" s="729"/>
      <c r="G26" s="729"/>
      <c r="H26" s="729"/>
      <c r="I26" s="729"/>
      <c r="J26" s="730"/>
      <c r="K26" s="346"/>
      <c r="L26" s="235"/>
      <c r="M26" s="28"/>
      <c r="N26" s="245"/>
      <c r="O26" s="245"/>
      <c r="P26" s="245"/>
      <c r="Q26" s="245"/>
      <c r="R26" s="246"/>
      <c r="S26" s="211"/>
      <c r="T26" s="211"/>
      <c r="U26" s="212"/>
      <c r="V26" s="212"/>
      <c r="W26" s="212"/>
      <c r="X26" s="212"/>
      <c r="Y26" s="131"/>
      <c r="Z26" s="183"/>
      <c r="AA26" s="115"/>
    </row>
    <row r="27" spans="2:27">
      <c r="B27" s="114"/>
      <c r="C27" s="344">
        <v>9</v>
      </c>
      <c r="D27" s="6" t="s">
        <v>27</v>
      </c>
      <c r="E27" s="19"/>
      <c r="F27" s="19"/>
      <c r="G27" s="19"/>
      <c r="H27" s="19"/>
      <c r="I27" s="19"/>
      <c r="J27" s="19"/>
      <c r="K27" s="346" t="s">
        <v>6</v>
      </c>
      <c r="L27" s="235"/>
      <c r="M27" s="25"/>
      <c r="N27" s="221" t="s">
        <v>28</v>
      </c>
      <c r="O27" s="222"/>
      <c r="P27" s="222"/>
      <c r="Q27" s="222"/>
      <c r="R27" s="222"/>
      <c r="S27" s="29" t="s">
        <v>8</v>
      </c>
      <c r="T27" s="125"/>
      <c r="U27" s="125"/>
      <c r="V27" s="125"/>
      <c r="W27" s="125"/>
      <c r="X27" s="82"/>
      <c r="Y27" s="131"/>
      <c r="Z27" s="183"/>
      <c r="AA27" s="115"/>
    </row>
    <row r="28" spans="2:27">
      <c r="B28" s="114"/>
      <c r="C28" s="344">
        <v>10</v>
      </c>
      <c r="D28" s="6" t="s">
        <v>29</v>
      </c>
      <c r="E28" s="19"/>
      <c r="F28" s="19"/>
      <c r="G28" s="19"/>
      <c r="H28" s="19"/>
      <c r="I28" s="19"/>
      <c r="J28" s="19"/>
      <c r="K28" s="346" t="s">
        <v>6</v>
      </c>
      <c r="L28" s="235"/>
      <c r="M28" s="25"/>
      <c r="N28" s="221" t="s">
        <v>30</v>
      </c>
      <c r="O28" s="222"/>
      <c r="P28" s="222"/>
      <c r="Q28" s="222"/>
      <c r="R28" s="222"/>
      <c r="S28" s="243" t="s">
        <v>8</v>
      </c>
      <c r="T28" s="125"/>
      <c r="U28" s="125"/>
      <c r="V28" s="125"/>
      <c r="W28" s="125"/>
      <c r="X28" s="82"/>
      <c r="Y28" s="131"/>
      <c r="Z28" s="183"/>
      <c r="AA28" s="115"/>
    </row>
    <row r="29" spans="2:27">
      <c r="B29" s="114"/>
      <c r="C29" s="344">
        <v>11</v>
      </c>
      <c r="D29" s="151" t="s">
        <v>31</v>
      </c>
      <c r="E29" s="100"/>
      <c r="F29" s="100"/>
      <c r="G29" s="100"/>
      <c r="H29" s="100"/>
      <c r="I29" s="100"/>
      <c r="J29" s="19"/>
      <c r="K29" s="346" t="s">
        <v>6</v>
      </c>
      <c r="L29" s="235"/>
      <c r="M29" s="25"/>
      <c r="N29" s="223" t="s">
        <v>32</v>
      </c>
      <c r="O29" s="224"/>
      <c r="P29" s="224"/>
      <c r="Q29" s="224"/>
      <c r="R29" s="224"/>
      <c r="S29" s="48" t="s">
        <v>8</v>
      </c>
      <c r="T29" s="85"/>
      <c r="U29" s="85"/>
      <c r="V29" s="85"/>
      <c r="W29" s="85"/>
      <c r="X29" s="82"/>
      <c r="Y29" s="131"/>
      <c r="Z29" s="183"/>
      <c r="AA29" s="115"/>
    </row>
    <row r="30" spans="2:27" ht="15.5" customHeight="1">
      <c r="B30" s="114"/>
      <c r="C30" s="344">
        <v>12</v>
      </c>
      <c r="D30" s="748" t="s">
        <v>33</v>
      </c>
      <c r="E30" s="748"/>
      <c r="F30" s="748"/>
      <c r="G30" s="748"/>
      <c r="H30" s="748"/>
      <c r="I30" s="748"/>
      <c r="J30" s="748"/>
      <c r="K30" s="346" t="s">
        <v>6</v>
      </c>
      <c r="L30" s="235"/>
      <c r="M30" s="25"/>
      <c r="N30" s="740" t="s">
        <v>34</v>
      </c>
      <c r="O30" s="741"/>
      <c r="P30" s="741"/>
      <c r="Q30" s="741"/>
      <c r="R30" s="741"/>
      <c r="S30" s="93" t="s">
        <v>8</v>
      </c>
      <c r="T30" s="126"/>
      <c r="U30" s="126"/>
      <c r="V30" s="126"/>
      <c r="W30" s="126"/>
      <c r="X30" s="82"/>
      <c r="Y30" s="131"/>
      <c r="Z30" s="183"/>
      <c r="AA30" s="115"/>
    </row>
    <row r="31" spans="2:27">
      <c r="B31" s="114"/>
      <c r="C31" s="344"/>
      <c r="D31" s="749"/>
      <c r="E31" s="749"/>
      <c r="F31" s="749"/>
      <c r="G31" s="749"/>
      <c r="H31" s="749"/>
      <c r="I31" s="749"/>
      <c r="J31" s="749"/>
      <c r="K31" s="346"/>
      <c r="L31" s="235"/>
      <c r="M31" s="37"/>
      <c r="N31" s="247"/>
      <c r="O31" s="248"/>
      <c r="P31" s="248"/>
      <c r="Q31" s="248"/>
      <c r="R31" s="249"/>
      <c r="S31" s="250"/>
      <c r="T31" s="244"/>
      <c r="U31" s="244"/>
      <c r="V31" s="244"/>
      <c r="W31" s="244"/>
      <c r="X31" s="244"/>
      <c r="Y31" s="131"/>
      <c r="Z31" s="183"/>
      <c r="AA31" s="115"/>
    </row>
    <row r="32" spans="2:27" ht="16.5" customHeight="1">
      <c r="B32" s="114"/>
      <c r="C32" s="344"/>
      <c r="D32" s="731" t="s">
        <v>35</v>
      </c>
      <c r="E32" s="732"/>
      <c r="F32" s="732"/>
      <c r="G32" s="732"/>
      <c r="H32" s="732"/>
      <c r="I32" s="732"/>
      <c r="J32" s="733"/>
      <c r="K32" s="346"/>
      <c r="L32" s="235"/>
      <c r="M32" s="37"/>
      <c r="N32" s="221" t="s">
        <v>36</v>
      </c>
      <c r="O32" s="83"/>
      <c r="P32" s="83"/>
      <c r="Q32" s="83"/>
      <c r="R32" s="83"/>
      <c r="S32" s="29" t="s">
        <v>8</v>
      </c>
      <c r="T32" s="29"/>
      <c r="U32" s="82"/>
      <c r="V32" s="687" t="s">
        <v>37</v>
      </c>
      <c r="W32" s="685"/>
      <c r="X32" s="686"/>
      <c r="Y32" s="131"/>
      <c r="Z32" s="183"/>
      <c r="AA32" s="115"/>
    </row>
    <row r="33" spans="2:27">
      <c r="B33" s="114"/>
      <c r="C33" s="344"/>
      <c r="D33" s="734"/>
      <c r="E33" s="735"/>
      <c r="F33" s="735"/>
      <c r="G33" s="735"/>
      <c r="H33" s="735"/>
      <c r="I33" s="735"/>
      <c r="J33" s="736"/>
      <c r="K33" s="346"/>
      <c r="L33" s="235"/>
      <c r="M33" s="37"/>
      <c r="N33" s="221" t="s">
        <v>38</v>
      </c>
      <c r="O33" s="83"/>
      <c r="P33" s="83"/>
      <c r="Q33" s="83"/>
      <c r="R33" s="83"/>
      <c r="S33" s="29" t="s">
        <v>8</v>
      </c>
      <c r="T33" s="29"/>
      <c r="U33" s="82"/>
      <c r="V33" s="688"/>
      <c r="W33" s="689"/>
      <c r="X33" s="690"/>
      <c r="Y33" s="131"/>
      <c r="Z33" s="183"/>
      <c r="AA33" s="115"/>
    </row>
    <row r="34" spans="2:27">
      <c r="B34" s="114"/>
      <c r="C34" s="344">
        <v>13</v>
      </c>
      <c r="D34" s="781" t="s">
        <v>39</v>
      </c>
      <c r="E34" s="781"/>
      <c r="F34" s="781"/>
      <c r="G34" s="781"/>
      <c r="H34" s="781"/>
      <c r="I34" s="781"/>
      <c r="J34" s="781"/>
      <c r="K34" s="346" t="s">
        <v>6</v>
      </c>
      <c r="L34" s="235"/>
      <c r="M34" s="37"/>
      <c r="N34" s="221" t="s">
        <v>40</v>
      </c>
      <c r="O34" s="83"/>
      <c r="P34" s="83"/>
      <c r="Q34" s="83"/>
      <c r="R34" s="83"/>
      <c r="S34" s="29" t="s">
        <v>8</v>
      </c>
      <c r="T34" s="29"/>
      <c r="U34" s="82"/>
      <c r="V34" s="244"/>
      <c r="W34" s="244"/>
      <c r="X34" s="244"/>
      <c r="Y34" s="131"/>
      <c r="Z34" s="183"/>
      <c r="AA34" s="115"/>
    </row>
    <row r="35" spans="2:27" ht="16" thickBot="1">
      <c r="B35" s="114"/>
      <c r="C35" s="344"/>
      <c r="D35" s="727"/>
      <c r="E35" s="727"/>
      <c r="F35" s="727"/>
      <c r="G35" s="727"/>
      <c r="H35" s="727"/>
      <c r="I35" s="727"/>
      <c r="J35" s="727"/>
      <c r="K35" s="23"/>
      <c r="L35" s="235"/>
      <c r="M35" s="38"/>
      <c r="N35" s="39"/>
      <c r="O35" s="39"/>
      <c r="P35" s="39"/>
      <c r="Q35" s="39"/>
      <c r="R35" s="40"/>
      <c r="S35" s="40"/>
      <c r="T35" s="41"/>
      <c r="U35" s="39"/>
      <c r="V35" s="39"/>
      <c r="W35" s="39"/>
      <c r="X35" s="39"/>
      <c r="Y35" s="132"/>
      <c r="Z35" s="183"/>
      <c r="AA35" s="115"/>
    </row>
    <row r="36" spans="2:27">
      <c r="B36" s="114"/>
      <c r="C36" s="344"/>
      <c r="D36" s="727"/>
      <c r="E36" s="727"/>
      <c r="F36" s="727"/>
      <c r="G36" s="727"/>
      <c r="H36" s="727"/>
      <c r="I36" s="727"/>
      <c r="J36" s="727"/>
      <c r="K36" s="23"/>
      <c r="L36" s="47"/>
      <c r="M36" s="691"/>
      <c r="N36" s="691"/>
      <c r="O36" s="691"/>
      <c r="P36" s="691"/>
      <c r="Q36" s="691"/>
      <c r="R36" s="691"/>
      <c r="S36" s="691"/>
      <c r="T36" s="691"/>
      <c r="U36" s="691"/>
      <c r="V36" s="691"/>
      <c r="W36" s="691"/>
      <c r="X36" s="691"/>
      <c r="Y36" s="691"/>
      <c r="Z36" s="183"/>
      <c r="AA36" s="115"/>
    </row>
    <row r="37" spans="2:27">
      <c r="B37" s="114"/>
      <c r="C37" s="344">
        <v>14</v>
      </c>
      <c r="D37" s="727" t="s">
        <v>41</v>
      </c>
      <c r="E37" s="727"/>
      <c r="F37" s="727"/>
      <c r="G37" s="727"/>
      <c r="H37" s="727"/>
      <c r="I37" s="727"/>
      <c r="J37" s="727"/>
      <c r="K37" s="23"/>
      <c r="L37" s="47"/>
      <c r="M37" s="2"/>
      <c r="R37" s="2"/>
      <c r="S37" s="2"/>
      <c r="T37" s="2"/>
      <c r="U37" s="2"/>
      <c r="V37" s="2"/>
      <c r="W37" s="2"/>
      <c r="X37" s="2"/>
      <c r="Y37" s="2"/>
      <c r="Z37" s="183"/>
      <c r="AA37" s="115"/>
    </row>
    <row r="38" spans="2:27">
      <c r="B38" s="114"/>
      <c r="C38" s="344"/>
      <c r="D38" s="727"/>
      <c r="E38" s="727"/>
      <c r="F38" s="727"/>
      <c r="G38" s="727"/>
      <c r="H38" s="727"/>
      <c r="I38" s="727"/>
      <c r="J38" s="727"/>
      <c r="K38" s="23"/>
      <c r="L38" s="47"/>
      <c r="M38" s="2"/>
      <c r="R38" s="2"/>
      <c r="S38" s="2"/>
      <c r="T38" s="2"/>
      <c r="U38" s="2"/>
      <c r="V38" s="2"/>
      <c r="W38" s="2"/>
      <c r="X38" s="2"/>
      <c r="Y38" s="2"/>
      <c r="Z38" s="183"/>
      <c r="AA38" s="115"/>
    </row>
    <row r="39" spans="2:27">
      <c r="B39" s="114"/>
      <c r="C39" s="344"/>
      <c r="D39" s="727"/>
      <c r="E39" s="727"/>
      <c r="F39" s="727"/>
      <c r="G39" s="727"/>
      <c r="H39" s="727"/>
      <c r="I39" s="727"/>
      <c r="J39" s="727"/>
      <c r="K39" s="23"/>
      <c r="L39" s="47"/>
      <c r="M39" s="2"/>
      <c r="R39" s="2"/>
      <c r="S39" s="2"/>
      <c r="T39" s="2"/>
      <c r="U39" s="2"/>
      <c r="V39" s="2"/>
      <c r="W39" s="2"/>
      <c r="X39" s="2"/>
      <c r="Y39" s="2"/>
      <c r="Z39" s="183"/>
      <c r="AA39" s="115"/>
    </row>
    <row r="40" spans="2:27">
      <c r="B40" s="114"/>
      <c r="C40" s="344"/>
      <c r="D40" s="791"/>
      <c r="E40" s="791"/>
      <c r="F40" s="791"/>
      <c r="G40" s="791"/>
      <c r="H40" s="791"/>
      <c r="I40" s="791"/>
      <c r="J40" s="791"/>
      <c r="K40" s="23"/>
      <c r="L40" s="47"/>
      <c r="M40" s="2"/>
      <c r="R40" s="2"/>
      <c r="S40" s="2"/>
      <c r="T40" s="2"/>
      <c r="U40" s="2"/>
      <c r="V40" s="2"/>
      <c r="W40" s="2"/>
      <c r="X40" s="2"/>
      <c r="Y40" s="2"/>
      <c r="Z40" s="183"/>
      <c r="AA40" s="115"/>
    </row>
    <row r="41" spans="2:27" ht="16" thickBot="1">
      <c r="B41" s="114"/>
      <c r="D41" s="702" t="s">
        <v>42</v>
      </c>
      <c r="E41" s="703"/>
      <c r="F41" s="703"/>
      <c r="G41" s="703"/>
      <c r="H41" s="703"/>
      <c r="I41" s="703"/>
      <c r="J41" s="704"/>
      <c r="K41" s="23"/>
      <c r="L41" s="47"/>
      <c r="M41" s="2"/>
      <c r="R41" s="2"/>
      <c r="S41" s="2"/>
      <c r="T41" s="2"/>
      <c r="U41" s="2"/>
      <c r="V41" s="2"/>
      <c r="W41" s="2"/>
      <c r="X41" s="2"/>
      <c r="Y41" s="2"/>
      <c r="Z41" s="183"/>
      <c r="AA41" s="115"/>
    </row>
    <row r="42" spans="2:27" ht="18" customHeight="1">
      <c r="B42" s="114"/>
      <c r="C42" s="2"/>
      <c r="D42" s="705"/>
      <c r="E42" s="706"/>
      <c r="F42" s="706"/>
      <c r="G42" s="706"/>
      <c r="H42" s="706"/>
      <c r="I42" s="706"/>
      <c r="J42" s="707"/>
      <c r="K42" s="23"/>
      <c r="L42" s="235"/>
      <c r="M42" s="742" t="s">
        <v>43</v>
      </c>
      <c r="N42" s="743"/>
      <c r="O42" s="743"/>
      <c r="P42" s="743"/>
      <c r="Q42" s="743"/>
      <c r="R42" s="743"/>
      <c r="S42" s="743"/>
      <c r="T42" s="743"/>
      <c r="U42" s="743"/>
      <c r="V42" s="743"/>
      <c r="W42" s="743"/>
      <c r="X42" s="743"/>
      <c r="Y42" s="128"/>
      <c r="Z42" s="183"/>
      <c r="AA42" s="115"/>
    </row>
    <row r="43" spans="2:27" ht="16.5" customHeight="1">
      <c r="B43" s="114"/>
      <c r="D43" s="6"/>
      <c r="E43" s="2"/>
      <c r="F43" s="2"/>
      <c r="G43" s="2"/>
      <c r="H43" s="2"/>
      <c r="I43" s="2"/>
      <c r="K43" s="23"/>
      <c r="L43" s="235"/>
      <c r="M43" s="37"/>
      <c r="N43" s="251"/>
      <c r="O43" s="251"/>
      <c r="P43" s="251"/>
      <c r="Q43" s="251"/>
      <c r="R43" s="252"/>
      <c r="S43" s="253"/>
      <c r="T43" s="253"/>
      <c r="U43" s="254"/>
      <c r="V43" s="254"/>
      <c r="W43" s="254"/>
      <c r="X43" s="254"/>
      <c r="Y43" s="129"/>
      <c r="Z43" s="183"/>
      <c r="AA43" s="115"/>
    </row>
    <row r="44" spans="2:27" ht="16.5" customHeight="1">
      <c r="B44" s="114"/>
      <c r="C44" s="342" t="s">
        <v>43</v>
      </c>
      <c r="K44" s="23"/>
      <c r="L44" s="235"/>
      <c r="M44" s="37"/>
      <c r="N44" s="744" t="s">
        <v>44</v>
      </c>
      <c r="O44" s="745"/>
      <c r="P44" s="745"/>
      <c r="Q44" s="745"/>
      <c r="R44" s="746"/>
      <c r="S44" s="253"/>
      <c r="T44" s="744" t="s">
        <v>45</v>
      </c>
      <c r="U44" s="745"/>
      <c r="V44" s="745"/>
      <c r="W44" s="745"/>
      <c r="X44" s="746"/>
      <c r="Y44" s="129"/>
      <c r="Z44" s="183"/>
      <c r="AA44" s="115"/>
    </row>
    <row r="45" spans="2:27" ht="16.5" customHeight="1">
      <c r="B45" s="114"/>
      <c r="C45" s="347">
        <v>15</v>
      </c>
      <c r="D45" s="727" t="s">
        <v>46</v>
      </c>
      <c r="E45" s="727"/>
      <c r="F45" s="727"/>
      <c r="G45" s="727"/>
      <c r="H45" s="727"/>
      <c r="I45" s="727"/>
      <c r="J45" s="727"/>
      <c r="K45" s="346" t="s">
        <v>6</v>
      </c>
      <c r="L45" s="235"/>
      <c r="M45" s="37"/>
      <c r="N45" s="230">
        <v>1</v>
      </c>
      <c r="O45" s="698" t="s">
        <v>47</v>
      </c>
      <c r="P45" s="699"/>
      <c r="Q45" s="698" t="s">
        <v>48</v>
      </c>
      <c r="R45" s="699"/>
      <c r="S45" s="253"/>
      <c r="T45" s="232">
        <v>1</v>
      </c>
      <c r="U45" s="698" t="s">
        <v>47</v>
      </c>
      <c r="V45" s="699"/>
      <c r="W45" s="698" t="s">
        <v>48</v>
      </c>
      <c r="X45" s="699"/>
      <c r="Y45" s="129"/>
      <c r="Z45" s="183"/>
      <c r="AA45" s="115"/>
    </row>
    <row r="46" spans="2:27" ht="16.5" customHeight="1">
      <c r="B46" s="114"/>
      <c r="C46" s="23"/>
      <c r="D46" s="727"/>
      <c r="E46" s="727"/>
      <c r="F46" s="727"/>
      <c r="G46" s="727"/>
      <c r="H46" s="727"/>
      <c r="I46" s="727"/>
      <c r="J46" s="727"/>
      <c r="K46" s="23"/>
      <c r="L46" s="235"/>
      <c r="M46" s="37"/>
      <c r="N46" s="230">
        <v>2</v>
      </c>
      <c r="O46" s="698"/>
      <c r="P46" s="699"/>
      <c r="Q46" s="698"/>
      <c r="R46" s="699"/>
      <c r="S46" s="253"/>
      <c r="T46" s="232">
        <v>2</v>
      </c>
      <c r="U46" s="698"/>
      <c r="V46" s="699"/>
      <c r="W46" s="698"/>
      <c r="X46" s="699"/>
      <c r="Y46" s="129"/>
      <c r="Z46" s="183"/>
      <c r="AA46" s="115"/>
    </row>
    <row r="47" spans="2:27" ht="16.5" customHeight="1">
      <c r="B47" s="114"/>
      <c r="C47" s="344">
        <v>16</v>
      </c>
      <c r="D47" s="727" t="s">
        <v>49</v>
      </c>
      <c r="E47" s="727"/>
      <c r="F47" s="727"/>
      <c r="G47" s="727"/>
      <c r="H47" s="727"/>
      <c r="I47" s="727"/>
      <c r="J47" s="727"/>
      <c r="K47" s="346" t="s">
        <v>6</v>
      </c>
      <c r="L47" s="235"/>
      <c r="M47" s="37"/>
      <c r="N47" s="230">
        <v>3</v>
      </c>
      <c r="O47" s="698"/>
      <c r="P47" s="699"/>
      <c r="Q47" s="698"/>
      <c r="R47" s="699"/>
      <c r="S47" s="253"/>
      <c r="T47" s="233">
        <v>3</v>
      </c>
      <c r="U47" s="698"/>
      <c r="V47" s="699"/>
      <c r="W47" s="698"/>
      <c r="X47" s="699"/>
      <c r="Y47" s="129"/>
      <c r="Z47" s="183"/>
      <c r="AA47" s="115"/>
    </row>
    <row r="48" spans="2:27" ht="16.5" customHeight="1">
      <c r="B48" s="114"/>
      <c r="D48" s="727"/>
      <c r="E48" s="727"/>
      <c r="F48" s="727"/>
      <c r="G48" s="727"/>
      <c r="H48" s="727"/>
      <c r="I48" s="727"/>
      <c r="J48" s="727"/>
      <c r="K48" s="23"/>
      <c r="L48" s="235"/>
      <c r="M48" s="37"/>
      <c r="N48" s="231" t="s">
        <v>50</v>
      </c>
      <c r="O48" s="698"/>
      <c r="P48" s="699"/>
      <c r="Q48" s="698"/>
      <c r="R48" s="699"/>
      <c r="S48" s="253"/>
      <c r="T48" s="234" t="s">
        <v>50</v>
      </c>
      <c r="U48" s="698"/>
      <c r="V48" s="699"/>
      <c r="W48" s="698"/>
      <c r="X48" s="699"/>
      <c r="Y48" s="129"/>
      <c r="Z48" s="183"/>
      <c r="AA48" s="115"/>
    </row>
    <row r="49" spans="2:27">
      <c r="B49" s="114"/>
      <c r="D49" s="737" t="s">
        <v>51</v>
      </c>
      <c r="E49" s="738"/>
      <c r="F49" s="738"/>
      <c r="G49" s="738"/>
      <c r="H49" s="738"/>
      <c r="I49" s="738"/>
      <c r="J49" s="739"/>
      <c r="K49" s="23"/>
      <c r="L49" s="235"/>
      <c r="M49" s="37"/>
      <c r="N49" s="230">
        <v>50</v>
      </c>
      <c r="O49" s="698"/>
      <c r="P49" s="699"/>
      <c r="Q49" s="698"/>
      <c r="R49" s="699"/>
      <c r="S49" s="253"/>
      <c r="T49" s="232">
        <v>50</v>
      </c>
      <c r="U49" s="698"/>
      <c r="V49" s="699"/>
      <c r="W49" s="698"/>
      <c r="X49" s="699"/>
      <c r="Y49" s="129"/>
      <c r="Z49" s="183"/>
      <c r="AA49" s="115"/>
    </row>
    <row r="50" spans="2:27" ht="17.25" customHeight="1" thickBot="1">
      <c r="B50" s="114"/>
      <c r="D50" s="782" t="s">
        <v>52</v>
      </c>
      <c r="E50" s="783"/>
      <c r="F50" s="783"/>
      <c r="G50" s="783"/>
      <c r="H50" s="783"/>
      <c r="I50" s="783"/>
      <c r="J50" s="784"/>
      <c r="K50" s="23"/>
      <c r="L50" s="47"/>
      <c r="M50" s="38"/>
      <c r="N50" s="41"/>
      <c r="O50" s="41"/>
      <c r="P50" s="41"/>
      <c r="Q50" s="41"/>
      <c r="R50" s="39"/>
      <c r="S50" s="94"/>
      <c r="T50" s="94"/>
      <c r="U50" s="95"/>
      <c r="V50" s="95"/>
      <c r="W50" s="95"/>
      <c r="X50" s="95"/>
      <c r="Y50" s="130"/>
      <c r="Z50" s="183"/>
      <c r="AA50" s="115"/>
    </row>
    <row r="51" spans="2:27" ht="14">
      <c r="B51" s="114"/>
      <c r="C51" s="2"/>
      <c r="D51" s="720" t="s">
        <v>53</v>
      </c>
      <c r="E51" s="721"/>
      <c r="F51" s="721"/>
      <c r="G51" s="721"/>
      <c r="H51" s="721"/>
      <c r="I51" s="721"/>
      <c r="J51" s="722"/>
      <c r="L51" s="47"/>
      <c r="M51" s="2"/>
      <c r="R51" s="2"/>
      <c r="S51" s="2"/>
      <c r="T51" s="2"/>
      <c r="U51" s="2"/>
      <c r="V51" s="2"/>
      <c r="W51" s="2"/>
      <c r="X51" s="2"/>
      <c r="Y51" s="2"/>
      <c r="Z51" s="183"/>
      <c r="AA51" s="115"/>
    </row>
    <row r="52" spans="2:27">
      <c r="B52" s="114"/>
      <c r="C52" s="2"/>
      <c r="D52" s="720"/>
      <c r="E52" s="721"/>
      <c r="F52" s="721"/>
      <c r="G52" s="721"/>
      <c r="H52" s="721"/>
      <c r="I52" s="721"/>
      <c r="J52" s="722"/>
      <c r="L52" s="718" t="s">
        <v>54</v>
      </c>
      <c r="M52" s="717"/>
      <c r="N52" s="717"/>
      <c r="O52" s="717"/>
      <c r="P52" s="719" t="s">
        <v>55</v>
      </c>
      <c r="Q52" s="719"/>
      <c r="R52" s="719"/>
      <c r="S52" s="719"/>
      <c r="T52" s="719"/>
      <c r="U52" s="717" t="s">
        <v>56</v>
      </c>
      <c r="V52" s="717"/>
      <c r="W52" s="717" t="s">
        <v>57</v>
      </c>
      <c r="X52" s="717"/>
      <c r="Y52" s="717" t="s">
        <v>58</v>
      </c>
      <c r="Z52" s="726"/>
      <c r="AA52" s="115"/>
    </row>
    <row r="53" spans="2:27" ht="14">
      <c r="B53" s="114"/>
      <c r="C53" s="2"/>
      <c r="D53" s="723"/>
      <c r="E53" s="724"/>
      <c r="F53" s="724"/>
      <c r="G53" s="724"/>
      <c r="H53" s="724"/>
      <c r="I53" s="724"/>
      <c r="J53" s="725"/>
      <c r="L53" s="207"/>
      <c r="M53" s="208"/>
      <c r="N53" s="208"/>
      <c r="O53" s="208"/>
      <c r="P53" s="208"/>
      <c r="Q53" s="208"/>
      <c r="R53" s="208"/>
      <c r="S53" s="208"/>
      <c r="T53" s="208"/>
      <c r="U53" s="208"/>
      <c r="V53" s="208"/>
      <c r="W53" s="208"/>
      <c r="X53" s="208"/>
      <c r="Y53" s="208"/>
      <c r="Z53" s="214"/>
      <c r="AA53" s="115"/>
    </row>
    <row r="54" spans="2:27" ht="16" thickBot="1">
      <c r="B54" s="116"/>
      <c r="C54" s="136"/>
      <c r="D54" s="148"/>
      <c r="E54" s="120"/>
      <c r="F54" s="120"/>
      <c r="G54" s="120"/>
      <c r="H54" s="120"/>
      <c r="I54" s="120"/>
      <c r="J54" s="118"/>
      <c r="K54" s="118"/>
      <c r="L54" s="118"/>
      <c r="M54" s="117"/>
      <c r="N54" s="118"/>
      <c r="O54" s="118"/>
      <c r="P54" s="118"/>
      <c r="Q54" s="118"/>
      <c r="R54" s="137"/>
      <c r="S54" s="138"/>
      <c r="T54" s="138"/>
      <c r="U54" s="119"/>
      <c r="V54" s="119"/>
      <c r="W54" s="119"/>
      <c r="X54" s="119"/>
      <c r="Y54" s="119"/>
      <c r="Z54" s="118"/>
      <c r="AA54" s="121"/>
    </row>
    <row r="55" spans="2:27" ht="16" thickBot="1"/>
    <row r="56" spans="2:27" ht="14">
      <c r="B56" s="104"/>
      <c r="C56" s="105"/>
      <c r="D56" s="147"/>
      <c r="E56" s="106"/>
      <c r="F56" s="106"/>
      <c r="G56" s="106"/>
      <c r="H56" s="106"/>
      <c r="I56" s="106"/>
      <c r="J56" s="106"/>
      <c r="K56" s="107"/>
      <c r="L56" s="107"/>
      <c r="M56" s="107"/>
      <c r="N56" s="107"/>
      <c r="O56" s="107"/>
      <c r="P56" s="107"/>
      <c r="Q56" s="107"/>
      <c r="R56" s="107"/>
      <c r="S56" s="107"/>
      <c r="T56" s="107"/>
      <c r="U56" s="107"/>
      <c r="V56" s="107"/>
      <c r="W56" s="107"/>
      <c r="X56" s="107"/>
      <c r="Y56" s="107"/>
      <c r="Z56" s="107"/>
      <c r="AA56" s="133"/>
    </row>
    <row r="57" spans="2:27" ht="22.5">
      <c r="B57" s="108"/>
      <c r="C57" s="103">
        <v>2</v>
      </c>
      <c r="D57" s="149" t="s">
        <v>59</v>
      </c>
      <c r="E57" s="101"/>
      <c r="F57" s="101"/>
      <c r="G57" s="101"/>
      <c r="H57" s="101"/>
      <c r="I57" s="101"/>
      <c r="J57" s="101"/>
      <c r="K57" s="102"/>
      <c r="L57" s="102"/>
      <c r="M57" s="102"/>
      <c r="N57" s="102"/>
      <c r="O57" s="102"/>
      <c r="P57" s="102"/>
      <c r="Q57" s="102"/>
      <c r="R57" s="102"/>
      <c r="S57" s="102"/>
      <c r="T57" s="102"/>
      <c r="U57" s="102"/>
      <c r="V57" s="102"/>
      <c r="W57" s="102"/>
      <c r="X57" s="102"/>
      <c r="Y57" s="102"/>
      <c r="Z57" s="102"/>
      <c r="AA57" s="134"/>
    </row>
    <row r="58" spans="2:27" ht="14.5" thickBot="1">
      <c r="B58" s="109"/>
      <c r="C58" s="123"/>
      <c r="D58" s="150"/>
      <c r="E58" s="112"/>
      <c r="F58" s="112"/>
      <c r="G58" s="112"/>
      <c r="H58" s="112"/>
      <c r="I58" s="112"/>
      <c r="J58" s="110"/>
      <c r="K58" s="111"/>
      <c r="L58" s="111"/>
      <c r="M58" s="111"/>
      <c r="N58" s="111"/>
      <c r="O58" s="111"/>
      <c r="P58" s="111"/>
      <c r="Q58" s="111"/>
      <c r="R58" s="111"/>
      <c r="S58" s="111"/>
      <c r="T58" s="111"/>
      <c r="U58" s="111"/>
      <c r="V58" s="111"/>
      <c r="W58" s="111"/>
      <c r="X58" s="111"/>
      <c r="Y58" s="111"/>
      <c r="Z58" s="111"/>
      <c r="AA58" s="135"/>
    </row>
    <row r="59" spans="2:27">
      <c r="B59" s="160"/>
      <c r="M59" s="2"/>
      <c r="R59" s="2"/>
      <c r="S59" s="2"/>
      <c r="AA59" s="161"/>
    </row>
    <row r="60" spans="2:27">
      <c r="B60" s="160"/>
      <c r="M60" s="2"/>
      <c r="R60" s="2"/>
      <c r="S60" s="2"/>
      <c r="AA60" s="161"/>
    </row>
    <row r="61" spans="2:27">
      <c r="B61" s="160"/>
      <c r="M61" s="2"/>
      <c r="R61" s="2"/>
      <c r="S61" s="2"/>
      <c r="AA61" s="161"/>
    </row>
    <row r="62" spans="2:27">
      <c r="B62" s="160"/>
      <c r="M62" s="2"/>
      <c r="R62" s="2"/>
      <c r="S62" s="2"/>
      <c r="AA62" s="161"/>
    </row>
    <row r="63" spans="2:27">
      <c r="B63" s="160"/>
      <c r="M63" s="2"/>
      <c r="R63" s="2"/>
      <c r="S63" s="2"/>
      <c r="AA63" s="161"/>
    </row>
    <row r="64" spans="2:27">
      <c r="B64" s="160"/>
      <c r="M64" s="2"/>
      <c r="R64" s="2"/>
      <c r="S64" s="2"/>
      <c r="AA64" s="161"/>
    </row>
    <row r="65" spans="2:27">
      <c r="B65" s="160"/>
      <c r="M65" s="2"/>
      <c r="R65" s="2"/>
      <c r="S65" s="2"/>
      <c r="AA65" s="161"/>
    </row>
    <row r="66" spans="2:27">
      <c r="B66" s="160"/>
      <c r="M66" s="2"/>
      <c r="R66" s="2"/>
      <c r="S66" s="2"/>
      <c r="AA66" s="161"/>
    </row>
    <row r="67" spans="2:27">
      <c r="B67" s="160"/>
      <c r="M67" s="2"/>
      <c r="R67" s="2"/>
      <c r="S67" s="2"/>
      <c r="AA67" s="161"/>
    </row>
    <row r="68" spans="2:27">
      <c r="B68" s="160"/>
      <c r="C68" s="342" t="s">
        <v>60</v>
      </c>
      <c r="M68" s="788" t="s">
        <v>61</v>
      </c>
      <c r="N68" s="789"/>
      <c r="O68" s="789"/>
      <c r="P68" s="789"/>
      <c r="Q68" s="789"/>
      <c r="R68" s="789"/>
      <c r="S68" s="789"/>
      <c r="T68" s="789"/>
      <c r="U68" s="789"/>
      <c r="V68" s="789"/>
      <c r="W68" s="789"/>
      <c r="X68" s="789"/>
      <c r="Y68" s="789"/>
      <c r="Z68" s="790"/>
      <c r="AA68" s="161"/>
    </row>
    <row r="69" spans="2:27" ht="15.5" customHeight="1">
      <c r="B69" s="160"/>
      <c r="C69" s="344">
        <v>1</v>
      </c>
      <c r="D69" s="6" t="s">
        <v>62</v>
      </c>
      <c r="M69" s="152"/>
      <c r="T69" s="78"/>
      <c r="U69" s="78"/>
      <c r="V69" s="78"/>
      <c r="W69" s="78"/>
      <c r="X69" s="78"/>
      <c r="Y69" s="78"/>
      <c r="Z69" s="175"/>
      <c r="AA69" s="161"/>
    </row>
    <row r="70" spans="2:27" ht="15.5" customHeight="1">
      <c r="B70" s="160"/>
      <c r="C70" s="344"/>
      <c r="D70" s="798" t="s">
        <v>63</v>
      </c>
      <c r="E70" s="799"/>
      <c r="F70" s="799"/>
      <c r="G70" s="799"/>
      <c r="H70" s="799"/>
      <c r="I70" s="799"/>
      <c r="J70" s="799"/>
      <c r="K70" s="800"/>
      <c r="M70" s="152"/>
      <c r="N70" s="139">
        <v>3</v>
      </c>
      <c r="O70" s="158" t="s">
        <v>64</v>
      </c>
      <c r="P70" s="158"/>
      <c r="Q70" s="158"/>
      <c r="R70" s="157"/>
      <c r="S70" s="807" t="s">
        <v>65</v>
      </c>
      <c r="T70" s="807"/>
      <c r="U70" s="807"/>
      <c r="V70" s="807"/>
      <c r="W70" s="807"/>
      <c r="X70" s="807"/>
      <c r="Y70" s="807"/>
      <c r="Z70" s="808"/>
      <c r="AA70" s="161"/>
    </row>
    <row r="71" spans="2:27" ht="16.5" customHeight="1">
      <c r="B71" s="160"/>
      <c r="C71" s="344"/>
      <c r="D71" s="801"/>
      <c r="E71" s="802"/>
      <c r="F71" s="802"/>
      <c r="G71" s="802"/>
      <c r="H71" s="802"/>
      <c r="I71" s="802"/>
      <c r="J71" s="802"/>
      <c r="K71" s="803"/>
      <c r="M71" s="44"/>
      <c r="O71" s="159"/>
      <c r="P71" s="159"/>
      <c r="Q71" s="159"/>
      <c r="R71" s="157"/>
      <c r="S71" s="807"/>
      <c r="T71" s="807"/>
      <c r="U71" s="807"/>
      <c r="V71" s="807"/>
      <c r="W71" s="807"/>
      <c r="X71" s="807"/>
      <c r="Y71" s="807"/>
      <c r="Z71" s="808"/>
      <c r="AA71" s="161"/>
    </row>
    <row r="72" spans="2:27" ht="15.5" customHeight="1">
      <c r="B72" s="160"/>
      <c r="C72" s="344">
        <v>2</v>
      </c>
      <c r="D72" s="6" t="s">
        <v>66</v>
      </c>
      <c r="E72" s="2"/>
      <c r="F72" s="2"/>
      <c r="G72" s="2"/>
      <c r="H72" s="2"/>
      <c r="I72" s="2"/>
      <c r="M72" s="44"/>
      <c r="N72" s="140"/>
      <c r="O72" s="158" t="s">
        <v>67</v>
      </c>
      <c r="P72" s="158"/>
      <c r="Q72" s="158"/>
      <c r="R72" s="157"/>
      <c r="S72" s="807" t="s">
        <v>68</v>
      </c>
      <c r="T72" s="807"/>
      <c r="U72" s="807"/>
      <c r="V72" s="807"/>
      <c r="W72" s="807"/>
      <c r="X72" s="807"/>
      <c r="Y72" s="807"/>
      <c r="Z72" s="808"/>
      <c r="AA72" s="161"/>
    </row>
    <row r="73" spans="2:27">
      <c r="B73" s="160"/>
      <c r="C73" s="344">
        <v>3</v>
      </c>
      <c r="D73" s="6" t="s">
        <v>69</v>
      </c>
      <c r="E73" s="2"/>
      <c r="F73" s="2"/>
      <c r="G73" s="2"/>
      <c r="H73" s="2"/>
      <c r="I73" s="2"/>
      <c r="M73" s="44"/>
      <c r="O73" s="159"/>
      <c r="P73" s="159"/>
      <c r="Q73" s="159"/>
      <c r="R73" s="157"/>
      <c r="S73" s="807"/>
      <c r="T73" s="807"/>
      <c r="U73" s="807"/>
      <c r="V73" s="807"/>
      <c r="W73" s="807"/>
      <c r="X73" s="807"/>
      <c r="Y73" s="807"/>
      <c r="Z73" s="808"/>
      <c r="AA73" s="161"/>
    </row>
    <row r="74" spans="2:27" ht="15.5" customHeight="1">
      <c r="B74" s="160"/>
      <c r="C74" s="344"/>
      <c r="D74" s="345" t="s">
        <v>70</v>
      </c>
      <c r="E74" s="339"/>
      <c r="F74" s="346" t="s">
        <v>6</v>
      </c>
      <c r="G74" s="162" t="s">
        <v>71</v>
      </c>
      <c r="K74" s="90"/>
      <c r="M74" s="44"/>
      <c r="N74" s="141"/>
      <c r="O74" s="158" t="s">
        <v>72</v>
      </c>
      <c r="P74" s="158"/>
      <c r="Q74" s="158"/>
      <c r="R74" s="157"/>
      <c r="S74" s="807" t="s">
        <v>73</v>
      </c>
      <c r="T74" s="807"/>
      <c r="U74" s="807"/>
      <c r="V74" s="807"/>
      <c r="W74" s="807"/>
      <c r="X74" s="807"/>
      <c r="Y74" s="807"/>
      <c r="Z74" s="808"/>
      <c r="AA74" s="161"/>
    </row>
    <row r="75" spans="2:27" ht="15.5" customHeight="1">
      <c r="B75" s="160"/>
      <c r="C75" s="344"/>
      <c r="D75" s="345" t="s">
        <v>74</v>
      </c>
      <c r="E75" s="339"/>
      <c r="F75" s="346" t="s">
        <v>6</v>
      </c>
      <c r="G75" s="162" t="s">
        <v>75</v>
      </c>
      <c r="M75" s="44"/>
      <c r="O75" s="159"/>
      <c r="P75" s="159"/>
      <c r="Q75" s="159"/>
      <c r="R75" s="157"/>
      <c r="S75" s="807"/>
      <c r="T75" s="807"/>
      <c r="U75" s="807"/>
      <c r="V75" s="807"/>
      <c r="W75" s="807"/>
      <c r="X75" s="807"/>
      <c r="Y75" s="807"/>
      <c r="Z75" s="808"/>
      <c r="AA75" s="161"/>
    </row>
    <row r="76" spans="2:27" ht="15.5" customHeight="1">
      <c r="B76" s="160"/>
      <c r="C76" s="344">
        <v>4</v>
      </c>
      <c r="D76" s="162" t="s">
        <v>76</v>
      </c>
      <c r="M76" s="152"/>
      <c r="N76" s="142">
        <v>5</v>
      </c>
      <c r="O76" s="809" t="s">
        <v>77</v>
      </c>
      <c r="P76" s="809"/>
      <c r="Q76" s="809"/>
      <c r="R76" s="809"/>
      <c r="S76" s="807" t="s">
        <v>78</v>
      </c>
      <c r="T76" s="807"/>
      <c r="U76" s="807"/>
      <c r="V76" s="807"/>
      <c r="W76" s="807"/>
      <c r="X76" s="807"/>
      <c r="Y76" s="807"/>
      <c r="Z76" s="808"/>
      <c r="AA76" s="161"/>
    </row>
    <row r="77" spans="2:27" ht="15.5" customHeight="1">
      <c r="B77" s="160"/>
      <c r="M77" s="152"/>
      <c r="O77" s="809"/>
      <c r="P77" s="809"/>
      <c r="Q77" s="809"/>
      <c r="R77" s="809"/>
      <c r="S77" s="807"/>
      <c r="T77" s="807"/>
      <c r="U77" s="807"/>
      <c r="V77" s="807"/>
      <c r="W77" s="807"/>
      <c r="X77" s="807"/>
      <c r="Y77" s="807"/>
      <c r="Z77" s="808"/>
      <c r="AA77" s="161"/>
    </row>
    <row r="78" spans="2:27">
      <c r="B78" s="160"/>
      <c r="D78" s="124" t="s">
        <v>79</v>
      </c>
      <c r="E78" s="172"/>
      <c r="F78" s="172"/>
      <c r="G78" s="172"/>
      <c r="H78" s="172"/>
      <c r="I78" s="172"/>
      <c r="J78" s="173"/>
      <c r="K78" s="174"/>
      <c r="M78" s="152"/>
      <c r="O78" s="100"/>
      <c r="P78" s="100"/>
      <c r="Q78" s="100"/>
      <c r="R78" s="151"/>
      <c r="S78" s="807"/>
      <c r="T78" s="807"/>
      <c r="U78" s="807"/>
      <c r="V78" s="807"/>
      <c r="W78" s="807"/>
      <c r="X78" s="807"/>
      <c r="Y78" s="807"/>
      <c r="Z78" s="808"/>
      <c r="AA78" s="161"/>
    </row>
    <row r="79" spans="2:27" ht="15.5" customHeight="1">
      <c r="B79" s="160"/>
      <c r="D79" s="711" t="s">
        <v>80</v>
      </c>
      <c r="E79" s="712"/>
      <c r="F79" s="712"/>
      <c r="G79" s="712"/>
      <c r="H79" s="712"/>
      <c r="I79" s="712"/>
      <c r="J79" s="712"/>
      <c r="K79" s="713"/>
      <c r="M79" s="152"/>
      <c r="N79" s="143">
        <v>70</v>
      </c>
      <c r="O79" s="158" t="s">
        <v>81</v>
      </c>
      <c r="P79" s="158"/>
      <c r="Q79" s="158"/>
      <c r="R79" s="157"/>
      <c r="S79" s="807" t="s">
        <v>82</v>
      </c>
      <c r="T79" s="807"/>
      <c r="U79" s="807"/>
      <c r="V79" s="807"/>
      <c r="W79" s="807"/>
      <c r="X79" s="807"/>
      <c r="Y79" s="807"/>
      <c r="Z79" s="808"/>
      <c r="AA79" s="161"/>
    </row>
    <row r="80" spans="2:27">
      <c r="B80" s="160"/>
      <c r="D80" s="711"/>
      <c r="E80" s="712"/>
      <c r="F80" s="712"/>
      <c r="G80" s="712"/>
      <c r="H80" s="712"/>
      <c r="I80" s="712"/>
      <c r="J80" s="712"/>
      <c r="K80" s="713"/>
      <c r="M80" s="153"/>
      <c r="N80" s="22"/>
      <c r="O80" s="22"/>
      <c r="P80" s="22"/>
      <c r="Q80" s="22"/>
      <c r="R80" s="154"/>
      <c r="S80" s="55"/>
      <c r="T80" s="55"/>
      <c r="U80" s="155"/>
      <c r="V80" s="155"/>
      <c r="W80" s="155"/>
      <c r="X80" s="155"/>
      <c r="Y80" s="155"/>
      <c r="Z80" s="156"/>
      <c r="AA80" s="161"/>
    </row>
    <row r="81" spans="2:27">
      <c r="B81" s="160"/>
      <c r="D81" s="750" t="s">
        <v>83</v>
      </c>
      <c r="E81" s="751"/>
      <c r="F81" s="751"/>
      <c r="G81" s="751"/>
      <c r="H81" s="751"/>
      <c r="I81" s="751"/>
      <c r="J81" s="751"/>
      <c r="K81" s="752"/>
      <c r="AA81" s="161"/>
    </row>
    <row r="82" spans="2:27">
      <c r="B82" s="160"/>
      <c r="D82" s="753"/>
      <c r="E82" s="754"/>
      <c r="F82" s="754"/>
      <c r="G82" s="754"/>
      <c r="H82" s="754"/>
      <c r="I82" s="754"/>
      <c r="J82" s="754"/>
      <c r="K82" s="755"/>
      <c r="AA82" s="161"/>
    </row>
    <row r="83" spans="2:27" ht="16" thickBot="1">
      <c r="B83" s="163"/>
      <c r="C83" s="164"/>
      <c r="D83" s="165"/>
      <c r="E83" s="165"/>
      <c r="F83" s="165"/>
      <c r="G83" s="165"/>
      <c r="H83" s="165"/>
      <c r="I83" s="165"/>
      <c r="J83" s="165"/>
      <c r="K83" s="165"/>
      <c r="L83" s="166"/>
      <c r="M83" s="167"/>
      <c r="N83" s="166"/>
      <c r="O83" s="166"/>
      <c r="P83" s="166"/>
      <c r="Q83" s="166"/>
      <c r="R83" s="168"/>
      <c r="S83" s="169"/>
      <c r="T83" s="169"/>
      <c r="U83" s="170"/>
      <c r="V83" s="170"/>
      <c r="W83" s="170"/>
      <c r="X83" s="170"/>
      <c r="Y83" s="170"/>
      <c r="Z83" s="166"/>
      <c r="AA83" s="171"/>
    </row>
    <row r="84" spans="2:27" ht="16" thickBot="1">
      <c r="D84" s="144"/>
      <c r="E84" s="144"/>
      <c r="F84" s="144"/>
      <c r="G84" s="144"/>
      <c r="H84" s="144"/>
      <c r="I84" s="144"/>
      <c r="J84" s="144"/>
      <c r="K84" s="144"/>
      <c r="O84" s="90"/>
      <c r="P84" s="90"/>
      <c r="Q84" s="90"/>
    </row>
    <row r="85" spans="2:27" ht="14">
      <c r="B85" s="104"/>
      <c r="C85" s="105"/>
      <c r="D85" s="147"/>
      <c r="E85" s="106"/>
      <c r="F85" s="106"/>
      <c r="G85" s="106"/>
      <c r="H85" s="106"/>
      <c r="I85" s="106"/>
      <c r="J85" s="106"/>
      <c r="K85" s="107"/>
      <c r="L85" s="107"/>
      <c r="M85" s="107"/>
      <c r="N85" s="107"/>
      <c r="O85" s="107"/>
      <c r="P85" s="107"/>
      <c r="Q85" s="107"/>
      <c r="R85" s="107"/>
      <c r="S85" s="107"/>
      <c r="T85" s="107"/>
      <c r="U85" s="107"/>
      <c r="V85" s="107"/>
      <c r="W85" s="107"/>
      <c r="X85" s="107"/>
      <c r="Y85" s="107"/>
      <c r="Z85" s="107"/>
      <c r="AA85" s="133"/>
    </row>
    <row r="86" spans="2:27" ht="22.5">
      <c r="B86" s="108"/>
      <c r="C86" s="103">
        <v>3</v>
      </c>
      <c r="D86" s="149" t="s">
        <v>84</v>
      </c>
      <c r="E86" s="101"/>
      <c r="F86" s="101"/>
      <c r="G86" s="101"/>
      <c r="H86" s="101"/>
      <c r="I86" s="101"/>
      <c r="J86" s="101"/>
      <c r="K86" s="102"/>
      <c r="L86" s="102"/>
      <c r="M86" s="102"/>
      <c r="N86" s="102"/>
      <c r="O86" s="102"/>
      <c r="P86" s="102"/>
      <c r="Q86" s="102"/>
      <c r="R86" s="102"/>
      <c r="S86" s="102"/>
      <c r="T86" s="102"/>
      <c r="U86" s="102"/>
      <c r="V86" s="102"/>
      <c r="W86" s="102"/>
      <c r="X86" s="102"/>
      <c r="Y86" s="102"/>
      <c r="Z86" s="102"/>
      <c r="AA86" s="134"/>
    </row>
    <row r="87" spans="2:27" ht="14.5" thickBot="1">
      <c r="B87" s="109"/>
      <c r="C87" s="123"/>
      <c r="D87" s="150"/>
      <c r="E87" s="112"/>
      <c r="F87" s="112"/>
      <c r="G87" s="112"/>
      <c r="H87" s="112"/>
      <c r="I87" s="112"/>
      <c r="J87" s="110"/>
      <c r="K87" s="111"/>
      <c r="L87" s="111"/>
      <c r="M87" s="111"/>
      <c r="N87" s="111"/>
      <c r="O87" s="111"/>
      <c r="P87" s="111"/>
      <c r="Q87" s="111"/>
      <c r="R87" s="111"/>
      <c r="S87" s="111"/>
      <c r="T87" s="111"/>
      <c r="U87" s="111"/>
      <c r="V87" s="111"/>
      <c r="W87" s="111"/>
      <c r="X87" s="111"/>
      <c r="Y87" s="111"/>
      <c r="Z87" s="111"/>
      <c r="AA87" s="135"/>
    </row>
    <row r="88" spans="2:27" ht="14">
      <c r="B88" s="185"/>
      <c r="C88" s="186"/>
      <c r="D88" s="187"/>
      <c r="E88" s="186"/>
      <c r="F88" s="188"/>
      <c r="G88" s="188"/>
      <c r="H88" s="188"/>
      <c r="I88" s="188"/>
      <c r="J88" s="189"/>
      <c r="K88" s="188"/>
      <c r="L88" s="188"/>
      <c r="M88" s="188"/>
      <c r="N88" s="188"/>
      <c r="O88" s="188"/>
      <c r="P88" s="188"/>
      <c r="Q88" s="188"/>
      <c r="R88" s="189"/>
      <c r="S88" s="186"/>
      <c r="T88" s="186"/>
      <c r="U88" s="187"/>
      <c r="V88" s="187"/>
      <c r="W88" s="187"/>
      <c r="X88" s="187"/>
      <c r="Y88" s="187"/>
      <c r="Z88" s="188"/>
      <c r="AA88" s="190"/>
    </row>
    <row r="89" spans="2:27" ht="16.5" customHeight="1">
      <c r="B89" s="191"/>
      <c r="C89" s="710" t="s">
        <v>85</v>
      </c>
      <c r="D89" s="710"/>
      <c r="E89" s="710"/>
      <c r="F89" s="710"/>
      <c r="G89" s="710"/>
      <c r="H89" s="710"/>
      <c r="I89" s="710"/>
      <c r="J89" s="710"/>
      <c r="K89" s="710"/>
      <c r="L89" s="144"/>
      <c r="M89" s="788" t="s">
        <v>86</v>
      </c>
      <c r="N89" s="789"/>
      <c r="O89" s="789"/>
      <c r="P89" s="789"/>
      <c r="Q89" s="789"/>
      <c r="R89" s="789"/>
      <c r="S89" s="789"/>
      <c r="T89" s="789"/>
      <c r="U89" s="789"/>
      <c r="V89" s="789"/>
      <c r="W89" s="789"/>
      <c r="X89" s="789"/>
      <c r="Y89" s="789"/>
      <c r="Z89" s="790"/>
      <c r="AA89" s="192"/>
    </row>
    <row r="90" spans="2:27" ht="14" customHeight="1">
      <c r="B90" s="191"/>
      <c r="C90" s="710"/>
      <c r="D90" s="710"/>
      <c r="E90" s="710"/>
      <c r="F90" s="710"/>
      <c r="G90" s="710"/>
      <c r="H90" s="710"/>
      <c r="I90" s="710"/>
      <c r="J90" s="710"/>
      <c r="K90" s="710"/>
      <c r="L90" s="144"/>
      <c r="M90" s="152"/>
      <c r="Z90" s="183"/>
      <c r="AA90" s="192"/>
    </row>
    <row r="91" spans="2:27" ht="14">
      <c r="B91" s="191"/>
      <c r="C91" s="710"/>
      <c r="D91" s="710"/>
      <c r="E91" s="710"/>
      <c r="F91" s="710"/>
      <c r="G91" s="710"/>
      <c r="H91" s="710"/>
      <c r="I91" s="710"/>
      <c r="J91" s="710"/>
      <c r="K91" s="710"/>
      <c r="L91" s="144"/>
      <c r="M91" s="152"/>
      <c r="N91" s="340" t="s">
        <v>87</v>
      </c>
      <c r="O91" s="6" t="s">
        <v>88</v>
      </c>
      <c r="T91" s="11" t="s">
        <v>89</v>
      </c>
      <c r="U91" s="6" t="s">
        <v>90</v>
      </c>
      <c r="W91" s="2"/>
      <c r="X91" s="6"/>
      <c r="Y91" s="18"/>
      <c r="Z91" s="183"/>
      <c r="AA91" s="192"/>
    </row>
    <row r="92" spans="2:27" ht="16.5" customHeight="1">
      <c r="B92" s="191"/>
      <c r="D92" s="220"/>
      <c r="E92" s="220"/>
      <c r="F92" s="220"/>
      <c r="G92" s="220"/>
      <c r="H92" s="220"/>
      <c r="I92" s="220"/>
      <c r="J92" s="220"/>
      <c r="K92" s="220"/>
      <c r="L92" s="144"/>
      <c r="M92" s="152"/>
      <c r="N92" s="11" t="s">
        <v>91</v>
      </c>
      <c r="O92" s="6" t="s">
        <v>92</v>
      </c>
      <c r="T92" s="11" t="s">
        <v>93</v>
      </c>
      <c r="U92" s="6" t="s">
        <v>94</v>
      </c>
      <c r="W92" s="144"/>
      <c r="X92" s="144"/>
      <c r="Y92" s="144"/>
      <c r="Z92" s="183"/>
      <c r="AA92" s="192"/>
    </row>
    <row r="93" spans="2:27" ht="14">
      <c r="B93" s="191"/>
      <c r="C93" s="710" t="s">
        <v>95</v>
      </c>
      <c r="D93" s="710"/>
      <c r="E93" s="710"/>
      <c r="F93" s="710"/>
      <c r="G93" s="710"/>
      <c r="H93" s="710"/>
      <c r="I93" s="710"/>
      <c r="J93" s="710"/>
      <c r="K93" s="710"/>
      <c r="L93" s="144"/>
      <c r="M93" s="152"/>
      <c r="N93" s="11" t="s">
        <v>96</v>
      </c>
      <c r="O93" s="6" t="s">
        <v>97</v>
      </c>
      <c r="T93" s="340" t="s">
        <v>98</v>
      </c>
      <c r="U93" s="6" t="s">
        <v>99</v>
      </c>
      <c r="W93" s="144"/>
      <c r="X93" s="144"/>
      <c r="Y93" s="144"/>
      <c r="Z93" s="183"/>
      <c r="AA93" s="192"/>
    </row>
    <row r="94" spans="2:27" ht="14">
      <c r="B94" s="191"/>
      <c r="C94" s="710"/>
      <c r="D94" s="710"/>
      <c r="E94" s="710"/>
      <c r="F94" s="710"/>
      <c r="G94" s="710"/>
      <c r="H94" s="710"/>
      <c r="I94" s="710"/>
      <c r="J94" s="710"/>
      <c r="K94" s="710"/>
      <c r="L94" s="184"/>
      <c r="M94" s="152"/>
      <c r="N94" s="340" t="s">
        <v>100</v>
      </c>
      <c r="O94" s="6" t="s">
        <v>101</v>
      </c>
      <c r="Z94" s="183"/>
      <c r="AA94" s="192"/>
    </row>
    <row r="95" spans="2:27" s="144" customFormat="1" ht="14">
      <c r="B95" s="191"/>
      <c r="E95" s="747" t="s">
        <v>102</v>
      </c>
      <c r="F95" s="747"/>
      <c r="G95" s="747"/>
      <c r="H95" s="747"/>
      <c r="I95" s="747"/>
      <c r="M95" s="204"/>
      <c r="N95" s="205"/>
      <c r="O95" s="205"/>
      <c r="P95" s="205"/>
      <c r="Q95" s="205"/>
      <c r="R95" s="205"/>
      <c r="S95" s="205"/>
      <c r="T95" s="205"/>
      <c r="U95" s="205"/>
      <c r="V95" s="205"/>
      <c r="W95" s="205"/>
      <c r="X95" s="205"/>
      <c r="Y95" s="205"/>
      <c r="Z95" s="206"/>
      <c r="AA95" s="192"/>
    </row>
    <row r="96" spans="2:27" s="144" customFormat="1" ht="14" customHeight="1">
      <c r="B96" s="191"/>
      <c r="C96" s="184"/>
      <c r="D96" s="193"/>
      <c r="E96" s="747"/>
      <c r="F96" s="747"/>
      <c r="G96" s="747"/>
      <c r="H96" s="747"/>
      <c r="I96" s="747"/>
      <c r="J96" s="193"/>
      <c r="K96" s="193"/>
      <c r="Z96" s="2"/>
      <c r="AA96" s="192"/>
    </row>
    <row r="97" spans="2:27" s="144" customFormat="1" ht="14">
      <c r="B97" s="191"/>
      <c r="C97" s="194"/>
      <c r="D97" s="195"/>
      <c r="E97" s="383" t="s">
        <v>103</v>
      </c>
      <c r="F97" s="384"/>
      <c r="G97" s="388" t="s">
        <v>104</v>
      </c>
      <c r="H97" s="388"/>
      <c r="I97" s="388"/>
      <c r="M97" s="215" t="s">
        <v>105</v>
      </c>
      <c r="N97" s="216"/>
      <c r="O97" s="217"/>
      <c r="P97" s="217"/>
      <c r="Q97" s="217"/>
      <c r="R97" s="217"/>
      <c r="S97" s="217"/>
      <c r="T97" s="217"/>
      <c r="U97" s="217"/>
      <c r="V97" s="217"/>
      <c r="W97" s="217"/>
      <c r="X97" s="217"/>
      <c r="Y97" s="217"/>
      <c r="Z97" s="218"/>
      <c r="AA97" s="192"/>
    </row>
    <row r="98" spans="2:27" s="144" customFormat="1" ht="14">
      <c r="B98" s="191"/>
      <c r="C98" s="194"/>
      <c r="D98" s="195"/>
      <c r="E98" s="385"/>
      <c r="F98" s="386"/>
      <c r="G98" s="341" t="s">
        <v>106</v>
      </c>
      <c r="H98" s="341" t="s">
        <v>107</v>
      </c>
      <c r="I98" s="341" t="s">
        <v>108</v>
      </c>
      <c r="M98" s="711" t="s">
        <v>109</v>
      </c>
      <c r="N98" s="712"/>
      <c r="O98" s="712"/>
      <c r="P98" s="712"/>
      <c r="Q98" s="712"/>
      <c r="R98" s="712"/>
      <c r="S98" s="712"/>
      <c r="T98" s="712"/>
      <c r="U98" s="712"/>
      <c r="V98" s="712"/>
      <c r="W98" s="712"/>
      <c r="X98" s="712"/>
      <c r="Y98" s="712"/>
      <c r="Z98" s="713"/>
      <c r="AA98" s="192"/>
    </row>
    <row r="99" spans="2:27" s="144" customFormat="1" ht="14">
      <c r="B99" s="191"/>
      <c r="C99" s="194"/>
      <c r="D99" s="195"/>
      <c r="E99" s="387" t="s">
        <v>110</v>
      </c>
      <c r="F99" s="412"/>
      <c r="G99" s="177">
        <v>0.2</v>
      </c>
      <c r="H99" s="177">
        <v>0.5</v>
      </c>
      <c r="I99" s="177">
        <v>0.3</v>
      </c>
      <c r="M99" s="711"/>
      <c r="N99" s="712"/>
      <c r="O99" s="712"/>
      <c r="P99" s="712"/>
      <c r="Q99" s="712"/>
      <c r="R99" s="712"/>
      <c r="S99" s="712"/>
      <c r="T99" s="712"/>
      <c r="U99" s="712"/>
      <c r="V99" s="712"/>
      <c r="W99" s="712"/>
      <c r="X99" s="712"/>
      <c r="Y99" s="712"/>
      <c r="Z99" s="713"/>
      <c r="AA99" s="192"/>
    </row>
    <row r="100" spans="2:27" s="144" customFormat="1" ht="16.5" customHeight="1">
      <c r="B100" s="191"/>
      <c r="C100" s="194"/>
      <c r="D100" s="195"/>
      <c r="E100" s="796" t="s">
        <v>111</v>
      </c>
      <c r="F100" s="797"/>
      <c r="G100" s="180"/>
      <c r="H100" s="180"/>
      <c r="I100" s="180"/>
      <c r="M100" s="711"/>
      <c r="N100" s="712"/>
      <c r="O100" s="712"/>
      <c r="P100" s="712"/>
      <c r="Q100" s="712"/>
      <c r="R100" s="712"/>
      <c r="S100" s="712"/>
      <c r="T100" s="712"/>
      <c r="U100" s="712"/>
      <c r="V100" s="712"/>
      <c r="W100" s="712"/>
      <c r="X100" s="712"/>
      <c r="Y100" s="712"/>
      <c r="Z100" s="713"/>
      <c r="AA100" s="192"/>
    </row>
    <row r="101" spans="2:27" s="144" customFormat="1" ht="16.5" customHeight="1">
      <c r="B101" s="191"/>
      <c r="C101" s="194"/>
      <c r="D101" s="195"/>
      <c r="E101" s="772" t="s">
        <v>112</v>
      </c>
      <c r="F101" s="773"/>
      <c r="G101" s="181">
        <v>0.2</v>
      </c>
      <c r="H101" s="181">
        <v>0.5</v>
      </c>
      <c r="I101" s="181">
        <v>0.3</v>
      </c>
      <c r="M101" s="714"/>
      <c r="N101" s="715"/>
      <c r="O101" s="715"/>
      <c r="P101" s="715"/>
      <c r="Q101" s="715"/>
      <c r="R101" s="715"/>
      <c r="S101" s="715"/>
      <c r="T101" s="715"/>
      <c r="U101" s="715"/>
      <c r="V101" s="715"/>
      <c r="W101" s="715"/>
      <c r="X101" s="715"/>
      <c r="Y101" s="715"/>
      <c r="Z101" s="716"/>
      <c r="AA101" s="192"/>
    </row>
    <row r="102" spans="2:27" ht="14">
      <c r="B102" s="191"/>
      <c r="C102" s="194"/>
      <c r="D102" s="195"/>
      <c r="E102" s="772" t="s">
        <v>113</v>
      </c>
      <c r="F102" s="773"/>
      <c r="G102" s="181">
        <v>0.4</v>
      </c>
      <c r="H102" s="181">
        <v>0.6</v>
      </c>
      <c r="I102" s="181"/>
      <c r="J102" s="144"/>
      <c r="K102" s="144"/>
      <c r="AA102" s="115"/>
    </row>
    <row r="103" spans="2:27" ht="14">
      <c r="B103" s="191"/>
      <c r="C103" s="194"/>
      <c r="D103" s="195"/>
      <c r="E103" s="792" t="s">
        <v>114</v>
      </c>
      <c r="F103" s="793"/>
      <c r="G103" s="810">
        <v>0.2</v>
      </c>
      <c r="H103" s="810">
        <v>0.6</v>
      </c>
      <c r="I103" s="810">
        <v>0.2</v>
      </c>
      <c r="J103" s="144"/>
      <c r="K103" s="144"/>
      <c r="M103" s="804" t="s">
        <v>115</v>
      </c>
      <c r="N103" s="805"/>
      <c r="O103" s="805"/>
      <c r="P103" s="805"/>
      <c r="Q103" s="805"/>
      <c r="R103" s="805"/>
      <c r="S103" s="805"/>
      <c r="T103" s="805"/>
      <c r="U103" s="805"/>
      <c r="V103" s="805"/>
      <c r="W103" s="805"/>
      <c r="X103" s="805"/>
      <c r="Y103" s="805"/>
      <c r="Z103" s="806"/>
      <c r="AA103" s="115"/>
    </row>
    <row r="104" spans="2:27" ht="14">
      <c r="B104" s="191"/>
      <c r="C104" s="194"/>
      <c r="D104" s="195"/>
      <c r="E104" s="792"/>
      <c r="F104" s="793"/>
      <c r="G104" s="810"/>
      <c r="H104" s="810"/>
      <c r="I104" s="810"/>
      <c r="J104" s="144"/>
      <c r="K104" s="144"/>
      <c r="M104" s="210"/>
      <c r="N104" s="27"/>
      <c r="O104" s="27"/>
      <c r="P104" s="27"/>
      <c r="Q104" s="27"/>
      <c r="R104" s="36"/>
      <c r="S104" s="211"/>
      <c r="T104" s="211"/>
      <c r="U104" s="212"/>
      <c r="V104" s="212"/>
      <c r="W104" s="212"/>
      <c r="X104" s="212"/>
      <c r="Y104" s="212"/>
      <c r="Z104" s="209"/>
      <c r="AA104" s="115"/>
    </row>
    <row r="105" spans="2:27" ht="14">
      <c r="B105" s="191"/>
      <c r="C105" s="194"/>
      <c r="D105" s="195"/>
      <c r="E105" s="794" t="s">
        <v>116</v>
      </c>
      <c r="F105" s="795"/>
      <c r="G105" s="182">
        <v>0.15</v>
      </c>
      <c r="H105" s="182">
        <v>0.7</v>
      </c>
      <c r="I105" s="182" t="s">
        <v>117</v>
      </c>
      <c r="J105" s="144"/>
      <c r="K105" s="144"/>
      <c r="M105" s="210"/>
      <c r="N105" s="777" t="s">
        <v>92</v>
      </c>
      <c r="O105" s="785"/>
      <c r="P105" s="785"/>
      <c r="Q105" s="785"/>
      <c r="R105" s="777" t="s">
        <v>118</v>
      </c>
      <c r="S105" s="778"/>
      <c r="T105" s="777" t="s">
        <v>92</v>
      </c>
      <c r="U105" s="785"/>
      <c r="V105" s="785"/>
      <c r="W105" s="785"/>
      <c r="X105" s="777" t="s">
        <v>118</v>
      </c>
      <c r="Y105" s="778"/>
      <c r="Z105" s="209"/>
      <c r="AA105" s="115"/>
    </row>
    <row r="106" spans="2:27" ht="14">
      <c r="B106" s="191"/>
      <c r="C106" s="194"/>
      <c r="D106" s="195"/>
      <c r="E106" s="796" t="s">
        <v>119</v>
      </c>
      <c r="F106" s="797"/>
      <c r="G106" s="178"/>
      <c r="H106" s="178"/>
      <c r="I106" s="178"/>
      <c r="J106" s="144"/>
      <c r="K106" s="144"/>
      <c r="M106" s="210"/>
      <c r="N106" s="786" t="s">
        <v>120</v>
      </c>
      <c r="O106" s="787"/>
      <c r="P106" s="787" t="s">
        <v>121</v>
      </c>
      <c r="Q106" s="787"/>
      <c r="R106" s="779"/>
      <c r="S106" s="780"/>
      <c r="T106" s="786" t="s">
        <v>120</v>
      </c>
      <c r="U106" s="787"/>
      <c r="V106" s="787" t="s">
        <v>121</v>
      </c>
      <c r="W106" s="787"/>
      <c r="X106" s="779"/>
      <c r="Y106" s="780"/>
      <c r="Z106" s="209"/>
      <c r="AA106" s="115"/>
    </row>
    <row r="107" spans="2:27" ht="14">
      <c r="B107" s="191"/>
      <c r="C107" s="194"/>
      <c r="D107" s="195"/>
      <c r="E107" s="772" t="s">
        <v>112</v>
      </c>
      <c r="F107" s="773"/>
      <c r="G107" s="181">
        <v>0.15</v>
      </c>
      <c r="H107" s="181">
        <v>0.65</v>
      </c>
      <c r="I107" s="181">
        <v>0.2</v>
      </c>
      <c r="J107" s="144"/>
      <c r="K107" s="144"/>
      <c r="M107" s="210"/>
      <c r="N107" s="774">
        <v>99.5</v>
      </c>
      <c r="O107" s="775"/>
      <c r="P107" s="775">
        <v>100</v>
      </c>
      <c r="Q107" s="776"/>
      <c r="R107" s="406">
        <v>100</v>
      </c>
      <c r="S107" s="407"/>
      <c r="T107" s="774">
        <v>74.71999999999997</v>
      </c>
      <c r="U107" s="775"/>
      <c r="V107" s="775">
        <v>75.889999999999972</v>
      </c>
      <c r="W107" s="776"/>
      <c r="X107" s="406">
        <v>79</v>
      </c>
      <c r="Y107" s="407"/>
      <c r="Z107" s="209"/>
      <c r="AA107" s="115"/>
    </row>
    <row r="108" spans="2:27" ht="14">
      <c r="B108" s="191"/>
      <c r="C108" s="194"/>
      <c r="D108" s="195"/>
      <c r="E108" s="770" t="s">
        <v>122</v>
      </c>
      <c r="F108" s="771"/>
      <c r="G108" s="179">
        <v>0.2</v>
      </c>
      <c r="H108" s="179">
        <v>0.8</v>
      </c>
      <c r="I108" s="179" t="s">
        <v>123</v>
      </c>
      <c r="J108" s="144"/>
      <c r="K108" s="144"/>
      <c r="M108" s="210"/>
      <c r="N108" s="762">
        <v>98.32</v>
      </c>
      <c r="O108" s="760"/>
      <c r="P108" s="760">
        <v>99.49</v>
      </c>
      <c r="Q108" s="761"/>
      <c r="R108" s="406">
        <v>99</v>
      </c>
      <c r="S108" s="407"/>
      <c r="T108" s="762">
        <v>73.539999999999964</v>
      </c>
      <c r="U108" s="760"/>
      <c r="V108" s="760">
        <v>74.709999999999965</v>
      </c>
      <c r="W108" s="761"/>
      <c r="X108" s="406">
        <v>78</v>
      </c>
      <c r="Y108" s="407"/>
      <c r="Z108" s="209"/>
      <c r="AA108" s="115"/>
    </row>
    <row r="109" spans="2:27" ht="16.5" customHeight="1">
      <c r="B109" s="191"/>
      <c r="C109" s="194"/>
      <c r="D109" s="195"/>
      <c r="E109" s="194"/>
      <c r="F109" s="194"/>
      <c r="G109" s="194"/>
      <c r="H109" s="194"/>
      <c r="I109" s="194"/>
      <c r="J109" s="144"/>
      <c r="K109" s="144"/>
      <c r="M109" s="210"/>
      <c r="N109" s="762">
        <v>97.14</v>
      </c>
      <c r="O109" s="760"/>
      <c r="P109" s="760">
        <v>98.309999999999988</v>
      </c>
      <c r="Q109" s="761"/>
      <c r="R109" s="406">
        <v>98</v>
      </c>
      <c r="S109" s="407"/>
      <c r="T109" s="762">
        <v>72.359999999999957</v>
      </c>
      <c r="U109" s="760"/>
      <c r="V109" s="760">
        <v>73.529999999999959</v>
      </c>
      <c r="W109" s="761"/>
      <c r="X109" s="406">
        <v>77</v>
      </c>
      <c r="Y109" s="407"/>
      <c r="Z109" s="209"/>
      <c r="AA109" s="115"/>
    </row>
    <row r="110" spans="2:27">
      <c r="B110" s="191"/>
      <c r="C110" s="342" t="s">
        <v>124</v>
      </c>
      <c r="D110" s="196"/>
      <c r="E110" s="89"/>
      <c r="F110" s="89"/>
      <c r="G110" s="89"/>
      <c r="H110" s="89"/>
      <c r="I110" s="89"/>
      <c r="M110" s="210"/>
      <c r="N110" s="762">
        <v>95.96</v>
      </c>
      <c r="O110" s="760"/>
      <c r="P110" s="760">
        <v>97.13</v>
      </c>
      <c r="Q110" s="761"/>
      <c r="R110" s="406">
        <v>97</v>
      </c>
      <c r="S110" s="407"/>
      <c r="T110" s="762">
        <v>71.17999999999995</v>
      </c>
      <c r="U110" s="760"/>
      <c r="V110" s="760">
        <v>72.349999999999952</v>
      </c>
      <c r="W110" s="761"/>
      <c r="X110" s="406">
        <v>76</v>
      </c>
      <c r="Y110" s="407"/>
      <c r="Z110" s="209"/>
      <c r="AA110" s="115"/>
    </row>
    <row r="111" spans="2:27">
      <c r="B111" s="191"/>
      <c r="C111" s="197" t="s">
        <v>125</v>
      </c>
      <c r="D111" s="196"/>
      <c r="E111" s="89"/>
      <c r="F111" s="89"/>
      <c r="G111" s="89"/>
      <c r="H111" s="89"/>
      <c r="I111" s="89"/>
      <c r="M111" s="210"/>
      <c r="N111" s="762">
        <v>94.78</v>
      </c>
      <c r="O111" s="760"/>
      <c r="P111" s="760">
        <v>95.949999999999989</v>
      </c>
      <c r="Q111" s="761"/>
      <c r="R111" s="406">
        <v>96</v>
      </c>
      <c r="S111" s="407"/>
      <c r="T111" s="762">
        <v>69.999999999999943</v>
      </c>
      <c r="U111" s="760"/>
      <c r="V111" s="760">
        <v>71.169999999999945</v>
      </c>
      <c r="W111" s="761"/>
      <c r="X111" s="406">
        <v>75</v>
      </c>
      <c r="Y111" s="407"/>
      <c r="Z111" s="209"/>
      <c r="AA111" s="115"/>
    </row>
    <row r="112" spans="2:27">
      <c r="B112" s="114"/>
      <c r="C112" s="343" t="s">
        <v>126</v>
      </c>
      <c r="D112" s="196"/>
      <c r="E112" s="89"/>
      <c r="F112" s="89"/>
      <c r="G112" s="89"/>
      <c r="H112" s="89"/>
      <c r="I112" s="89"/>
      <c r="M112" s="210"/>
      <c r="N112" s="762">
        <v>93.6</v>
      </c>
      <c r="O112" s="760"/>
      <c r="P112" s="760">
        <v>94.77</v>
      </c>
      <c r="Q112" s="761"/>
      <c r="R112" s="406">
        <v>95</v>
      </c>
      <c r="S112" s="407"/>
      <c r="T112" s="759">
        <v>65.34</v>
      </c>
      <c r="U112" s="757"/>
      <c r="V112" s="757">
        <v>69.989999999999938</v>
      </c>
      <c r="W112" s="758"/>
      <c r="X112" s="404">
        <v>74</v>
      </c>
      <c r="Y112" s="405"/>
      <c r="Z112" s="209"/>
      <c r="AA112" s="115"/>
    </row>
    <row r="113" spans="1:27">
      <c r="B113" s="114"/>
      <c r="C113" s="198"/>
      <c r="D113" s="6" t="s">
        <v>127</v>
      </c>
      <c r="E113" s="89"/>
      <c r="F113" s="89"/>
      <c r="G113" s="89"/>
      <c r="H113" s="89"/>
      <c r="I113" s="89"/>
      <c r="M113" s="210"/>
      <c r="N113" s="762">
        <v>92.42</v>
      </c>
      <c r="O113" s="760"/>
      <c r="P113" s="760">
        <v>93.589999999999989</v>
      </c>
      <c r="Q113" s="761"/>
      <c r="R113" s="406">
        <v>94</v>
      </c>
      <c r="S113" s="407"/>
      <c r="T113" s="759">
        <v>60.67</v>
      </c>
      <c r="U113" s="757"/>
      <c r="V113" s="757">
        <v>65.33</v>
      </c>
      <c r="W113" s="758"/>
      <c r="X113" s="404">
        <v>73</v>
      </c>
      <c r="Y113" s="405"/>
      <c r="Z113" s="209"/>
      <c r="AA113" s="115"/>
    </row>
    <row r="114" spans="1:27">
      <c r="B114" s="114"/>
      <c r="C114" s="198"/>
      <c r="D114" s="196"/>
      <c r="E114" s="20" t="s">
        <v>128</v>
      </c>
      <c r="F114" s="89"/>
      <c r="G114" s="89"/>
      <c r="H114" s="89"/>
      <c r="I114" s="89"/>
      <c r="M114" s="210"/>
      <c r="N114" s="762">
        <v>91.24</v>
      </c>
      <c r="O114" s="760"/>
      <c r="P114" s="760">
        <v>92.41</v>
      </c>
      <c r="Q114" s="761"/>
      <c r="R114" s="406">
        <v>93</v>
      </c>
      <c r="S114" s="407"/>
      <c r="T114" s="759">
        <v>56.01</v>
      </c>
      <c r="U114" s="757"/>
      <c r="V114" s="757">
        <v>60.660000000000004</v>
      </c>
      <c r="W114" s="758"/>
      <c r="X114" s="404">
        <v>72</v>
      </c>
      <c r="Y114" s="405"/>
      <c r="Z114" s="209"/>
      <c r="AA114" s="115"/>
    </row>
    <row r="115" spans="1:27">
      <c r="B115" s="114"/>
      <c r="C115" s="343" t="s">
        <v>129</v>
      </c>
      <c r="D115" s="196"/>
      <c r="E115" s="89"/>
      <c r="F115" s="89"/>
      <c r="G115" s="89"/>
      <c r="H115" s="89"/>
      <c r="I115" s="89"/>
      <c r="M115" s="210"/>
      <c r="N115" s="762">
        <v>90.06</v>
      </c>
      <c r="O115" s="760"/>
      <c r="P115" s="760">
        <v>91.22999999999999</v>
      </c>
      <c r="Q115" s="761"/>
      <c r="R115" s="406">
        <v>92</v>
      </c>
      <c r="S115" s="407"/>
      <c r="T115" s="759">
        <v>51.339999999999996</v>
      </c>
      <c r="U115" s="757"/>
      <c r="V115" s="757">
        <v>56</v>
      </c>
      <c r="W115" s="758"/>
      <c r="X115" s="404">
        <v>71</v>
      </c>
      <c r="Y115" s="405"/>
      <c r="Z115" s="209"/>
      <c r="AA115" s="115"/>
    </row>
    <row r="116" spans="1:27" ht="14">
      <c r="B116" s="114"/>
      <c r="C116" s="198"/>
      <c r="D116" s="756" t="s">
        <v>130</v>
      </c>
      <c r="E116" s="756"/>
      <c r="F116" s="756"/>
      <c r="G116" s="756"/>
      <c r="H116" s="756"/>
      <c r="I116" s="756"/>
      <c r="J116" s="756"/>
      <c r="K116" s="756"/>
      <c r="M116" s="210"/>
      <c r="N116" s="762">
        <v>88.88</v>
      </c>
      <c r="O116" s="760"/>
      <c r="P116" s="760">
        <v>90.05</v>
      </c>
      <c r="Q116" s="761"/>
      <c r="R116" s="406">
        <v>91</v>
      </c>
      <c r="S116" s="407"/>
      <c r="T116" s="759">
        <v>46.669999999999995</v>
      </c>
      <c r="U116" s="757"/>
      <c r="V116" s="757">
        <v>51.33</v>
      </c>
      <c r="W116" s="758"/>
      <c r="X116" s="404">
        <v>70</v>
      </c>
      <c r="Y116" s="405"/>
      <c r="Z116" s="209"/>
      <c r="AA116" s="115"/>
    </row>
    <row r="117" spans="1:27" ht="14">
      <c r="B117" s="114"/>
      <c r="C117" s="198"/>
      <c r="D117" s="756"/>
      <c r="E117" s="756"/>
      <c r="F117" s="756"/>
      <c r="G117" s="756"/>
      <c r="H117" s="756"/>
      <c r="I117" s="756"/>
      <c r="J117" s="756"/>
      <c r="K117" s="756"/>
      <c r="M117" s="210"/>
      <c r="N117" s="762">
        <v>87.7</v>
      </c>
      <c r="O117" s="760"/>
      <c r="P117" s="760">
        <v>88.86999999999999</v>
      </c>
      <c r="Q117" s="761"/>
      <c r="R117" s="406">
        <v>90</v>
      </c>
      <c r="S117" s="407"/>
      <c r="T117" s="759">
        <v>42.01</v>
      </c>
      <c r="U117" s="757"/>
      <c r="V117" s="757">
        <v>46.66</v>
      </c>
      <c r="W117" s="758"/>
      <c r="X117" s="404">
        <v>69</v>
      </c>
      <c r="Y117" s="405"/>
      <c r="Z117" s="209"/>
      <c r="AA117" s="115"/>
    </row>
    <row r="118" spans="1:27">
      <c r="B118" s="114"/>
      <c r="C118" s="343" t="s">
        <v>131</v>
      </c>
      <c r="D118" s="196"/>
      <c r="E118" s="1"/>
      <c r="F118" s="1"/>
      <c r="G118" s="1"/>
      <c r="H118" s="1"/>
      <c r="I118" s="1"/>
      <c r="J118" s="1"/>
      <c r="K118" s="1"/>
      <c r="M118" s="210"/>
      <c r="N118" s="762">
        <v>86.52</v>
      </c>
      <c r="O118" s="760"/>
      <c r="P118" s="760">
        <v>87.69</v>
      </c>
      <c r="Q118" s="761"/>
      <c r="R118" s="406">
        <v>89</v>
      </c>
      <c r="S118" s="407"/>
      <c r="T118" s="759">
        <v>37.339999999999996</v>
      </c>
      <c r="U118" s="757"/>
      <c r="V118" s="757">
        <v>42</v>
      </c>
      <c r="W118" s="758"/>
      <c r="X118" s="404">
        <v>68</v>
      </c>
      <c r="Y118" s="405"/>
      <c r="Z118" s="209"/>
      <c r="AA118" s="115"/>
    </row>
    <row r="119" spans="1:27" ht="14">
      <c r="B119" s="114"/>
      <c r="C119" s="200"/>
      <c r="D119" s="756" t="s">
        <v>132</v>
      </c>
      <c r="E119" s="756"/>
      <c r="F119" s="756"/>
      <c r="G119" s="756"/>
      <c r="H119" s="756"/>
      <c r="I119" s="756"/>
      <c r="J119" s="756"/>
      <c r="K119" s="1"/>
      <c r="M119" s="210"/>
      <c r="N119" s="762">
        <v>85.34</v>
      </c>
      <c r="O119" s="760"/>
      <c r="P119" s="760">
        <v>86.509999999999991</v>
      </c>
      <c r="Q119" s="761"/>
      <c r="R119" s="406">
        <v>88</v>
      </c>
      <c r="S119" s="407"/>
      <c r="T119" s="759">
        <v>32.68</v>
      </c>
      <c r="U119" s="757"/>
      <c r="V119" s="757">
        <v>37.33</v>
      </c>
      <c r="W119" s="758"/>
      <c r="X119" s="404">
        <v>67</v>
      </c>
      <c r="Y119" s="405"/>
      <c r="Z119" s="209"/>
      <c r="AA119" s="115"/>
    </row>
    <row r="120" spans="1:27" ht="14">
      <c r="B120" s="114"/>
      <c r="C120" s="2"/>
      <c r="D120" s="756"/>
      <c r="E120" s="756"/>
      <c r="F120" s="756"/>
      <c r="G120" s="756"/>
      <c r="H120" s="756"/>
      <c r="I120" s="756"/>
      <c r="J120" s="756"/>
      <c r="K120" s="1"/>
      <c r="M120" s="210"/>
      <c r="N120" s="762">
        <v>84.16</v>
      </c>
      <c r="O120" s="760"/>
      <c r="P120" s="760">
        <v>85.33</v>
      </c>
      <c r="Q120" s="761"/>
      <c r="R120" s="406">
        <v>87</v>
      </c>
      <c r="S120" s="407"/>
      <c r="T120" s="759">
        <v>28.009999999999998</v>
      </c>
      <c r="U120" s="757"/>
      <c r="V120" s="757">
        <v>32.67</v>
      </c>
      <c r="W120" s="758"/>
      <c r="X120" s="404">
        <v>66</v>
      </c>
      <c r="Y120" s="405"/>
      <c r="Z120" s="209"/>
      <c r="AA120" s="115"/>
    </row>
    <row r="121" spans="1:27">
      <c r="B121" s="114"/>
      <c r="C121" s="343" t="s">
        <v>133</v>
      </c>
      <c r="D121" s="196"/>
      <c r="E121" s="6"/>
      <c r="F121" s="6"/>
      <c r="G121" s="6"/>
      <c r="H121" s="6"/>
      <c r="I121" s="6"/>
      <c r="J121" s="6"/>
      <c r="K121" s="6"/>
      <c r="M121" s="210"/>
      <c r="N121" s="762">
        <v>82.98</v>
      </c>
      <c r="O121" s="760"/>
      <c r="P121" s="760">
        <v>84.149999999999991</v>
      </c>
      <c r="Q121" s="761"/>
      <c r="R121" s="406">
        <v>86</v>
      </c>
      <c r="S121" s="407"/>
      <c r="T121" s="759">
        <v>23.35</v>
      </c>
      <c r="U121" s="757"/>
      <c r="V121" s="757">
        <v>27.999999999999996</v>
      </c>
      <c r="W121" s="758"/>
      <c r="X121" s="404">
        <v>65</v>
      </c>
      <c r="Y121" s="405"/>
      <c r="Z121" s="209"/>
      <c r="AA121" s="115"/>
    </row>
    <row r="122" spans="1:27" ht="16.5" customHeight="1">
      <c r="A122" s="6"/>
      <c r="B122" s="199"/>
      <c r="C122" s="2"/>
      <c r="D122" s="756" t="s">
        <v>134</v>
      </c>
      <c r="E122" s="756"/>
      <c r="F122" s="756"/>
      <c r="G122" s="756"/>
      <c r="H122" s="756"/>
      <c r="I122" s="756"/>
      <c r="J122" s="756"/>
      <c r="K122" s="756"/>
      <c r="L122" s="6"/>
      <c r="M122" s="210"/>
      <c r="N122" s="762">
        <v>81.8</v>
      </c>
      <c r="O122" s="760"/>
      <c r="P122" s="760">
        <v>82.97</v>
      </c>
      <c r="Q122" s="761"/>
      <c r="R122" s="406">
        <v>85</v>
      </c>
      <c r="S122" s="407"/>
      <c r="T122" s="759">
        <v>18.68</v>
      </c>
      <c r="U122" s="757"/>
      <c r="V122" s="757">
        <v>23.34</v>
      </c>
      <c r="W122" s="758"/>
      <c r="X122" s="404">
        <v>64</v>
      </c>
      <c r="Y122" s="405"/>
      <c r="Z122" s="209"/>
      <c r="AA122" s="115"/>
    </row>
    <row r="123" spans="1:27" ht="14">
      <c r="A123" s="6"/>
      <c r="B123" s="199"/>
      <c r="C123" s="2"/>
      <c r="D123" s="756"/>
      <c r="E123" s="756"/>
      <c r="F123" s="756"/>
      <c r="G123" s="756"/>
      <c r="H123" s="756"/>
      <c r="I123" s="756"/>
      <c r="J123" s="756"/>
      <c r="K123" s="756"/>
      <c r="L123" s="6"/>
      <c r="M123" s="210"/>
      <c r="N123" s="762">
        <v>80.62</v>
      </c>
      <c r="O123" s="760"/>
      <c r="P123" s="760">
        <v>81.789999999999992</v>
      </c>
      <c r="Q123" s="761"/>
      <c r="R123" s="406">
        <v>84</v>
      </c>
      <c r="S123" s="407"/>
      <c r="T123" s="759">
        <v>14.01</v>
      </c>
      <c r="U123" s="757"/>
      <c r="V123" s="757">
        <v>18.669999999999998</v>
      </c>
      <c r="W123" s="758"/>
      <c r="X123" s="404">
        <v>63</v>
      </c>
      <c r="Y123" s="405"/>
      <c r="Z123" s="209"/>
      <c r="AA123" s="115"/>
    </row>
    <row r="124" spans="1:27">
      <c r="A124" s="6"/>
      <c r="B124" s="199"/>
      <c r="C124" s="343" t="s">
        <v>135</v>
      </c>
      <c r="D124" s="196"/>
      <c r="E124" s="6"/>
      <c r="F124" s="6"/>
      <c r="G124" s="6"/>
      <c r="H124" s="6"/>
      <c r="I124" s="6"/>
      <c r="J124" s="6"/>
      <c r="K124" s="6"/>
      <c r="L124" s="6"/>
      <c r="M124" s="210"/>
      <c r="N124" s="762">
        <v>79.44</v>
      </c>
      <c r="O124" s="760"/>
      <c r="P124" s="760">
        <v>80.61</v>
      </c>
      <c r="Q124" s="761"/>
      <c r="R124" s="406">
        <v>83</v>
      </c>
      <c r="S124" s="407"/>
      <c r="T124" s="759">
        <v>9.35</v>
      </c>
      <c r="U124" s="757"/>
      <c r="V124" s="757">
        <v>14</v>
      </c>
      <c r="W124" s="758"/>
      <c r="X124" s="404">
        <v>62</v>
      </c>
      <c r="Y124" s="405"/>
      <c r="Z124" s="209"/>
      <c r="AA124" s="115"/>
    </row>
    <row r="125" spans="1:27" ht="14">
      <c r="A125" s="6"/>
      <c r="B125" s="199"/>
      <c r="C125" s="6"/>
      <c r="D125" s="756" t="s">
        <v>136</v>
      </c>
      <c r="E125" s="756"/>
      <c r="F125" s="756"/>
      <c r="G125" s="756"/>
      <c r="H125" s="756"/>
      <c r="I125" s="756"/>
      <c r="J125" s="756"/>
      <c r="K125" s="756"/>
      <c r="L125" s="6"/>
      <c r="M125" s="210"/>
      <c r="N125" s="762">
        <v>78.259999999999991</v>
      </c>
      <c r="O125" s="760"/>
      <c r="P125" s="760">
        <v>79.429999999999993</v>
      </c>
      <c r="Q125" s="761"/>
      <c r="R125" s="406">
        <v>82</v>
      </c>
      <c r="S125" s="407"/>
      <c r="T125" s="759">
        <v>4.68</v>
      </c>
      <c r="U125" s="757"/>
      <c r="V125" s="757">
        <v>9.34</v>
      </c>
      <c r="W125" s="758"/>
      <c r="X125" s="404">
        <v>61</v>
      </c>
      <c r="Y125" s="405"/>
      <c r="Z125" s="209"/>
      <c r="AA125" s="115"/>
    </row>
    <row r="126" spans="1:27" ht="14">
      <c r="A126" s="6"/>
      <c r="B126" s="199"/>
      <c r="C126" s="6"/>
      <c r="D126" s="756"/>
      <c r="E126" s="756"/>
      <c r="F126" s="756"/>
      <c r="G126" s="756"/>
      <c r="H126" s="756"/>
      <c r="I126" s="756"/>
      <c r="J126" s="756"/>
      <c r="K126" s="756"/>
      <c r="L126" s="6"/>
      <c r="M126" s="210"/>
      <c r="N126" s="762">
        <v>77.079999999999984</v>
      </c>
      <c r="O126" s="760"/>
      <c r="P126" s="760">
        <v>78.249999999999986</v>
      </c>
      <c r="Q126" s="761"/>
      <c r="R126" s="406">
        <v>81</v>
      </c>
      <c r="S126" s="407"/>
      <c r="T126" s="759">
        <v>0</v>
      </c>
      <c r="U126" s="757"/>
      <c r="V126" s="757">
        <v>4.67</v>
      </c>
      <c r="W126" s="758"/>
      <c r="X126" s="404">
        <v>60</v>
      </c>
      <c r="Y126" s="405"/>
      <c r="Z126" s="209"/>
      <c r="AA126" s="115"/>
    </row>
    <row r="127" spans="1:27">
      <c r="A127" s="6"/>
      <c r="B127" s="199"/>
      <c r="C127" s="343" t="s">
        <v>137</v>
      </c>
      <c r="D127" s="196"/>
      <c r="E127" s="6"/>
      <c r="L127" s="6"/>
      <c r="M127" s="210"/>
      <c r="N127" s="765">
        <v>75.899999999999977</v>
      </c>
      <c r="O127" s="766"/>
      <c r="P127" s="766">
        <v>77.069999999999979</v>
      </c>
      <c r="Q127" s="769"/>
      <c r="R127" s="408">
        <v>80</v>
      </c>
      <c r="S127" s="409"/>
      <c r="T127" s="767"/>
      <c r="U127" s="768"/>
      <c r="V127" s="410"/>
      <c r="W127" s="410"/>
      <c r="X127" s="402"/>
      <c r="Y127" s="403"/>
      <c r="Z127" s="209"/>
      <c r="AA127" s="115"/>
    </row>
    <row r="128" spans="1:27">
      <c r="A128" s="6"/>
      <c r="B128" s="199"/>
      <c r="D128" s="756" t="s">
        <v>138</v>
      </c>
      <c r="E128" s="756"/>
      <c r="F128" s="756"/>
      <c r="G128" s="756"/>
      <c r="H128" s="756"/>
      <c r="I128" s="756"/>
      <c r="J128" s="756"/>
      <c r="K128" s="756"/>
      <c r="L128" s="6"/>
      <c r="M128" s="210"/>
      <c r="N128" s="763" t="s">
        <v>139</v>
      </c>
      <c r="O128" s="763"/>
      <c r="P128" s="763"/>
      <c r="Q128" s="763"/>
      <c r="R128" s="763"/>
      <c r="S128" s="763"/>
      <c r="T128" s="763"/>
      <c r="U128" s="763"/>
      <c r="V128" s="763"/>
      <c r="W128" s="763"/>
      <c r="X128" s="763"/>
      <c r="Y128" s="763"/>
      <c r="Z128" s="265"/>
      <c r="AA128" s="115"/>
    </row>
    <row r="129" spans="1:27">
      <c r="A129" s="6"/>
      <c r="B129" s="199"/>
      <c r="D129" s="756"/>
      <c r="E129" s="756"/>
      <c r="F129" s="756"/>
      <c r="G129" s="756"/>
      <c r="H129" s="756"/>
      <c r="I129" s="756"/>
      <c r="J129" s="756"/>
      <c r="K129" s="756"/>
      <c r="L129" s="6"/>
      <c r="M129" s="213"/>
      <c r="N129" s="764"/>
      <c r="O129" s="764"/>
      <c r="P129" s="764"/>
      <c r="Q129" s="764"/>
      <c r="R129" s="764"/>
      <c r="S129" s="764"/>
      <c r="T129" s="764"/>
      <c r="U129" s="764"/>
      <c r="V129" s="764"/>
      <c r="W129" s="764"/>
      <c r="X129" s="764"/>
      <c r="Y129" s="764"/>
      <c r="Z129" s="219"/>
      <c r="AA129" s="115"/>
    </row>
    <row r="130" spans="1:27" ht="14.5" thickBot="1">
      <c r="A130" s="6"/>
      <c r="B130" s="201"/>
      <c r="C130" s="137"/>
      <c r="D130" s="137"/>
      <c r="E130" s="137"/>
      <c r="F130" s="137"/>
      <c r="G130" s="137"/>
      <c r="H130" s="137"/>
      <c r="I130" s="137"/>
      <c r="J130" s="137"/>
      <c r="K130" s="137"/>
      <c r="L130" s="137"/>
      <c r="M130" s="117"/>
      <c r="N130" s="118"/>
      <c r="O130" s="118"/>
      <c r="P130" s="118"/>
      <c r="Q130" s="118"/>
      <c r="R130" s="137"/>
      <c r="S130" s="138"/>
      <c r="T130" s="138"/>
      <c r="U130" s="119"/>
      <c r="V130" s="119"/>
      <c r="W130" s="119"/>
      <c r="X130" s="119"/>
      <c r="Y130" s="119"/>
      <c r="Z130" s="118"/>
      <c r="AA130" s="121"/>
    </row>
    <row r="131" spans="1:27" ht="14.5" thickBot="1">
      <c r="A131" s="6"/>
      <c r="B131" s="6"/>
      <c r="C131" s="6"/>
      <c r="D131" s="6"/>
      <c r="E131" s="6"/>
      <c r="F131" s="6"/>
      <c r="G131" s="6"/>
      <c r="H131" s="6"/>
      <c r="I131" s="6"/>
      <c r="J131" s="6"/>
      <c r="K131" s="6"/>
      <c r="L131" s="6"/>
    </row>
    <row r="132" spans="1:27" ht="14">
      <c r="A132" s="6"/>
      <c r="B132" s="104"/>
      <c r="C132" s="105"/>
      <c r="D132" s="147"/>
      <c r="E132" s="106"/>
      <c r="F132" s="106"/>
      <c r="G132" s="106"/>
      <c r="H132" s="106"/>
      <c r="I132" s="106"/>
      <c r="J132" s="106"/>
      <c r="K132" s="107"/>
      <c r="L132" s="107"/>
      <c r="M132" s="107"/>
      <c r="N132" s="107"/>
      <c r="O132" s="107"/>
      <c r="P132" s="107"/>
      <c r="Q132" s="107"/>
      <c r="R132" s="107"/>
      <c r="S132" s="107"/>
      <c r="T132" s="107"/>
      <c r="U132" s="107"/>
      <c r="V132" s="107"/>
      <c r="W132" s="107"/>
      <c r="X132" s="107"/>
      <c r="Y132" s="107"/>
      <c r="Z132" s="107"/>
      <c r="AA132" s="133"/>
    </row>
    <row r="133" spans="1:27" ht="22.5">
      <c r="A133" s="6"/>
      <c r="B133" s="108"/>
      <c r="C133" s="103">
        <v>4</v>
      </c>
      <c r="D133" s="202" t="s">
        <v>140</v>
      </c>
      <c r="E133" s="101"/>
      <c r="F133" s="101"/>
      <c r="G133" s="101"/>
      <c r="H133" s="101"/>
      <c r="I133" s="101"/>
      <c r="J133" s="101"/>
      <c r="K133" s="102"/>
      <c r="L133" s="102"/>
      <c r="M133" s="102"/>
      <c r="N133" s="102"/>
      <c r="O133" s="102"/>
      <c r="P133" s="102"/>
      <c r="Q133" s="102"/>
      <c r="R133" s="102"/>
      <c r="S133" s="102"/>
      <c r="T133" s="102"/>
      <c r="U133" s="102"/>
      <c r="V133" s="102"/>
      <c r="W133" s="102"/>
      <c r="X133" s="102"/>
      <c r="Y133" s="102"/>
      <c r="Z133" s="102"/>
      <c r="AA133" s="134"/>
    </row>
    <row r="134" spans="1:27" ht="14.5" thickBot="1">
      <c r="A134" s="6"/>
      <c r="B134" s="109"/>
      <c r="C134" s="123"/>
      <c r="D134" s="150"/>
      <c r="E134" s="112"/>
      <c r="F134" s="112"/>
      <c r="G134" s="112"/>
      <c r="H134" s="112"/>
      <c r="I134" s="112"/>
      <c r="J134" s="110"/>
      <c r="K134" s="111"/>
      <c r="L134" s="111"/>
      <c r="M134" s="111"/>
      <c r="N134" s="111"/>
      <c r="O134" s="111"/>
      <c r="P134" s="111"/>
      <c r="Q134" s="111"/>
      <c r="R134" s="111"/>
      <c r="S134" s="111"/>
      <c r="T134" s="111"/>
      <c r="U134" s="111"/>
      <c r="V134" s="111"/>
      <c r="W134" s="111"/>
      <c r="X134" s="111"/>
      <c r="Y134" s="111"/>
      <c r="Z134" s="111"/>
      <c r="AA134" s="135"/>
    </row>
    <row r="135" spans="1:27" ht="14">
      <c r="A135" s="6"/>
      <c r="B135" s="6"/>
      <c r="C135" s="6"/>
      <c r="D135" s="6"/>
      <c r="E135" s="6"/>
      <c r="F135" s="6"/>
      <c r="G135" s="6"/>
      <c r="H135" s="6"/>
      <c r="I135" s="6"/>
      <c r="J135" s="6"/>
      <c r="K135" s="6"/>
      <c r="L135" s="6"/>
    </row>
    <row r="136" spans="1:27" ht="14" hidden="1">
      <c r="A136" s="6"/>
      <c r="B136" s="6"/>
      <c r="C136" s="6"/>
      <c r="D136" s="6"/>
      <c r="E136" s="6"/>
      <c r="F136" s="6"/>
      <c r="G136" s="6"/>
      <c r="H136" s="6"/>
      <c r="I136" s="6"/>
      <c r="J136" s="6"/>
      <c r="K136" s="6"/>
      <c r="L136" s="6"/>
    </row>
    <row r="139" spans="1:27" ht="14" hidden="1">
      <c r="C139" s="2"/>
      <c r="D139" s="2"/>
      <c r="E139" s="2"/>
      <c r="F139" s="2"/>
      <c r="G139" s="2"/>
      <c r="H139" s="2"/>
      <c r="I139" s="2"/>
    </row>
    <row r="140" spans="1:27" ht="14" hidden="1">
      <c r="C140" s="2"/>
      <c r="D140" s="2"/>
      <c r="E140" s="2"/>
      <c r="F140" s="2"/>
      <c r="G140" s="2"/>
      <c r="H140" s="2"/>
      <c r="I140" s="2"/>
    </row>
    <row r="141" spans="1:27" ht="14" hidden="1">
      <c r="C141" s="2"/>
      <c r="D141" s="2"/>
      <c r="E141" s="2"/>
      <c r="F141" s="2"/>
      <c r="G141" s="2"/>
      <c r="H141" s="2"/>
      <c r="I141" s="2"/>
    </row>
    <row r="142" spans="1:27" ht="14" hidden="1">
      <c r="C142" s="2"/>
      <c r="D142" s="2"/>
      <c r="E142" s="2"/>
      <c r="F142" s="2"/>
      <c r="G142" s="2"/>
      <c r="H142" s="2"/>
      <c r="I142" s="2"/>
    </row>
    <row r="143" spans="1:27" ht="14" hidden="1">
      <c r="C143" s="2"/>
      <c r="D143" s="2"/>
      <c r="E143" s="2"/>
      <c r="F143" s="2"/>
      <c r="G143" s="2"/>
      <c r="H143" s="2"/>
      <c r="I143" s="2"/>
    </row>
    <row r="144" spans="1:27" ht="14" hidden="1">
      <c r="C144" s="2"/>
      <c r="D144" s="2"/>
      <c r="E144" s="2"/>
      <c r="F144" s="2"/>
      <c r="G144" s="2"/>
      <c r="H144" s="2"/>
      <c r="I144" s="2"/>
    </row>
    <row r="145" spans="2:9" ht="14" hidden="1">
      <c r="C145" s="2"/>
      <c r="D145" s="2"/>
      <c r="E145" s="2"/>
      <c r="F145" s="2"/>
      <c r="G145" s="2"/>
      <c r="H145" s="2"/>
      <c r="I145" s="2"/>
    </row>
    <row r="146" spans="2:9" ht="14" hidden="1">
      <c r="C146" s="2"/>
      <c r="D146" s="2"/>
      <c r="E146" s="2"/>
      <c r="F146" s="2"/>
      <c r="G146" s="2"/>
      <c r="H146" s="2"/>
      <c r="I146" s="2"/>
    </row>
    <row r="147" spans="2:9" ht="14" hidden="1">
      <c r="C147" s="2"/>
      <c r="D147" s="2"/>
      <c r="E147" s="2"/>
      <c r="F147" s="2"/>
      <c r="G147" s="2"/>
      <c r="H147" s="2"/>
      <c r="I147" s="2"/>
    </row>
    <row r="148" spans="2:9" ht="14" hidden="1">
      <c r="C148" s="2"/>
      <c r="D148" s="2"/>
      <c r="E148" s="2"/>
      <c r="F148" s="2"/>
      <c r="G148" s="2"/>
      <c r="H148" s="2"/>
      <c r="I148" s="2"/>
    </row>
    <row r="149" spans="2:9" ht="14" hidden="1">
      <c r="C149" s="2"/>
      <c r="D149" s="2"/>
      <c r="E149" s="2"/>
      <c r="F149" s="2"/>
      <c r="G149" s="2"/>
      <c r="H149" s="2"/>
      <c r="I149" s="2"/>
    </row>
    <row r="150" spans="2:9" ht="14" hidden="1">
      <c r="C150" s="2"/>
      <c r="D150" s="2"/>
      <c r="E150" s="2"/>
      <c r="F150" s="2"/>
      <c r="G150" s="2"/>
      <c r="H150" s="2"/>
      <c r="I150" s="2"/>
    </row>
    <row r="151" spans="2:9" ht="14" hidden="1">
      <c r="C151" s="2"/>
      <c r="D151" s="2"/>
      <c r="E151" s="2"/>
      <c r="F151" s="2"/>
      <c r="G151" s="2"/>
      <c r="H151" s="2"/>
      <c r="I151" s="2"/>
    </row>
    <row r="152" spans="2:9" ht="14" hidden="1">
      <c r="C152" s="2"/>
      <c r="D152" s="2"/>
      <c r="E152" s="2"/>
      <c r="F152" s="2"/>
      <c r="G152" s="2"/>
      <c r="H152" s="2"/>
      <c r="I152" s="2"/>
    </row>
    <row r="153" spans="2:9" ht="14" hidden="1">
      <c r="C153" s="2"/>
      <c r="D153" s="2"/>
      <c r="E153" s="2"/>
      <c r="F153" s="2"/>
      <c r="G153" s="2"/>
      <c r="H153" s="2"/>
      <c r="I153" s="2"/>
    </row>
    <row r="154" spans="2:9" ht="14" hidden="1">
      <c r="C154" s="2"/>
      <c r="D154" s="2"/>
      <c r="E154" s="2"/>
      <c r="F154" s="2"/>
      <c r="G154" s="2"/>
      <c r="H154" s="2"/>
      <c r="I154" s="2"/>
    </row>
    <row r="155" spans="2:9" ht="14" hidden="1">
      <c r="C155" s="2"/>
      <c r="D155" s="2"/>
      <c r="E155" s="2"/>
      <c r="F155" s="2"/>
      <c r="G155" s="2"/>
      <c r="H155" s="2"/>
      <c r="I155" s="2"/>
    </row>
    <row r="156" spans="2:9" ht="14" hidden="1">
      <c r="C156" s="2"/>
      <c r="D156" s="2"/>
      <c r="E156" s="2"/>
      <c r="F156" s="2"/>
      <c r="G156" s="2"/>
      <c r="H156" s="2"/>
      <c r="I156" s="2"/>
    </row>
    <row r="157" spans="2:9" ht="14" hidden="1">
      <c r="C157" s="2"/>
      <c r="D157" s="2"/>
      <c r="E157" s="2"/>
      <c r="F157" s="2"/>
      <c r="G157" s="2"/>
      <c r="H157" s="2"/>
      <c r="I157" s="2"/>
    </row>
    <row r="158" spans="2:9" ht="14" hidden="1">
      <c r="B158" s="6"/>
      <c r="C158" s="2"/>
      <c r="D158" s="2"/>
      <c r="E158" s="2"/>
      <c r="F158" s="2"/>
      <c r="G158" s="2"/>
      <c r="H158" s="2"/>
      <c r="I158" s="2"/>
    </row>
    <row r="159" spans="2:9" ht="14" hidden="1">
      <c r="C159" s="2"/>
      <c r="D159" s="2"/>
      <c r="E159" s="2"/>
      <c r="F159" s="2"/>
      <c r="G159" s="2"/>
      <c r="H159" s="2"/>
      <c r="I159" s="2"/>
    </row>
    <row r="160" spans="2:9" ht="14" hidden="1">
      <c r="C160" s="2"/>
      <c r="D160" s="2"/>
      <c r="E160" s="2"/>
      <c r="F160" s="2"/>
      <c r="G160" s="2"/>
      <c r="H160" s="2"/>
      <c r="I160" s="2"/>
    </row>
    <row r="161" spans="3:9" ht="14" hidden="1">
      <c r="C161" s="2"/>
      <c r="D161" s="2"/>
      <c r="E161" s="2"/>
      <c r="F161" s="2"/>
      <c r="G161" s="2"/>
      <c r="H161" s="2"/>
      <c r="I161" s="2"/>
    </row>
    <row r="162" spans="3:9" ht="14" hidden="1">
      <c r="C162" s="2"/>
      <c r="D162" s="2"/>
      <c r="E162" s="2"/>
      <c r="F162" s="2"/>
      <c r="G162" s="2"/>
      <c r="H162" s="2"/>
      <c r="I162" s="2"/>
    </row>
    <row r="163" spans="3:9" ht="14" hidden="1">
      <c r="C163" s="2"/>
      <c r="D163" s="2"/>
      <c r="E163" s="2"/>
      <c r="F163" s="2"/>
      <c r="G163" s="2"/>
      <c r="H163" s="2"/>
      <c r="I163" s="2"/>
    </row>
    <row r="164" spans="3:9" ht="14" hidden="1">
      <c r="C164" s="2"/>
      <c r="D164" s="2"/>
      <c r="E164" s="2"/>
      <c r="F164" s="2"/>
      <c r="G164" s="2"/>
      <c r="H164" s="2"/>
      <c r="I164" s="2"/>
    </row>
    <row r="165" spans="3:9" ht="14" hidden="1">
      <c r="C165" s="2"/>
      <c r="D165" s="2"/>
      <c r="E165" s="2"/>
      <c r="F165" s="2"/>
      <c r="G165" s="2"/>
      <c r="H165" s="2"/>
      <c r="I165" s="2"/>
    </row>
    <row r="166" spans="3:9" ht="14" hidden="1">
      <c r="C166" s="2"/>
      <c r="D166" s="2"/>
      <c r="E166" s="2"/>
      <c r="F166" s="2"/>
      <c r="G166" s="2"/>
      <c r="H166" s="2"/>
      <c r="I166" s="2"/>
    </row>
    <row r="167" spans="3:9" ht="14" hidden="1">
      <c r="C167" s="2"/>
      <c r="D167" s="2"/>
      <c r="E167" s="2"/>
      <c r="F167" s="2"/>
      <c r="G167" s="2"/>
      <c r="H167" s="2"/>
      <c r="I167" s="2"/>
    </row>
    <row r="168" spans="3:9" ht="14" hidden="1">
      <c r="C168" s="2"/>
      <c r="D168" s="2"/>
      <c r="E168" s="2"/>
      <c r="F168" s="2"/>
      <c r="G168" s="2"/>
      <c r="H168" s="2"/>
      <c r="I168" s="2"/>
    </row>
    <row r="169" spans="3:9"/>
  </sheetData>
  <sheetProtection algorithmName="SHA-512" hashValue="2+3B6rASVDDXzd0N2HFAU4Lf+dlXnvTO+/W1fD0LML1JzYHIEdmuxQTX6/tCoyMm8RLw/NkFr/xCSLodnPw4dA==" saltValue="5pQZeKSr76/H3+2bDWYEMg==" spinCount="100000" sheet="1" objects="1" scenarios="1"/>
  <dataConsolidate/>
  <mergeCells count="167">
    <mergeCell ref="V107:W107"/>
    <mergeCell ref="E103:F104"/>
    <mergeCell ref="E105:F105"/>
    <mergeCell ref="E106:F106"/>
    <mergeCell ref="D70:K71"/>
    <mergeCell ref="D79:K80"/>
    <mergeCell ref="C89:K91"/>
    <mergeCell ref="E100:F100"/>
    <mergeCell ref="E101:F101"/>
    <mergeCell ref="N105:Q105"/>
    <mergeCell ref="N106:O106"/>
    <mergeCell ref="P106:Q106"/>
    <mergeCell ref="M103:Z103"/>
    <mergeCell ref="S70:Z71"/>
    <mergeCell ref="S79:Z79"/>
    <mergeCell ref="S72:Z73"/>
    <mergeCell ref="S74:Z75"/>
    <mergeCell ref="S76:Z78"/>
    <mergeCell ref="O76:R77"/>
    <mergeCell ref="M89:Z89"/>
    <mergeCell ref="G103:G104"/>
    <mergeCell ref="H103:H104"/>
    <mergeCell ref="I103:I104"/>
    <mergeCell ref="E102:F102"/>
    <mergeCell ref="X105:Y106"/>
    <mergeCell ref="D34:J36"/>
    <mergeCell ref="D41:J42"/>
    <mergeCell ref="D45:J46"/>
    <mergeCell ref="D50:J50"/>
    <mergeCell ref="R105:S106"/>
    <mergeCell ref="T105:W105"/>
    <mergeCell ref="T106:U106"/>
    <mergeCell ref="V106:W106"/>
    <mergeCell ref="M68:Z68"/>
    <mergeCell ref="D37:J40"/>
    <mergeCell ref="O45:P45"/>
    <mergeCell ref="Q45:R45"/>
    <mergeCell ref="O46:P46"/>
    <mergeCell ref="Q46:R46"/>
    <mergeCell ref="O47:P47"/>
    <mergeCell ref="Q47:R47"/>
    <mergeCell ref="O49:P49"/>
    <mergeCell ref="Q49:R49"/>
    <mergeCell ref="U45:V45"/>
    <mergeCell ref="W45:X45"/>
    <mergeCell ref="U46:V46"/>
    <mergeCell ref="W46:X46"/>
    <mergeCell ref="U47:V47"/>
    <mergeCell ref="E108:F108"/>
    <mergeCell ref="E107:F107"/>
    <mergeCell ref="P114:Q114"/>
    <mergeCell ref="P113:Q113"/>
    <mergeCell ref="P112:Q112"/>
    <mergeCell ref="P111:Q111"/>
    <mergeCell ref="T108:U108"/>
    <mergeCell ref="T110:U110"/>
    <mergeCell ref="T109:U109"/>
    <mergeCell ref="N107:O107"/>
    <mergeCell ref="P107:Q107"/>
    <mergeCell ref="T107:U107"/>
    <mergeCell ref="V126:W126"/>
    <mergeCell ref="V125:W125"/>
    <mergeCell ref="V124:W124"/>
    <mergeCell ref="V123:W123"/>
    <mergeCell ref="V122:W122"/>
    <mergeCell ref="V121:W121"/>
    <mergeCell ref="V120:W120"/>
    <mergeCell ref="V119:W119"/>
    <mergeCell ref="V118:W118"/>
    <mergeCell ref="T119:U119"/>
    <mergeCell ref="N119:O119"/>
    <mergeCell ref="N118:O118"/>
    <mergeCell ref="N117:O117"/>
    <mergeCell ref="N116:O116"/>
    <mergeCell ref="P115:Q115"/>
    <mergeCell ref="P118:Q118"/>
    <mergeCell ref="P117:Q117"/>
    <mergeCell ref="P116:Q116"/>
    <mergeCell ref="P119:Q119"/>
    <mergeCell ref="T127:U127"/>
    <mergeCell ref="T126:U126"/>
    <mergeCell ref="T125:U125"/>
    <mergeCell ref="T124:U124"/>
    <mergeCell ref="T123:U123"/>
    <mergeCell ref="T122:U122"/>
    <mergeCell ref="T121:U121"/>
    <mergeCell ref="T120:U120"/>
    <mergeCell ref="P127:Q127"/>
    <mergeCell ref="P126:Q126"/>
    <mergeCell ref="P125:Q125"/>
    <mergeCell ref="P124:Q124"/>
    <mergeCell ref="P123:Q123"/>
    <mergeCell ref="P122:Q122"/>
    <mergeCell ref="P121:Q121"/>
    <mergeCell ref="P120:Q120"/>
    <mergeCell ref="D128:K129"/>
    <mergeCell ref="N128:Y129"/>
    <mergeCell ref="N110:O110"/>
    <mergeCell ref="N109:O109"/>
    <mergeCell ref="N108:O108"/>
    <mergeCell ref="N115:O115"/>
    <mergeCell ref="N114:O114"/>
    <mergeCell ref="N113:O113"/>
    <mergeCell ref="N112:O112"/>
    <mergeCell ref="N111:O111"/>
    <mergeCell ref="P110:Q110"/>
    <mergeCell ref="P109:Q109"/>
    <mergeCell ref="P108:Q108"/>
    <mergeCell ref="N127:O127"/>
    <mergeCell ref="N126:O126"/>
    <mergeCell ref="N125:O125"/>
    <mergeCell ref="N124:O124"/>
    <mergeCell ref="N122:O122"/>
    <mergeCell ref="N121:O121"/>
    <mergeCell ref="N120:O120"/>
    <mergeCell ref="V108:W108"/>
    <mergeCell ref="V115:W115"/>
    <mergeCell ref="V114:W114"/>
    <mergeCell ref="V113:W113"/>
    <mergeCell ref="Q48:R48"/>
    <mergeCell ref="W47:X47"/>
    <mergeCell ref="U48:V48"/>
    <mergeCell ref="W48:X48"/>
    <mergeCell ref="U49:V49"/>
    <mergeCell ref="D122:K123"/>
    <mergeCell ref="D125:K126"/>
    <mergeCell ref="D116:K117"/>
    <mergeCell ref="D119:J120"/>
    <mergeCell ref="V112:W112"/>
    <mergeCell ref="T118:U118"/>
    <mergeCell ref="T117:U117"/>
    <mergeCell ref="T116:U116"/>
    <mergeCell ref="V110:W110"/>
    <mergeCell ref="V109:W109"/>
    <mergeCell ref="V111:W111"/>
    <mergeCell ref="V117:W117"/>
    <mergeCell ref="V116:W116"/>
    <mergeCell ref="T115:U115"/>
    <mergeCell ref="T114:U114"/>
    <mergeCell ref="T113:U113"/>
    <mergeCell ref="T112:U112"/>
    <mergeCell ref="T111:U111"/>
    <mergeCell ref="N123:O123"/>
    <mergeCell ref="W49:X49"/>
    <mergeCell ref="T18:X18"/>
    <mergeCell ref="D19:J20"/>
    <mergeCell ref="E9:J11"/>
    <mergeCell ref="C93:K94"/>
    <mergeCell ref="M98:Z101"/>
    <mergeCell ref="U52:V52"/>
    <mergeCell ref="W52:X52"/>
    <mergeCell ref="L52:O52"/>
    <mergeCell ref="P52:T52"/>
    <mergeCell ref="D51:J53"/>
    <mergeCell ref="Y52:Z52"/>
    <mergeCell ref="D47:J48"/>
    <mergeCell ref="D26:J26"/>
    <mergeCell ref="D32:J33"/>
    <mergeCell ref="D49:J49"/>
    <mergeCell ref="N30:R30"/>
    <mergeCell ref="M42:X42"/>
    <mergeCell ref="N44:R44"/>
    <mergeCell ref="T44:X44"/>
    <mergeCell ref="E95:I96"/>
    <mergeCell ref="D30:J31"/>
    <mergeCell ref="D81:K82"/>
    <mergeCell ref="O48:P48"/>
  </mergeCells>
  <phoneticPr fontId="3" type="noConversion"/>
  <dataValidations count="1">
    <dataValidation type="list" allowBlank="1" showDropDown="1" showInputMessage="1" showErrorMessage="1" sqref="U24" xr:uid="{CC7D040B-B21A-4880-B5CA-CEC668D16799}">
      <formula1>"11,12"</formula1>
    </dataValidation>
  </dataValidations>
  <printOptions horizontalCentered="1"/>
  <pageMargins left="0.23622047244094491" right="0.23622047244094491" top="0.74803149606299213" bottom="0.74803149606299213" header="0.31496062992125984" footer="0.31496062992125984"/>
  <pageSetup paperSize="208" scale="8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0046D2"/>
    <pageSetUpPr fitToPage="1"/>
  </sheetPr>
  <dimension ref="A1:AC71"/>
  <sheetViews>
    <sheetView showGridLines="0" zoomScale="125" zoomScaleNormal="100" workbookViewId="0">
      <pane ySplit="3" topLeftCell="A22" activePane="bottomLeft" state="frozen"/>
      <selection pane="bottomLeft" activeCell="F24" sqref="F24"/>
    </sheetView>
  </sheetViews>
  <sheetFormatPr defaultColWidth="0" defaultRowHeight="14" zeroHeight="1"/>
  <cols>
    <col min="1" max="1" width="3.6328125" style="2" customWidth="1"/>
    <col min="2" max="2" width="3.6328125" style="19" customWidth="1"/>
    <col min="3" max="3" width="10.6328125" style="2" customWidth="1"/>
    <col min="4" max="4" width="10.6328125" style="6" customWidth="1"/>
    <col min="5" max="5" width="2.6328125" style="18" customWidth="1"/>
    <col min="6" max="7" width="7.453125" style="20" customWidth="1"/>
    <col min="8" max="8" width="26.36328125" style="20" customWidth="1"/>
    <col min="9" max="9" width="3.6328125" style="3" hidden="1" customWidth="1"/>
    <col min="10" max="10" width="3.6328125" style="3" customWidth="1"/>
    <col min="11" max="11" width="3.6328125" style="2" customWidth="1"/>
    <col min="12" max="12" width="3.6328125" style="20" customWidth="1"/>
    <col min="13" max="13" width="3.6328125" style="2" customWidth="1"/>
    <col min="14" max="14" width="15.6328125" style="2" customWidth="1"/>
    <col min="15" max="15" width="35.6328125" style="2" customWidth="1"/>
    <col min="16" max="17" width="3.6328125" style="2" customWidth="1"/>
    <col min="18" max="18" width="15.6328125" style="2" customWidth="1"/>
    <col min="19" max="19" width="35.6328125" style="2" customWidth="1"/>
    <col min="20" max="21" width="3.6328125" style="2" customWidth="1"/>
    <col min="22" max="23" width="9.1796875" style="2" hidden="1" customWidth="1"/>
    <col min="24" max="29" width="0" style="2" hidden="1" customWidth="1"/>
    <col min="30" max="16384" width="9.1796875" style="2" hidden="1"/>
  </cols>
  <sheetData>
    <row r="1" spans="1:21" ht="15" customHeight="1">
      <c r="A1" s="266"/>
      <c r="B1" s="267"/>
      <c r="C1" s="268"/>
      <c r="D1" s="268"/>
      <c r="E1" s="268"/>
      <c r="F1" s="269"/>
      <c r="G1" s="269"/>
      <c r="H1" s="268"/>
      <c r="I1" s="579"/>
      <c r="J1" s="579"/>
      <c r="K1" s="268"/>
      <c r="L1" s="268"/>
      <c r="M1" s="268"/>
      <c r="N1" s="268"/>
      <c r="O1" s="268"/>
      <c r="P1" s="268"/>
      <c r="Q1" s="268"/>
      <c r="R1" s="268"/>
      <c r="S1" s="268"/>
      <c r="T1" s="268"/>
      <c r="U1" s="24"/>
    </row>
    <row r="2" spans="1:21" ht="15" customHeight="1">
      <c r="A2" s="24"/>
      <c r="B2" s="267"/>
      <c r="C2" s="268"/>
      <c r="D2" s="256" t="s">
        <v>0</v>
      </c>
      <c r="E2" s="268"/>
      <c r="F2" s="269"/>
      <c r="G2" s="269"/>
      <c r="H2" s="268"/>
      <c r="I2" s="579"/>
      <c r="J2" s="579"/>
      <c r="K2" s="268"/>
      <c r="L2" s="268"/>
      <c r="M2" s="268"/>
      <c r="N2" s="268"/>
      <c r="O2" s="268"/>
      <c r="P2" s="268"/>
      <c r="Q2" s="268"/>
      <c r="R2" s="268"/>
      <c r="S2" s="268"/>
      <c r="T2" s="268"/>
      <c r="U2" s="24"/>
    </row>
    <row r="3" spans="1:21" ht="25">
      <c r="A3" s="24"/>
      <c r="B3" s="267"/>
      <c r="C3" s="268"/>
      <c r="D3" s="483" t="s">
        <v>141</v>
      </c>
      <c r="E3" s="268"/>
      <c r="F3" s="269"/>
      <c r="G3" s="269"/>
      <c r="H3" s="268"/>
      <c r="I3" s="579"/>
      <c r="J3" s="579"/>
      <c r="K3" s="268"/>
      <c r="L3" s="268"/>
      <c r="M3" s="268"/>
      <c r="N3" s="268"/>
      <c r="O3" s="268"/>
      <c r="P3" s="268"/>
      <c r="Q3" s="268"/>
      <c r="R3" s="268"/>
      <c r="S3" s="268"/>
      <c r="T3" s="268"/>
      <c r="U3" s="24"/>
    </row>
    <row r="4" spans="1:21" ht="15" customHeight="1">
      <c r="A4" s="24"/>
      <c r="B4" s="267"/>
      <c r="C4" s="268"/>
      <c r="D4" s="484" t="s">
        <v>142</v>
      </c>
      <c r="E4" s="268"/>
      <c r="F4" s="269"/>
      <c r="G4" s="269"/>
      <c r="H4" s="268"/>
      <c r="I4" s="579"/>
      <c r="J4" s="579"/>
      <c r="K4" s="268"/>
      <c r="L4" s="268"/>
      <c r="M4" s="268"/>
      <c r="N4" s="268"/>
      <c r="O4" s="268"/>
      <c r="P4" s="268"/>
      <c r="Q4" s="268"/>
      <c r="R4" s="268"/>
      <c r="S4" s="268"/>
      <c r="T4" s="268"/>
      <c r="U4" s="24"/>
    </row>
    <row r="5" spans="1:21" ht="15" customHeight="1">
      <c r="A5" s="24"/>
      <c r="B5" s="267"/>
      <c r="C5" s="268"/>
      <c r="D5" s="268"/>
      <c r="E5" s="268"/>
      <c r="F5" s="269"/>
      <c r="G5" s="269"/>
      <c r="H5" s="268"/>
      <c r="I5" s="579"/>
      <c r="J5" s="579"/>
      <c r="K5" s="268"/>
      <c r="L5" s="268"/>
      <c r="M5" s="268"/>
      <c r="N5" s="268"/>
      <c r="O5" s="268"/>
      <c r="P5" s="268"/>
      <c r="Q5" s="268"/>
      <c r="R5" s="268"/>
      <c r="S5" s="268"/>
      <c r="T5" s="270"/>
      <c r="U5" s="24"/>
    </row>
    <row r="6" spans="1:21" ht="14.5" thickBot="1"/>
    <row r="7" spans="1:21" ht="18">
      <c r="B7" s="851" t="s">
        <v>4</v>
      </c>
      <c r="C7" s="852"/>
      <c r="D7" s="852"/>
      <c r="E7" s="852"/>
      <c r="F7" s="852"/>
      <c r="G7" s="852"/>
      <c r="H7" s="852"/>
      <c r="I7" s="853"/>
      <c r="J7" s="535"/>
      <c r="L7" s="845" t="s">
        <v>43</v>
      </c>
      <c r="M7" s="846"/>
      <c r="N7" s="846"/>
      <c r="O7" s="846"/>
      <c r="P7" s="846"/>
      <c r="Q7" s="846"/>
      <c r="R7" s="846"/>
      <c r="S7" s="846"/>
      <c r="T7" s="847"/>
    </row>
    <row r="8" spans="1:21" ht="18">
      <c r="B8" s="854"/>
      <c r="C8" s="855"/>
      <c r="D8" s="855"/>
      <c r="E8" s="855"/>
      <c r="F8" s="855"/>
      <c r="G8" s="855"/>
      <c r="H8" s="855"/>
      <c r="I8" s="856"/>
      <c r="J8" s="536"/>
      <c r="L8" s="848"/>
      <c r="M8" s="849"/>
      <c r="N8" s="849"/>
      <c r="O8" s="849"/>
      <c r="P8" s="849"/>
      <c r="Q8" s="849"/>
      <c r="R8" s="849"/>
      <c r="S8" s="849"/>
      <c r="T8" s="850"/>
    </row>
    <row r="9" spans="1:21">
      <c r="B9" s="25"/>
      <c r="C9" s="236"/>
      <c r="D9" s="236"/>
      <c r="E9" s="237"/>
      <c r="F9" s="236"/>
      <c r="G9" s="236"/>
      <c r="H9" s="236"/>
      <c r="I9" s="580"/>
      <c r="J9" s="580"/>
      <c r="L9" s="271"/>
      <c r="M9" s="27"/>
      <c r="N9" s="27"/>
      <c r="O9" s="212"/>
      <c r="P9" s="27"/>
      <c r="Q9" s="27"/>
      <c r="R9" s="27"/>
      <c r="S9" s="27"/>
      <c r="T9" s="272"/>
    </row>
    <row r="10" spans="1:21">
      <c r="B10" s="28"/>
      <c r="C10" s="831" t="s">
        <v>7</v>
      </c>
      <c r="D10" s="832"/>
      <c r="E10" s="29" t="s">
        <v>8</v>
      </c>
      <c r="F10" s="857" t="s">
        <v>419</v>
      </c>
      <c r="G10" s="857"/>
      <c r="H10" s="858"/>
      <c r="I10" s="581"/>
      <c r="J10" s="581"/>
      <c r="L10" s="271"/>
      <c r="M10" s="485"/>
      <c r="N10" s="510" t="s">
        <v>47</v>
      </c>
      <c r="O10" s="511" t="s">
        <v>143</v>
      </c>
      <c r="P10" s="505"/>
      <c r="Q10" s="512"/>
      <c r="R10" s="510" t="s">
        <v>47</v>
      </c>
      <c r="S10" s="511" t="s">
        <v>144</v>
      </c>
      <c r="T10" s="272"/>
    </row>
    <row r="11" spans="1:21">
      <c r="B11" s="28"/>
      <c r="C11" s="831" t="s">
        <v>10</v>
      </c>
      <c r="D11" s="832"/>
      <c r="E11" s="29" t="s">
        <v>8</v>
      </c>
      <c r="F11" s="857" t="s">
        <v>420</v>
      </c>
      <c r="G11" s="857"/>
      <c r="H11" s="858"/>
      <c r="I11" s="581"/>
      <c r="J11" s="581"/>
      <c r="L11" s="271"/>
      <c r="M11" s="273">
        <v>1</v>
      </c>
      <c r="N11" s="696"/>
      <c r="O11" s="30"/>
      <c r="P11" s="27"/>
      <c r="Q11" s="274">
        <v>1</v>
      </c>
      <c r="R11" s="696"/>
      <c r="S11" s="30"/>
      <c r="T11" s="272"/>
    </row>
    <row r="12" spans="1:21">
      <c r="B12" s="28"/>
      <c r="C12" s="239"/>
      <c r="D12" s="239"/>
      <c r="E12" s="240"/>
      <c r="F12" s="241"/>
      <c r="G12" s="241"/>
      <c r="H12" s="241"/>
      <c r="I12" s="581"/>
      <c r="J12" s="581"/>
      <c r="L12" s="275"/>
      <c r="M12" s="273">
        <v>2</v>
      </c>
      <c r="N12" s="696"/>
      <c r="O12" s="30"/>
      <c r="P12" s="27"/>
      <c r="Q12" s="274">
        <v>2</v>
      </c>
      <c r="R12" s="696"/>
      <c r="S12" s="30"/>
      <c r="T12" s="272"/>
    </row>
    <row r="13" spans="1:21">
      <c r="B13" s="28"/>
      <c r="C13" s="831" t="s">
        <v>12</v>
      </c>
      <c r="D13" s="832"/>
      <c r="E13" s="29" t="s">
        <v>8</v>
      </c>
      <c r="F13" s="81">
        <v>301518</v>
      </c>
      <c r="G13" s="241"/>
      <c r="H13" s="241"/>
      <c r="I13" s="581"/>
      <c r="J13" s="581"/>
      <c r="L13" s="275"/>
      <c r="M13" s="273">
        <v>3</v>
      </c>
      <c r="N13" s="696"/>
      <c r="O13" s="30"/>
      <c r="P13" s="27"/>
      <c r="Q13" s="274">
        <v>3</v>
      </c>
      <c r="R13" s="696"/>
      <c r="S13" s="30"/>
      <c r="T13" s="272"/>
    </row>
    <row r="14" spans="1:21">
      <c r="B14" s="28"/>
      <c r="C14" s="841" t="s">
        <v>14</v>
      </c>
      <c r="D14" s="842"/>
      <c r="E14" s="829" t="s">
        <v>8</v>
      </c>
      <c r="F14" s="860" t="s">
        <v>421</v>
      </c>
      <c r="G14" s="860"/>
      <c r="H14" s="861"/>
      <c r="I14" s="581"/>
      <c r="J14" s="581"/>
      <c r="L14" s="275"/>
      <c r="M14" s="273">
        <v>4</v>
      </c>
      <c r="N14" s="696"/>
      <c r="O14" s="30"/>
      <c r="P14" s="27"/>
      <c r="Q14" s="274">
        <v>4</v>
      </c>
      <c r="R14" s="696"/>
      <c r="S14" s="30"/>
      <c r="T14" s="272"/>
    </row>
    <row r="15" spans="1:21">
      <c r="B15" s="28"/>
      <c r="C15" s="843"/>
      <c r="D15" s="844"/>
      <c r="E15" s="830"/>
      <c r="F15" s="862"/>
      <c r="G15" s="862"/>
      <c r="H15" s="863"/>
      <c r="I15" s="581"/>
      <c r="J15" s="581"/>
      <c r="L15" s="275"/>
      <c r="M15" s="273">
        <v>5</v>
      </c>
      <c r="N15" s="696"/>
      <c r="O15" s="30"/>
      <c r="P15" s="27"/>
      <c r="Q15" s="274">
        <v>5</v>
      </c>
      <c r="R15" s="697"/>
      <c r="S15" s="30"/>
      <c r="T15" s="272"/>
    </row>
    <row r="16" spans="1:21">
      <c r="B16" s="28"/>
      <c r="C16" s="831" t="s">
        <v>16</v>
      </c>
      <c r="D16" s="832"/>
      <c r="E16" s="29" t="s">
        <v>8</v>
      </c>
      <c r="F16" s="577">
        <v>2026</v>
      </c>
      <c r="G16" s="684" t="str">
        <f>IF(F16&gt;0, "–    "&amp; F16+1,"–")</f>
        <v>–    2027</v>
      </c>
      <c r="H16" s="241"/>
      <c r="I16" s="581"/>
      <c r="J16" s="581"/>
      <c r="L16" s="275"/>
      <c r="M16" s="273">
        <v>6</v>
      </c>
      <c r="N16" s="696"/>
      <c r="O16" s="30"/>
      <c r="P16" s="27"/>
      <c r="Q16" s="274">
        <v>6</v>
      </c>
      <c r="R16" s="696"/>
      <c r="S16" s="30"/>
      <c r="T16" s="272"/>
    </row>
    <row r="17" spans="2:20" ht="14.5" thickBot="1">
      <c r="B17" s="31"/>
      <c r="C17" s="32"/>
      <c r="D17" s="33"/>
      <c r="E17" s="34"/>
      <c r="F17" s="33"/>
      <c r="G17" s="33"/>
      <c r="H17" s="32"/>
      <c r="I17" s="582"/>
      <c r="J17" s="582"/>
      <c r="L17" s="275"/>
      <c r="M17" s="273">
        <v>7</v>
      </c>
      <c r="N17" s="696"/>
      <c r="O17" s="30"/>
      <c r="P17" s="27"/>
      <c r="Q17" s="274">
        <v>7</v>
      </c>
      <c r="R17" s="696"/>
      <c r="S17" s="30"/>
      <c r="T17" s="272"/>
    </row>
    <row r="18" spans="2:20" ht="14.5" thickBot="1">
      <c r="L18" s="275"/>
      <c r="M18" s="273">
        <v>8</v>
      </c>
      <c r="N18" s="696"/>
      <c r="O18" s="30"/>
      <c r="P18" s="27"/>
      <c r="Q18" s="274">
        <v>8</v>
      </c>
      <c r="R18" s="696"/>
      <c r="S18" s="30"/>
      <c r="T18" s="272"/>
    </row>
    <row r="19" spans="2:20" ht="18">
      <c r="B19" s="851" t="s">
        <v>19</v>
      </c>
      <c r="C19" s="852"/>
      <c r="D19" s="852"/>
      <c r="E19" s="852"/>
      <c r="F19" s="852"/>
      <c r="G19" s="852"/>
      <c r="H19" s="852"/>
      <c r="I19" s="852"/>
      <c r="J19" s="535"/>
      <c r="L19" s="275"/>
      <c r="M19" s="273">
        <v>9</v>
      </c>
      <c r="N19" s="668"/>
      <c r="O19" s="30"/>
      <c r="P19" s="27"/>
      <c r="Q19" s="274">
        <v>9</v>
      </c>
      <c r="R19" s="696"/>
      <c r="S19" s="30"/>
      <c r="T19" s="272"/>
    </row>
    <row r="20" spans="2:20" ht="18">
      <c r="B20" s="854"/>
      <c r="C20" s="855"/>
      <c r="D20" s="855"/>
      <c r="E20" s="855"/>
      <c r="F20" s="855"/>
      <c r="G20" s="855"/>
      <c r="H20" s="855"/>
      <c r="I20" s="855"/>
      <c r="J20" s="536"/>
      <c r="L20" s="275"/>
      <c r="M20" s="273">
        <v>10</v>
      </c>
      <c r="N20" s="668"/>
      <c r="O20" s="30"/>
      <c r="P20" s="27"/>
      <c r="Q20" s="274">
        <v>10</v>
      </c>
      <c r="R20" s="696"/>
      <c r="S20" s="30"/>
      <c r="T20" s="272"/>
    </row>
    <row r="21" spans="2:20">
      <c r="B21" s="25"/>
      <c r="C21" s="236"/>
      <c r="D21" s="237"/>
      <c r="E21" s="236"/>
      <c r="F21" s="236"/>
      <c r="G21" s="236"/>
      <c r="H21" s="236"/>
      <c r="I21" s="237"/>
      <c r="J21" s="580"/>
      <c r="L21" s="275"/>
      <c r="M21" s="273">
        <v>11</v>
      </c>
      <c r="N21" s="668"/>
      <c r="O21" s="30"/>
      <c r="P21" s="27"/>
      <c r="Q21" s="274">
        <v>11</v>
      </c>
      <c r="R21" s="696"/>
      <c r="S21" s="30"/>
      <c r="T21" s="272"/>
    </row>
    <row r="22" spans="2:20">
      <c r="B22" s="28"/>
      <c r="C22" s="866" t="s">
        <v>21</v>
      </c>
      <c r="D22" s="867"/>
      <c r="E22" s="864" t="s">
        <v>8</v>
      </c>
      <c r="F22" s="870" t="s">
        <v>422</v>
      </c>
      <c r="G22" s="870"/>
      <c r="H22" s="871"/>
      <c r="I22" s="505"/>
      <c r="J22" s="581"/>
      <c r="L22" s="275"/>
      <c r="M22" s="273">
        <v>12</v>
      </c>
      <c r="N22" s="668"/>
      <c r="O22" s="30"/>
      <c r="P22" s="27"/>
      <c r="Q22" s="274">
        <v>12</v>
      </c>
      <c r="R22" s="696"/>
      <c r="S22" s="30"/>
      <c r="T22" s="272"/>
    </row>
    <row r="23" spans="2:20">
      <c r="B23" s="28"/>
      <c r="C23" s="868"/>
      <c r="D23" s="869"/>
      <c r="E23" s="865"/>
      <c r="F23" s="872"/>
      <c r="G23" s="872"/>
      <c r="H23" s="873"/>
      <c r="I23" s="505"/>
      <c r="J23" s="581"/>
      <c r="L23" s="275"/>
      <c r="M23" s="273">
        <v>13</v>
      </c>
      <c r="N23" s="668"/>
      <c r="O23" s="30"/>
      <c r="P23" s="27"/>
      <c r="Q23" s="274">
        <v>13</v>
      </c>
      <c r="R23" s="668"/>
      <c r="S23" s="30"/>
      <c r="T23" s="272"/>
    </row>
    <row r="24" spans="2:20">
      <c r="B24" s="28"/>
      <c r="C24" s="486" t="s">
        <v>23</v>
      </c>
      <c r="D24" s="487"/>
      <c r="E24" s="29" t="s">
        <v>8</v>
      </c>
      <c r="F24" s="35">
        <v>11</v>
      </c>
      <c r="G24" s="381" t="s">
        <v>145</v>
      </c>
      <c r="H24" s="212"/>
      <c r="I24" s="505"/>
      <c r="J24" s="581"/>
      <c r="L24" s="275"/>
      <c r="M24" s="273">
        <v>14</v>
      </c>
      <c r="N24" s="668"/>
      <c r="O24" s="30"/>
      <c r="P24" s="27"/>
      <c r="Q24" s="274">
        <v>14</v>
      </c>
      <c r="R24" s="668"/>
      <c r="S24" s="30"/>
      <c r="T24" s="272"/>
    </row>
    <row r="25" spans="2:20">
      <c r="B25" s="28"/>
      <c r="C25" s="486" t="s">
        <v>25</v>
      </c>
      <c r="D25" s="487"/>
      <c r="E25" s="29" t="s">
        <v>8</v>
      </c>
      <c r="F25" s="833" t="s">
        <v>423</v>
      </c>
      <c r="G25" s="833"/>
      <c r="H25" s="859"/>
      <c r="I25" s="505"/>
      <c r="J25" s="581"/>
      <c r="L25" s="275"/>
      <c r="M25" s="273">
        <v>15</v>
      </c>
      <c r="N25" s="668"/>
      <c r="O25" s="30"/>
      <c r="P25" s="27"/>
      <c r="Q25" s="274">
        <v>15</v>
      </c>
      <c r="R25" s="668"/>
      <c r="S25" s="30"/>
      <c r="T25" s="272"/>
    </row>
    <row r="26" spans="2:20" ht="16.5" customHeight="1">
      <c r="B26" s="28"/>
      <c r="C26" s="245"/>
      <c r="D26" s="246"/>
      <c r="E26" s="211"/>
      <c r="F26" s="212"/>
      <c r="G26" s="212"/>
      <c r="H26" s="212"/>
      <c r="I26" s="505"/>
      <c r="J26" s="581"/>
      <c r="L26" s="275"/>
      <c r="M26" s="273">
        <v>16</v>
      </c>
      <c r="N26" s="668"/>
      <c r="O26" s="30"/>
      <c r="P26" s="27"/>
      <c r="Q26" s="274">
        <v>16</v>
      </c>
      <c r="R26" s="668"/>
      <c r="S26" s="30"/>
      <c r="T26" s="272"/>
    </row>
    <row r="27" spans="2:20">
      <c r="B27" s="514"/>
      <c r="C27" s="587" t="s">
        <v>146</v>
      </c>
      <c r="D27" s="588"/>
      <c r="E27" s="589"/>
      <c r="F27" s="590"/>
      <c r="G27" s="590"/>
      <c r="H27" s="590"/>
      <c r="I27" s="632"/>
      <c r="J27" s="538"/>
      <c r="L27" s="275"/>
      <c r="M27" s="273">
        <v>17</v>
      </c>
      <c r="N27" s="668"/>
      <c r="O27" s="30"/>
      <c r="P27" s="27"/>
      <c r="Q27" s="274">
        <v>17</v>
      </c>
      <c r="R27" s="668"/>
      <c r="S27" s="30"/>
      <c r="T27" s="272"/>
    </row>
    <row r="28" spans="2:20" ht="15" customHeight="1">
      <c r="B28" s="380"/>
      <c r="C28" s="831" t="s">
        <v>28</v>
      </c>
      <c r="D28" s="832"/>
      <c r="E28" s="29" t="s">
        <v>8</v>
      </c>
      <c r="F28" s="833" t="s">
        <v>238</v>
      </c>
      <c r="G28" s="833"/>
      <c r="H28" s="834"/>
      <c r="I28" s="633">
        <f ca="1">_xlfn.IFNA(IF(COUNTIF(INDIRECT(HELPER!$F8),$F28)=0,1,0),0)</f>
        <v>0</v>
      </c>
      <c r="J28" s="583"/>
      <c r="L28" s="275"/>
      <c r="M28" s="273">
        <v>18</v>
      </c>
      <c r="N28" s="668"/>
      <c r="O28" s="30"/>
      <c r="P28" s="27"/>
      <c r="Q28" s="274">
        <v>18</v>
      </c>
      <c r="R28" s="668"/>
      <c r="S28" s="30"/>
      <c r="T28" s="272"/>
    </row>
    <row r="29" spans="2:20" ht="16.5" customHeight="1">
      <c r="B29" s="380"/>
      <c r="C29" s="831" t="s">
        <v>30</v>
      </c>
      <c r="D29" s="832"/>
      <c r="E29" s="243" t="s">
        <v>8</v>
      </c>
      <c r="F29" s="835" t="s">
        <v>239</v>
      </c>
      <c r="G29" s="835"/>
      <c r="H29" s="836"/>
      <c r="I29" s="633">
        <f ca="1">_xlfn.IFNA(IF(COUNTIF(INDIRECT(HELPER!$F9),$F29)=0,1,0),0)</f>
        <v>0</v>
      </c>
      <c r="J29" s="583"/>
      <c r="L29" s="275"/>
      <c r="M29" s="273">
        <v>19</v>
      </c>
      <c r="N29" s="668"/>
      <c r="O29" s="30"/>
      <c r="P29" s="27"/>
      <c r="Q29" s="274">
        <v>19</v>
      </c>
      <c r="R29" s="668"/>
      <c r="S29" s="30"/>
      <c r="T29" s="272"/>
    </row>
    <row r="30" spans="2:20">
      <c r="B30" s="380"/>
      <c r="C30" s="841" t="s">
        <v>32</v>
      </c>
      <c r="D30" s="842"/>
      <c r="E30" s="829" t="s">
        <v>8</v>
      </c>
      <c r="F30" s="837" t="s">
        <v>243</v>
      </c>
      <c r="G30" s="837"/>
      <c r="H30" s="838"/>
      <c r="I30" s="633">
        <f ca="1">_xlfn.IFNA(IF(I29=1,1,IF(COUNTIF(INDIRECT(HELPER!$F10),$F30)=0,1,0)),0)</f>
        <v>0</v>
      </c>
      <c r="J30" s="583"/>
      <c r="L30" s="275"/>
      <c r="M30" s="273">
        <v>20</v>
      </c>
      <c r="N30" s="668"/>
      <c r="O30" s="30"/>
      <c r="P30" s="27"/>
      <c r="Q30" s="274">
        <v>20</v>
      </c>
      <c r="R30" s="668"/>
      <c r="S30" s="30"/>
      <c r="T30" s="272"/>
    </row>
    <row r="31" spans="2:20" ht="16.5" customHeight="1">
      <c r="B31" s="380"/>
      <c r="C31" s="843"/>
      <c r="D31" s="844"/>
      <c r="E31" s="830"/>
      <c r="F31" s="839"/>
      <c r="G31" s="839"/>
      <c r="H31" s="840"/>
      <c r="I31" s="634"/>
      <c r="J31" s="584"/>
      <c r="L31" s="275"/>
      <c r="M31" s="273">
        <v>21</v>
      </c>
      <c r="N31" s="668"/>
      <c r="O31" s="30"/>
      <c r="P31" s="27"/>
      <c r="Q31" s="274">
        <v>21</v>
      </c>
      <c r="R31" s="668"/>
      <c r="S31" s="30"/>
      <c r="T31" s="272"/>
    </row>
    <row r="32" spans="2:20" ht="15" customHeight="1">
      <c r="B32" s="375"/>
      <c r="C32" s="591"/>
      <c r="D32" s="592"/>
      <c r="E32" s="592"/>
      <c r="F32" s="515" t="str">
        <f ca="1">IF(COUNTIF(F29,"OTHER*"),"Input the subject in the appropriate field.",IF(SUM(I28:I30)&gt;=1,"Select the correct "&amp;_xlfn.XLOOKUP(1,I28:I30,C28:C30)&amp;".",""))</f>
        <v/>
      </c>
      <c r="G32" s="515"/>
      <c r="H32" s="515"/>
      <c r="I32" s="632"/>
      <c r="J32" s="538"/>
      <c r="L32" s="275"/>
      <c r="M32" s="273">
        <v>22</v>
      </c>
      <c r="N32" s="668"/>
      <c r="O32" s="30"/>
      <c r="P32" s="27"/>
      <c r="Q32" s="274">
        <v>22</v>
      </c>
      <c r="R32" s="668"/>
      <c r="S32" s="30"/>
      <c r="T32" s="272"/>
    </row>
    <row r="33" spans="2:20" ht="14" customHeight="1">
      <c r="B33" s="375"/>
      <c r="C33" s="637" t="s">
        <v>36</v>
      </c>
      <c r="D33" s="638"/>
      <c r="E33" s="639" t="s">
        <v>8</v>
      </c>
      <c r="F33" s="640" cm="1">
        <f t="array" ref="F33">IF(F29&lt;&gt;C37,_xlfn.IFNA(IF($F$24=11,_xlfn.XLOOKUP(1,(HELPER!$I$7:$I$161=1)*(HELPER!$L$7:$L$161='INPUT DATA'!$F$30),HELPER!P$7:P$161),
IF($F$24=12,(_xlfn.XLOOKUP(1,(HELPER!$I$7:$I$161=1)*(HELPER!$L$7:$L$161='INPUT DATA'!$F$30),HELPER!T$7:T$161)),"")),""),"")</f>
        <v>3</v>
      </c>
      <c r="G33" s="492" t="s">
        <v>37</v>
      </c>
      <c r="H33" s="662" t="s">
        <v>162</v>
      </c>
      <c r="I33" s="632">
        <f>_xlfn.IFNA(IF(F33="","",IF(F33=3,3,_xlfn.XLOOKUP(H33,HELPER!$G$31:$G$33,HELPER!$F$31:$F$33))),"")</f>
        <v>3</v>
      </c>
      <c r="J33" s="538"/>
      <c r="L33" s="275"/>
      <c r="M33" s="273">
        <v>23</v>
      </c>
      <c r="N33" s="668"/>
      <c r="O33" s="30"/>
      <c r="P33" s="27"/>
      <c r="Q33" s="274">
        <v>23</v>
      </c>
      <c r="R33" s="668"/>
      <c r="S33" s="30"/>
      <c r="T33" s="272"/>
    </row>
    <row r="34" spans="2:20" ht="14" customHeight="1">
      <c r="B34" s="375"/>
      <c r="C34" s="637" t="s">
        <v>38</v>
      </c>
      <c r="D34" s="638"/>
      <c r="E34" s="639" t="s">
        <v>8</v>
      </c>
      <c r="F34" s="640" cm="1">
        <f t="array" ref="F34">IF(F29&lt;&gt;C37,_xlfn.IFNA(IF($F$24=11,_xlfn.XLOOKUP(1,(HELPER!$I$7:$I$161=1)*(HELPER!$L$7:$L$161='INPUT DATA'!$F$30),HELPER!Q$7:Q$161),
IF($F$24=12,(_xlfn.XLOOKUP(1,(HELPER!$I$7:$I$161=1)*(HELPER!$L$7:$L$161='INPUT DATA'!$F$30),HELPER!U$7:U$161)),"")),""),"")</f>
        <v>2</v>
      </c>
      <c r="G34" s="493" t="s">
        <v>37</v>
      </c>
      <c r="H34" s="513" t="str">
        <f>IFERROR(IF(F33=2,_xlfn.XLOOKUP(I33+1,HELPER!$F$31:$F$34,HELPER!$G$31:$G$34),""),"")</f>
        <v/>
      </c>
      <c r="I34" s="632">
        <f>IF(HELPER!G21=1,(F33&amp;I33)*1,"")</f>
        <v>33</v>
      </c>
      <c r="J34" s="538"/>
      <c r="L34" s="275"/>
      <c r="M34" s="273">
        <v>24</v>
      </c>
      <c r="N34" s="668"/>
      <c r="O34" s="30"/>
      <c r="P34" s="27"/>
      <c r="Q34" s="274">
        <v>24</v>
      </c>
      <c r="R34" s="668"/>
      <c r="S34" s="30"/>
      <c r="T34" s="272"/>
    </row>
    <row r="35" spans="2:20" ht="16.5" customHeight="1">
      <c r="B35" s="375"/>
      <c r="C35" s="811" t="s">
        <v>40</v>
      </c>
      <c r="D35" s="812"/>
      <c r="E35" s="639" t="s">
        <v>8</v>
      </c>
      <c r="F35" s="640" cm="1">
        <f t="array" ref="F35">IF(F29&lt;&gt;C37,_xlfn.IFNA(IF($F$24=11,_xlfn.XLOOKUP(1,(HELPER!$I$7:$I$161=1)*(HELPER!$L$7:$L$161='INPUT DATA'!$F$30),HELPER!R$7:R$161),
IF($F$24=12,(_xlfn.XLOOKUP(1,(HELPER!$I$7:$I$161=1)*(HELPER!$L$7:$L$161='INPUT DATA'!$F$30),HELPER!V$7:V$161)),"")),""),"")</f>
        <v>6</v>
      </c>
      <c r="G35" s="826" t="str">
        <f>_xlfn.IFNA(_xlfn.XLOOKUP('INPUT DATA'!F33,HELPER!$F$24:$F$26,HELPER!$G$24:$G$26),"")</f>
        <v>Note: Accomplish all Term sheets.</v>
      </c>
      <c r="H35" s="826"/>
      <c r="I35" s="632"/>
      <c r="J35" s="538"/>
      <c r="L35" s="275"/>
      <c r="M35" s="273">
        <v>25</v>
      </c>
      <c r="N35" s="668"/>
      <c r="O35" s="30"/>
      <c r="P35" s="27"/>
      <c r="Q35" s="274">
        <v>25</v>
      </c>
      <c r="R35" s="668"/>
      <c r="S35" s="30"/>
      <c r="T35" s="272"/>
    </row>
    <row r="36" spans="2:20">
      <c r="B36" s="375"/>
      <c r="C36" s="516"/>
      <c r="D36" s="517"/>
      <c r="E36" s="518"/>
      <c r="F36" s="516"/>
      <c r="G36" s="827"/>
      <c r="H36" s="827"/>
      <c r="I36" s="632"/>
      <c r="J36" s="538"/>
      <c r="L36" s="275"/>
      <c r="M36" s="273">
        <v>26</v>
      </c>
      <c r="N36" s="668"/>
      <c r="O36" s="30"/>
      <c r="P36" s="27"/>
      <c r="Q36" s="274">
        <v>26</v>
      </c>
      <c r="R36" s="668"/>
      <c r="S36" s="30"/>
      <c r="T36" s="272"/>
    </row>
    <row r="37" spans="2:20">
      <c r="B37" s="514"/>
      <c r="C37" s="587" t="s">
        <v>147</v>
      </c>
      <c r="D37" s="588"/>
      <c r="E37" s="589"/>
      <c r="F37" s="593"/>
      <c r="G37" s="593"/>
      <c r="H37" s="593"/>
      <c r="I37" s="632"/>
      <c r="J37" s="538"/>
      <c r="L37" s="275"/>
      <c r="M37" s="273">
        <v>27</v>
      </c>
      <c r="N37" s="668"/>
      <c r="O37" s="30"/>
      <c r="P37" s="27"/>
      <c r="Q37" s="274">
        <v>27</v>
      </c>
      <c r="R37" s="668"/>
      <c r="S37" s="30"/>
      <c r="T37" s="272"/>
    </row>
    <row r="38" spans="2:20" ht="14" customHeight="1">
      <c r="B38" s="380"/>
      <c r="C38" s="594" t="str">
        <f>IF(F29=C37, "Input details of the subject below:", "")</f>
        <v/>
      </c>
      <c r="D38" s="595"/>
      <c r="E38" s="595"/>
      <c r="F38" s="595"/>
      <c r="G38" s="595"/>
      <c r="H38" s="595"/>
      <c r="I38" s="635"/>
      <c r="J38" s="585"/>
      <c r="L38" s="275"/>
      <c r="M38" s="273">
        <v>28</v>
      </c>
      <c r="N38" s="668"/>
      <c r="O38" s="30"/>
      <c r="P38" s="27"/>
      <c r="Q38" s="274">
        <v>28</v>
      </c>
      <c r="R38" s="668"/>
      <c r="S38" s="30"/>
      <c r="T38" s="272"/>
    </row>
    <row r="39" spans="2:20" ht="16.5" customHeight="1">
      <c r="B39" s="375"/>
      <c r="C39" s="813" t="s">
        <v>148</v>
      </c>
      <c r="D39" s="814"/>
      <c r="E39" s="817" t="s">
        <v>8</v>
      </c>
      <c r="F39" s="819"/>
      <c r="G39" s="819"/>
      <c r="H39" s="820"/>
      <c r="I39" s="632"/>
      <c r="J39" s="538"/>
      <c r="L39" s="275"/>
      <c r="M39" s="273">
        <v>29</v>
      </c>
      <c r="N39" s="668"/>
      <c r="O39" s="30"/>
      <c r="P39" s="27"/>
      <c r="Q39" s="274">
        <v>29</v>
      </c>
      <c r="R39" s="668"/>
      <c r="S39" s="30"/>
      <c r="T39" s="272"/>
    </row>
    <row r="40" spans="2:20" ht="16.5" customHeight="1">
      <c r="B40" s="375"/>
      <c r="C40" s="815"/>
      <c r="D40" s="816"/>
      <c r="E40" s="818"/>
      <c r="F40" s="821"/>
      <c r="G40" s="821"/>
      <c r="H40" s="822"/>
      <c r="I40" s="632"/>
      <c r="J40" s="538"/>
      <c r="L40" s="275"/>
      <c r="M40" s="273">
        <v>30</v>
      </c>
      <c r="N40" s="668"/>
      <c r="O40" s="30"/>
      <c r="P40" s="27"/>
      <c r="Q40" s="274">
        <v>30</v>
      </c>
      <c r="R40" s="668"/>
      <c r="S40" s="30"/>
      <c r="T40" s="272"/>
    </row>
    <row r="41" spans="2:20">
      <c r="B41" s="375"/>
      <c r="C41" s="595"/>
      <c r="D41" s="595"/>
      <c r="E41" s="595"/>
      <c r="F41" s="595"/>
      <c r="G41" s="595"/>
      <c r="H41" s="595"/>
      <c r="I41" s="632"/>
      <c r="J41" s="538"/>
      <c r="L41" s="275"/>
      <c r="M41" s="273">
        <v>31</v>
      </c>
      <c r="N41" s="668"/>
      <c r="O41" s="30"/>
      <c r="P41" s="27"/>
      <c r="Q41" s="274">
        <v>31</v>
      </c>
      <c r="R41" s="668"/>
      <c r="S41" s="30"/>
      <c r="T41" s="272"/>
    </row>
    <row r="42" spans="2:20">
      <c r="B42" s="375"/>
      <c r="C42" s="596" t="s">
        <v>149</v>
      </c>
      <c r="D42" s="597"/>
      <c r="E42" s="598"/>
      <c r="F42" s="595"/>
      <c r="G42" s="595"/>
      <c r="H42" s="595"/>
      <c r="I42" s="632"/>
      <c r="J42" s="538"/>
      <c r="L42" s="275"/>
      <c r="M42" s="273">
        <v>32</v>
      </c>
      <c r="N42" s="668"/>
      <c r="O42" s="30"/>
      <c r="P42" s="27"/>
      <c r="Q42" s="274">
        <v>32</v>
      </c>
      <c r="R42" s="668"/>
      <c r="S42" s="30"/>
      <c r="T42" s="272"/>
    </row>
    <row r="43" spans="2:20">
      <c r="B43" s="375"/>
      <c r="C43" s="501" t="s">
        <v>150</v>
      </c>
      <c r="D43" s="494"/>
      <c r="E43" s="491" t="s">
        <v>8</v>
      </c>
      <c r="F43" s="663"/>
      <c r="G43" s="823">
        <f>SUM(F43:F45)</f>
        <v>0</v>
      </c>
      <c r="H43" s="595"/>
      <c r="I43" s="632"/>
      <c r="J43" s="538"/>
      <c r="L43" s="275"/>
      <c r="M43" s="273">
        <v>33</v>
      </c>
      <c r="N43" s="668"/>
      <c r="O43" s="30"/>
      <c r="P43" s="27"/>
      <c r="Q43" s="274">
        <v>33</v>
      </c>
      <c r="R43" s="668"/>
      <c r="S43" s="30"/>
      <c r="T43" s="272"/>
    </row>
    <row r="44" spans="2:20">
      <c r="B44" s="375"/>
      <c r="C44" s="501" t="s">
        <v>151</v>
      </c>
      <c r="D44" s="494"/>
      <c r="E44" s="491" t="s">
        <v>8</v>
      </c>
      <c r="F44" s="663"/>
      <c r="G44" s="824"/>
      <c r="H44" s="595"/>
      <c r="I44" s="632"/>
      <c r="J44" s="538"/>
      <c r="L44" s="275"/>
      <c r="M44" s="273">
        <v>34</v>
      </c>
      <c r="N44" s="668"/>
      <c r="O44" s="30"/>
      <c r="P44" s="27"/>
      <c r="Q44" s="274">
        <v>34</v>
      </c>
      <c r="R44" s="668"/>
      <c r="S44" s="30"/>
      <c r="T44" s="272"/>
    </row>
    <row r="45" spans="2:20">
      <c r="B45" s="375"/>
      <c r="C45" s="501" t="s">
        <v>152</v>
      </c>
      <c r="D45" s="494"/>
      <c r="E45" s="491" t="s">
        <v>8</v>
      </c>
      <c r="F45" s="663"/>
      <c r="G45" s="825"/>
      <c r="H45" s="595"/>
      <c r="I45" s="632"/>
      <c r="J45" s="538"/>
      <c r="L45" s="275"/>
      <c r="M45" s="273">
        <v>35</v>
      </c>
      <c r="N45" s="668"/>
      <c r="O45" s="30"/>
      <c r="P45" s="27"/>
      <c r="Q45" s="274">
        <v>35</v>
      </c>
      <c r="R45" s="668"/>
      <c r="S45" s="30"/>
      <c r="T45" s="272"/>
    </row>
    <row r="46" spans="2:20">
      <c r="B46" s="375"/>
      <c r="C46" s="502"/>
      <c r="D46" s="495" t="s">
        <v>153</v>
      </c>
      <c r="E46" s="496" t="s">
        <v>8</v>
      </c>
      <c r="F46" s="664"/>
      <c r="G46" s="823">
        <f>SUM(F46:F48)</f>
        <v>0</v>
      </c>
      <c r="H46" s="595"/>
      <c r="I46" s="632"/>
      <c r="J46" s="538"/>
      <c r="L46" s="275"/>
      <c r="M46" s="273">
        <v>36</v>
      </c>
      <c r="N46" s="668"/>
      <c r="O46" s="30"/>
      <c r="P46" s="27"/>
      <c r="Q46" s="274">
        <v>36</v>
      </c>
      <c r="R46" s="668"/>
      <c r="S46" s="30"/>
      <c r="T46" s="272"/>
    </row>
    <row r="47" spans="2:20">
      <c r="B47" s="375"/>
      <c r="C47" s="503"/>
      <c r="D47" s="497" t="s">
        <v>154</v>
      </c>
      <c r="E47" s="498" t="s">
        <v>8</v>
      </c>
      <c r="F47" s="665"/>
      <c r="G47" s="824"/>
      <c r="H47" s="595"/>
      <c r="I47" s="632"/>
      <c r="J47" s="538"/>
      <c r="L47" s="275"/>
      <c r="M47" s="273">
        <v>37</v>
      </c>
      <c r="N47" s="668"/>
      <c r="O47" s="30"/>
      <c r="P47" s="27"/>
      <c r="Q47" s="274">
        <v>37</v>
      </c>
      <c r="R47" s="668"/>
      <c r="S47" s="30"/>
      <c r="T47" s="272"/>
    </row>
    <row r="48" spans="2:20">
      <c r="B48" s="375"/>
      <c r="C48" s="504"/>
      <c r="D48" s="499" t="s">
        <v>155</v>
      </c>
      <c r="E48" s="500" t="s">
        <v>8</v>
      </c>
      <c r="F48" s="666"/>
      <c r="G48" s="825"/>
      <c r="H48" s="595"/>
      <c r="I48" s="632"/>
      <c r="J48" s="538"/>
      <c r="L48" s="275"/>
      <c r="M48" s="273">
        <v>38</v>
      </c>
      <c r="N48" s="668"/>
      <c r="O48" s="30"/>
      <c r="P48" s="27"/>
      <c r="Q48" s="274">
        <v>38</v>
      </c>
      <c r="R48" s="668"/>
      <c r="S48" s="30"/>
      <c r="T48" s="272"/>
    </row>
    <row r="49" spans="2:20" ht="14.5" customHeight="1">
      <c r="B49" s="375"/>
      <c r="C49" s="261"/>
      <c r="D49" s="597"/>
      <c r="E49" s="598"/>
      <c r="F49" s="595"/>
      <c r="G49" s="595"/>
      <c r="H49" s="599"/>
      <c r="I49" s="632"/>
      <c r="J49" s="538"/>
      <c r="L49" s="275"/>
      <c r="M49" s="273">
        <v>39</v>
      </c>
      <c r="N49" s="668"/>
      <c r="O49" s="30"/>
      <c r="P49" s="27"/>
      <c r="Q49" s="274">
        <v>39</v>
      </c>
      <c r="R49" s="668"/>
      <c r="S49" s="30"/>
      <c r="T49" s="272"/>
    </row>
    <row r="50" spans="2:20">
      <c r="B50" s="375"/>
      <c r="C50" s="596" t="s">
        <v>156</v>
      </c>
      <c r="D50" s="600"/>
      <c r="E50" s="601"/>
      <c r="F50" s="595"/>
      <c r="G50" s="599"/>
      <c r="H50" s="599"/>
      <c r="I50" s="632"/>
      <c r="J50" s="538"/>
      <c r="L50" s="275"/>
      <c r="M50" s="273">
        <v>40</v>
      </c>
      <c r="N50" s="668"/>
      <c r="O50" s="30"/>
      <c r="P50" s="27"/>
      <c r="Q50" s="274">
        <v>40</v>
      </c>
      <c r="R50" s="668"/>
      <c r="S50" s="30"/>
      <c r="T50" s="272"/>
    </row>
    <row r="51" spans="2:20" ht="14" customHeight="1">
      <c r="B51" s="375"/>
      <c r="C51" s="489" t="s">
        <v>36</v>
      </c>
      <c r="D51" s="490"/>
      <c r="E51" s="491" t="s">
        <v>8</v>
      </c>
      <c r="F51" s="667"/>
      <c r="G51" s="492" t="s">
        <v>37</v>
      </c>
      <c r="H51" s="662"/>
      <c r="I51" s="632" t="str">
        <f>_xlfn.IFNA(IF(F51="","",IF(F51=3,3,_xlfn.XLOOKUP(H51,HELPER!$G$31:$G$33,HELPER!$F$31:$F$33))),"")</f>
        <v/>
      </c>
      <c r="J51" s="538"/>
      <c r="L51" s="275"/>
      <c r="M51" s="273">
        <v>41</v>
      </c>
      <c r="N51" s="668"/>
      <c r="O51" s="30"/>
      <c r="P51" s="27"/>
      <c r="Q51" s="274">
        <v>41</v>
      </c>
      <c r="R51" s="668"/>
      <c r="S51" s="30"/>
      <c r="T51" s="272"/>
    </row>
    <row r="52" spans="2:20">
      <c r="B52" s="375"/>
      <c r="C52" s="489" t="s">
        <v>38</v>
      </c>
      <c r="D52" s="490"/>
      <c r="E52" s="491" t="s">
        <v>8</v>
      </c>
      <c r="F52" s="667"/>
      <c r="G52" s="493" t="s">
        <v>37</v>
      </c>
      <c r="H52" s="513" t="str">
        <f>IFERROR(IF(F51=2,_xlfn.XLOOKUP(I51+1,HELPER!$F$31:$F$34,HELPER!$G$31:$G$34),""),"")</f>
        <v/>
      </c>
      <c r="I52" s="632" t="str">
        <f>IF(HELPER!G21=2,(F51&amp;I51)*1,"")</f>
        <v/>
      </c>
      <c r="J52" s="538"/>
      <c r="L52" s="275"/>
      <c r="M52" s="273">
        <v>42</v>
      </c>
      <c r="N52" s="668"/>
      <c r="O52" s="30"/>
      <c r="P52" s="27"/>
      <c r="Q52" s="274">
        <v>42</v>
      </c>
      <c r="R52" s="668"/>
      <c r="S52" s="30"/>
      <c r="T52" s="272"/>
    </row>
    <row r="53" spans="2:20" ht="14" customHeight="1">
      <c r="B53" s="375"/>
      <c r="C53" s="489" t="s">
        <v>40</v>
      </c>
      <c r="D53" s="490"/>
      <c r="E53" s="491" t="s">
        <v>8</v>
      </c>
      <c r="F53" s="488">
        <f>F52*F51</f>
        <v>0</v>
      </c>
      <c r="G53" s="826" t="str">
        <f>_xlfn.IFNA(_xlfn.XLOOKUP('INPUT DATA'!F51,HELPER!$F$24:$F$26,HELPER!$G$24:$G$26),"")</f>
        <v/>
      </c>
      <c r="H53" s="826"/>
      <c r="I53" s="632"/>
      <c r="J53" s="538"/>
      <c r="L53" s="275"/>
      <c r="M53" s="273">
        <v>43</v>
      </c>
      <c r="N53" s="668"/>
      <c r="O53" s="30"/>
      <c r="P53" s="27"/>
      <c r="Q53" s="274">
        <v>43</v>
      </c>
      <c r="R53" s="668"/>
      <c r="S53" s="30"/>
      <c r="T53" s="272"/>
    </row>
    <row r="54" spans="2:20" ht="14.5" thickBot="1">
      <c r="B54" s="376"/>
      <c r="C54" s="377"/>
      <c r="D54" s="378"/>
      <c r="E54" s="379"/>
      <c r="F54" s="378"/>
      <c r="G54" s="828"/>
      <c r="H54" s="828"/>
      <c r="I54" s="636"/>
      <c r="J54" s="586"/>
      <c r="L54" s="275"/>
      <c r="M54" s="273">
        <v>44</v>
      </c>
      <c r="N54" s="668"/>
      <c r="O54" s="30"/>
      <c r="P54" s="27"/>
      <c r="Q54" s="274">
        <v>44</v>
      </c>
      <c r="R54" s="668"/>
      <c r="S54" s="30"/>
      <c r="T54" s="272"/>
    </row>
    <row r="55" spans="2:20">
      <c r="B55" s="2"/>
      <c r="D55" s="2"/>
      <c r="E55" s="2"/>
      <c r="F55" s="2"/>
      <c r="G55" s="2"/>
      <c r="H55" s="2"/>
      <c r="L55" s="275"/>
      <c r="M55" s="273">
        <v>45</v>
      </c>
      <c r="N55" s="668"/>
      <c r="O55" s="30"/>
      <c r="P55" s="27"/>
      <c r="Q55" s="274">
        <v>45</v>
      </c>
      <c r="R55" s="668"/>
      <c r="S55" s="30"/>
      <c r="T55" s="272"/>
    </row>
    <row r="56" spans="2:20" ht="14" customHeight="1">
      <c r="B56" s="2"/>
      <c r="D56" s="756" t="s">
        <v>157</v>
      </c>
      <c r="E56" s="756"/>
      <c r="F56" s="756"/>
      <c r="G56" s="756"/>
      <c r="H56" s="756"/>
      <c r="L56" s="275"/>
      <c r="M56" s="273">
        <v>46</v>
      </c>
      <c r="N56" s="668"/>
      <c r="O56" s="30"/>
      <c r="P56" s="27"/>
      <c r="Q56" s="274">
        <v>46</v>
      </c>
      <c r="R56" s="668"/>
      <c r="S56" s="30"/>
      <c r="T56" s="272"/>
    </row>
    <row r="57" spans="2:20" ht="14" customHeight="1">
      <c r="B57" s="2"/>
      <c r="D57" s="756"/>
      <c r="E57" s="756"/>
      <c r="F57" s="756"/>
      <c r="G57" s="756"/>
      <c r="H57" s="756"/>
      <c r="L57" s="275"/>
      <c r="M57" s="273">
        <v>47</v>
      </c>
      <c r="N57" s="668"/>
      <c r="O57" s="30"/>
      <c r="P57" s="27"/>
      <c r="Q57" s="274">
        <v>47</v>
      </c>
      <c r="R57" s="668"/>
      <c r="S57" s="30"/>
      <c r="T57" s="272"/>
    </row>
    <row r="58" spans="2:20" ht="14" customHeight="1">
      <c r="B58" s="2"/>
      <c r="D58" s="756"/>
      <c r="E58" s="756"/>
      <c r="F58" s="756"/>
      <c r="G58" s="756"/>
      <c r="H58" s="756"/>
      <c r="L58" s="275"/>
      <c r="M58" s="273">
        <v>48</v>
      </c>
      <c r="N58" s="668"/>
      <c r="O58" s="30"/>
      <c r="P58" s="27"/>
      <c r="Q58" s="274">
        <v>48</v>
      </c>
      <c r="R58" s="668"/>
      <c r="S58" s="30"/>
      <c r="T58" s="272"/>
    </row>
    <row r="59" spans="2:20" ht="14" customHeight="1">
      <c r="B59" s="2"/>
      <c r="D59" s="2"/>
      <c r="E59" s="2"/>
      <c r="F59" s="2"/>
      <c r="G59" s="2"/>
      <c r="H59" s="2"/>
      <c r="L59" s="275"/>
      <c r="M59" s="273">
        <v>49</v>
      </c>
      <c r="N59" s="668"/>
      <c r="O59" s="30"/>
      <c r="P59" s="27"/>
      <c r="Q59" s="274">
        <v>49</v>
      </c>
      <c r="R59" s="668"/>
      <c r="S59" s="30"/>
      <c r="T59" s="272"/>
    </row>
    <row r="60" spans="2:20" ht="14" customHeight="1">
      <c r="B60" s="2"/>
      <c r="D60" s="2"/>
      <c r="E60" s="2"/>
      <c r="F60" s="2"/>
      <c r="G60" s="2"/>
      <c r="H60" s="2"/>
      <c r="L60" s="275"/>
      <c r="M60" s="273">
        <v>50</v>
      </c>
      <c r="N60" s="668"/>
      <c r="O60" s="30"/>
      <c r="P60" s="27"/>
      <c r="Q60" s="274">
        <v>50</v>
      </c>
      <c r="R60" s="668"/>
      <c r="S60" s="30"/>
      <c r="T60" s="272"/>
    </row>
    <row r="61" spans="2:20">
      <c r="B61" s="2"/>
      <c r="D61" s="2"/>
      <c r="E61" s="2"/>
      <c r="F61" s="2"/>
      <c r="G61" s="2"/>
      <c r="H61" s="2"/>
      <c r="L61" s="275"/>
      <c r="M61" s="506"/>
      <c r="N61" s="507"/>
      <c r="O61" s="508"/>
      <c r="P61" s="27"/>
      <c r="Q61" s="506"/>
      <c r="R61" s="507"/>
      <c r="S61" s="508"/>
      <c r="T61" s="272"/>
    </row>
    <row r="62" spans="2:20">
      <c r="B62" s="2"/>
      <c r="D62" s="2"/>
      <c r="E62" s="2"/>
      <c r="F62" s="2"/>
      <c r="G62" s="2"/>
      <c r="H62" s="2"/>
      <c r="L62" s="275"/>
      <c r="M62" s="506"/>
      <c r="N62" s="509" t="s">
        <v>158</v>
      </c>
      <c r="O62" s="508"/>
      <c r="P62" s="27"/>
      <c r="Q62" s="506"/>
      <c r="R62" s="507"/>
      <c r="S62" s="508"/>
      <c r="T62" s="272"/>
    </row>
    <row r="63" spans="2:20" ht="14.5" thickBot="1">
      <c r="B63" s="2"/>
      <c r="D63" s="2"/>
      <c r="E63" s="2"/>
      <c r="F63" s="2"/>
      <c r="G63" s="2"/>
      <c r="H63" s="2"/>
      <c r="L63" s="277"/>
      <c r="M63" s="32"/>
      <c r="N63" s="32"/>
      <c r="O63" s="32"/>
      <c r="P63" s="32"/>
      <c r="Q63" s="32"/>
      <c r="R63" s="32"/>
      <c r="S63" s="32"/>
      <c r="T63" s="276"/>
    </row>
    <row r="64" spans="2:20" ht="14" customHeight="1">
      <c r="B64" s="2"/>
      <c r="D64" s="2"/>
      <c r="E64" s="2"/>
      <c r="F64" s="2"/>
      <c r="G64" s="2"/>
      <c r="H64" s="2"/>
      <c r="L64" s="2"/>
      <c r="T64" s="278" t="s">
        <v>159</v>
      </c>
    </row>
    <row r="65" spans="2:19">
      <c r="B65" s="2"/>
      <c r="D65" s="2"/>
      <c r="E65" s="2"/>
      <c r="F65" s="2"/>
      <c r="G65" s="2"/>
      <c r="H65" s="2"/>
      <c r="L65" s="2"/>
    </row>
    <row r="66" spans="2:19" hidden="1">
      <c r="B66" s="2"/>
      <c r="D66" s="2"/>
      <c r="E66" s="2"/>
      <c r="F66" s="2"/>
      <c r="G66" s="2"/>
      <c r="H66" s="2"/>
      <c r="L66" s="2"/>
    </row>
    <row r="67" spans="2:19" ht="14" hidden="1" customHeight="1">
      <c r="B67" s="2"/>
      <c r="D67" s="2"/>
      <c r="E67" s="2"/>
      <c r="F67" s="2"/>
      <c r="G67" s="2"/>
      <c r="H67" s="2"/>
      <c r="L67" s="2"/>
      <c r="O67" s="1"/>
      <c r="P67" s="1"/>
      <c r="Q67" s="1"/>
      <c r="R67" s="1"/>
      <c r="S67" s="1"/>
    </row>
    <row r="68" spans="2:19" hidden="1">
      <c r="B68" s="2"/>
      <c r="D68" s="2"/>
      <c r="E68" s="2"/>
      <c r="F68" s="2"/>
      <c r="G68" s="2"/>
      <c r="H68" s="2"/>
      <c r="L68" s="2"/>
      <c r="N68" s="1"/>
      <c r="O68" s="1"/>
      <c r="P68" s="1"/>
      <c r="Q68" s="1"/>
      <c r="R68" s="1"/>
      <c r="S68" s="1"/>
    </row>
    <row r="69" spans="2:19" hidden="1">
      <c r="B69" s="2"/>
      <c r="D69" s="2"/>
      <c r="E69" s="2"/>
      <c r="F69" s="2"/>
      <c r="G69" s="2"/>
      <c r="H69" s="2"/>
      <c r="L69" s="2"/>
      <c r="N69" s="1"/>
      <c r="O69" s="1"/>
      <c r="P69" s="1"/>
      <c r="Q69" s="1"/>
      <c r="R69" s="1"/>
      <c r="S69" s="1"/>
    </row>
    <row r="70" spans="2:19" hidden="1">
      <c r="B70" s="2"/>
      <c r="D70" s="2"/>
      <c r="E70" s="2"/>
      <c r="F70" s="2"/>
      <c r="G70" s="2"/>
      <c r="H70" s="2"/>
      <c r="L70" s="2"/>
    </row>
    <row r="71" spans="2:19" hidden="1">
      <c r="B71" s="2"/>
      <c r="D71" s="2"/>
      <c r="E71" s="2"/>
      <c r="F71" s="2"/>
      <c r="G71" s="2"/>
      <c r="H71" s="2"/>
      <c r="L71" s="2"/>
    </row>
  </sheetData>
  <sheetProtection algorithmName="SHA-512" hashValue="1nvTXd2l+nZpxM+k5oHtRPfWU8VHF7VgXkmvJTw9nMV7Q26C9Wgr5c+GsRYolhGfFnesIKw2tsD2msNxsLFWZQ==" saltValue="50eKDABwm4amrHDBey52Dw==" spinCount="100000" sheet="1" objects="1" scenarios="1" formatCells="0" formatColumns="0" formatRows="0" autoFilter="0"/>
  <dataConsolidate/>
  <mergeCells count="32">
    <mergeCell ref="F25:H25"/>
    <mergeCell ref="C14:D15"/>
    <mergeCell ref="E14:E15"/>
    <mergeCell ref="C16:D16"/>
    <mergeCell ref="F14:H15"/>
    <mergeCell ref="E22:E23"/>
    <mergeCell ref="C22:D23"/>
    <mergeCell ref="B19:I20"/>
    <mergeCell ref="F22:H23"/>
    <mergeCell ref="L7:T8"/>
    <mergeCell ref="B7:I8"/>
    <mergeCell ref="C13:D13"/>
    <mergeCell ref="C10:D10"/>
    <mergeCell ref="C11:D11"/>
    <mergeCell ref="F11:H11"/>
    <mergeCell ref="F10:H10"/>
    <mergeCell ref="E30:E31"/>
    <mergeCell ref="C28:D28"/>
    <mergeCell ref="F28:H28"/>
    <mergeCell ref="F29:H29"/>
    <mergeCell ref="F30:H31"/>
    <mergeCell ref="C30:D31"/>
    <mergeCell ref="C29:D29"/>
    <mergeCell ref="D56:H58"/>
    <mergeCell ref="C35:D35"/>
    <mergeCell ref="C39:D40"/>
    <mergeCell ref="E39:E40"/>
    <mergeCell ref="F39:H40"/>
    <mergeCell ref="G43:G45"/>
    <mergeCell ref="G46:G48"/>
    <mergeCell ref="G35:H36"/>
    <mergeCell ref="G53:H54"/>
  </mergeCells>
  <phoneticPr fontId="3" type="noConversion"/>
  <conditionalFormatting sqref="B37:J54">
    <cfRule type="expression" dxfId="77" priority="1">
      <formula>$F$29&lt;&gt;$C$37</formula>
    </cfRule>
  </conditionalFormatting>
  <conditionalFormatting sqref="C39 E39">
    <cfRule type="expression" dxfId="76" priority="54">
      <formula>$F$30="Other Elective and Special Curricular Program"</formula>
    </cfRule>
  </conditionalFormatting>
  <conditionalFormatting sqref="F30:H31">
    <cfRule type="expression" dxfId="75" priority="32">
      <formula>$I$30=1</formula>
    </cfRule>
  </conditionalFormatting>
  <conditionalFormatting sqref="G35">
    <cfRule type="containsText" dxfId="74" priority="30" operator="containsText" text="ALL">
      <formula>NOT(ISERROR(SEARCH("ALL",G35)))</formula>
    </cfRule>
    <cfRule type="containsText" dxfId="73" priority="31" operator="containsText" text="ONE">
      <formula>NOT(ISERROR(SEARCH("ONE",G35)))</formula>
    </cfRule>
  </conditionalFormatting>
  <conditionalFormatting sqref="G53">
    <cfRule type="containsText" dxfId="72" priority="16" operator="containsText" text="ALL">
      <formula>NOT(ISERROR(SEARCH("ALL",G53)))</formula>
    </cfRule>
    <cfRule type="containsText" dxfId="71" priority="17" operator="containsText" text="ONE">
      <formula>NOT(ISERROR(SEARCH("ONE",G53)))</formula>
    </cfRule>
  </conditionalFormatting>
  <conditionalFormatting sqref="G33:H33">
    <cfRule type="expression" dxfId="70" priority="25">
      <formula>OR($F$33=3,$F$33="")</formula>
    </cfRule>
  </conditionalFormatting>
  <conditionalFormatting sqref="G34:H34">
    <cfRule type="expression" dxfId="69" priority="12">
      <formula>OR($F$33=1,$F$33=3,$F$33="")</formula>
    </cfRule>
  </conditionalFormatting>
  <conditionalFormatting sqref="G51:H51">
    <cfRule type="expression" dxfId="68" priority="15">
      <formula>OR($F$51=3,$F$51="")</formula>
    </cfRule>
  </conditionalFormatting>
  <conditionalFormatting sqref="G52:H52">
    <cfRule type="expression" dxfId="67" priority="2">
      <formula>OR($F$51=1,$F$51=3,$F$51="")</formula>
    </cfRule>
  </conditionalFormatting>
  <conditionalFormatting sqref="R23:R62 N19:N62">
    <cfRule type="duplicateValues" dxfId="66" priority="55"/>
  </conditionalFormatting>
  <dataValidations count="4">
    <dataValidation type="list" allowBlank="1" showDropDown="1" showInputMessage="1" showErrorMessage="1" sqref="F24:G24" xr:uid="{12FB1732-A61C-47BA-AB34-B1F4EAEF3875}">
      <formula1>"11,12"</formula1>
    </dataValidation>
    <dataValidation type="list" allowBlank="1" showInputMessage="1" showErrorMessage="1" sqref="F10:H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H33 H51" xr:uid="{6F17ED45-A929-47CA-98D1-DD9CA6C00641}">
      <formula1>"FIRST TERM, SECOND TERM, THIRD TERM"</formula1>
    </dataValidation>
    <dataValidation type="list" operator="lessThanOrEqual" allowBlank="1" showInputMessage="1" showErrorMessage="1" sqref="F51" xr:uid="{7D9D6EBF-D955-43A7-9B2E-C3B834775A90}">
      <formula1>"1,2,3"</formula1>
    </dataValidation>
  </dataValidations>
  <printOptions horizontalCentered="1"/>
  <pageMargins left="0.23622047244094491" right="0.23622047244094491" top="0.74803149606299213" bottom="0.74803149606299213" header="0.31496062992125984" footer="0.31496062992125984"/>
  <pageSetup paperSize="208" scale="65"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34" id="{F418EE20-E921-4463-8226-9B285576813B}">
            <xm:f>COUNTIF(INDIRECT(HELPER!$F$8),$F$28)=0</xm:f>
            <x14:dxf>
              <font>
                <b/>
                <i val="0"/>
                <color theme="5"/>
              </font>
              <fill>
                <patternFill patternType="none">
                  <bgColor auto="1"/>
                </patternFill>
              </fill>
            </x14:dxf>
          </x14:cfRule>
          <xm:sqref>F28:H28</xm:sqref>
        </x14:conditionalFormatting>
        <x14:conditionalFormatting xmlns:xm="http://schemas.microsoft.com/office/excel/2006/main">
          <x14:cfRule type="expression" priority="33" id="{573CBC3F-6DAA-4D81-812C-59324964ED3B}">
            <xm:f>COUNTIF(INDIRECT(HELPER!$F$9),$F$29)=0</xm:f>
            <x14:dxf>
              <font>
                <b/>
                <i val="0"/>
                <color theme="5"/>
              </font>
            </x14:dxf>
          </x14:cfRule>
          <xm:sqref>F29:H29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BCF1C23-CCD3-469A-93CD-1929D3E41201}">
          <x14:formula1>
            <xm:f>INDIRECT(HELPER!$F$9)</xm:f>
          </x14:formula1>
          <xm:sqref>F29:H29</xm:sqref>
        </x14:dataValidation>
        <x14:dataValidation type="list" allowBlank="1" showInputMessage="1" showErrorMessage="1" xr:uid="{FF051EB3-C613-4AC8-92AA-459F0A12E003}">
          <x14:formula1>
            <xm:f>INDIRECT(HELPER!$F$10)</xm:f>
          </x14:formula1>
          <xm:sqref>F30:H31</xm:sqref>
        </x14:dataValidation>
        <x14:dataValidation type="list" allowBlank="1" showInputMessage="1" showErrorMessage="1" xr:uid="{04E8B3B4-5681-432D-8460-64B45BF001E8}">
          <x14:formula1>
            <xm:f>INDIRECT(HELPER!$F$8)</xm:f>
          </x14:formula1>
          <xm:sqref>F28:H28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26F9-1F1C-4E6A-ADB2-85745A735187}">
  <sheetPr codeName="Sheet14">
    <tabColor rgb="FFFFFF00"/>
    <pageSetUpPr fitToPage="1"/>
  </sheetPr>
  <dimension ref="A1:AS120"/>
  <sheetViews>
    <sheetView showGridLines="0" zoomScale="70" zoomScaleNormal="70" workbookViewId="0">
      <pane ySplit="15" topLeftCell="A16" activePane="bottomLeft" state="frozen"/>
      <selection pane="bottomLeft" activeCell="AD68" sqref="AD68:AF79"/>
    </sheetView>
  </sheetViews>
  <sheetFormatPr defaultColWidth="0" defaultRowHeight="14" zeroHeight="1"/>
  <cols>
    <col min="1" max="2" width="3.6328125" style="2" customWidth="1"/>
    <col min="3" max="3" width="36.6328125" style="2" customWidth="1"/>
    <col min="4" max="13" width="4.36328125" style="2" customWidth="1"/>
    <col min="14" max="16" width="6.6328125" style="2" customWidth="1"/>
    <col min="17" max="26" width="4.36328125" style="2" customWidth="1"/>
    <col min="27" max="28" width="6.6328125" style="2" customWidth="1"/>
    <col min="29" max="29" width="6.6328125" style="11" customWidth="1"/>
    <col min="30" max="32" width="4.36328125" style="2" customWidth="1"/>
    <col min="33" max="37" width="6.6328125" style="2" customWidth="1"/>
    <col min="38" max="39" width="8.6328125" style="2" customWidth="1"/>
    <col min="40" max="40" width="3.6328125" style="2" customWidth="1"/>
    <col min="41" max="45" width="3.6328125" style="2" hidden="1" customWidth="1"/>
    <col min="46" max="16384" width="9.1796875" style="2" hidden="1"/>
  </cols>
  <sheetData>
    <row r="1" spans="2:39"/>
    <row r="2" spans="2:39" ht="27">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row r="5" spans="2:39"/>
    <row r="6" spans="2:39">
      <c r="G6" s="51" t="s">
        <v>7</v>
      </c>
      <c r="H6" s="907" t="str">
        <f>UPPER('INPUT DATA'!F10)</f>
        <v xml:space="preserve">REGION IV-A </v>
      </c>
      <c r="I6" s="907"/>
      <c r="J6" s="907"/>
      <c r="K6" s="907"/>
      <c r="L6" s="907"/>
      <c r="M6" s="907"/>
      <c r="O6" s="51" t="s">
        <v>10</v>
      </c>
      <c r="P6" s="907" t="str">
        <f>UPPER('INPUT DATA'!F11)</f>
        <v>CALAMBA CITY</v>
      </c>
      <c r="Q6" s="907"/>
      <c r="R6" s="907"/>
      <c r="S6" s="907"/>
      <c r="T6" s="907"/>
      <c r="Z6" s="51" t="s">
        <v>12</v>
      </c>
      <c r="AA6" s="907">
        <f>IF('INPUT DATA'!F13="","",'INPUT DATA'!F13)</f>
        <v>301518</v>
      </c>
      <c r="AB6" s="907"/>
      <c r="AC6" s="907"/>
    </row>
    <row r="7" spans="2:39">
      <c r="G7" s="51" t="s">
        <v>14</v>
      </c>
      <c r="H7" s="908" t="str">
        <f>UPPER('INPUT DATA'!F14)</f>
        <v>EDUARDO BARRETTO SR. INTEGRATED SCHOOL</v>
      </c>
      <c r="I7" s="909"/>
      <c r="J7" s="909"/>
      <c r="K7" s="909"/>
      <c r="L7" s="909"/>
      <c r="M7" s="909"/>
      <c r="N7" s="909"/>
      <c r="O7" s="909"/>
      <c r="P7" s="909"/>
      <c r="Q7" s="909"/>
      <c r="R7" s="909"/>
      <c r="S7" s="909"/>
      <c r="T7" s="910"/>
      <c r="Z7" s="51" t="s">
        <v>16</v>
      </c>
      <c r="AA7" s="907" t="str">
        <f>'INPUT DATA'!F16&amp;"    "&amp;'INPUT DATA'!G16</f>
        <v>2026    –    2027</v>
      </c>
      <c r="AB7" s="907"/>
      <c r="AC7" s="907"/>
    </row>
    <row r="8" spans="2:39" ht="14.5" thickBot="1">
      <c r="B8" s="419" t="str">
        <f>IF(OR(HELPER!G23="1ST",HELPER!G23="1ST &amp; 2ND",HELPER!G23="1ST, 2ND, 3RD"),"","INCORRECT SHEET. Do not use this sheet to input data.")</f>
        <v/>
      </c>
      <c r="C8" s="50"/>
    </row>
    <row r="9" spans="2:39" ht="20">
      <c r="B9" s="884" t="s">
        <v>162</v>
      </c>
      <c r="C9" s="885"/>
      <c r="D9" s="879" t="s">
        <v>23</v>
      </c>
      <c r="E9" s="880"/>
      <c r="F9" s="880"/>
      <c r="G9" s="880"/>
      <c r="H9" s="911">
        <f>IFERROR(IF(B8&lt;&gt;"INCORRECT SHEET. Do not use this sheet to input data.",'INPUT DATA'!F24,""),"")</f>
        <v>11</v>
      </c>
      <c r="I9" s="911"/>
      <c r="J9" s="881" t="s">
        <v>163</v>
      </c>
      <c r="K9" s="882"/>
      <c r="L9" s="882"/>
      <c r="M9" s="883"/>
      <c r="N9" s="915" t="str">
        <f>IFERROR(IF(B8&lt;&gt;"INCORRECT SHEET. Do not use this sheet to input data.",UPPER('INPUT DATA'!F25),""),"")</f>
        <v>MILKY WAY</v>
      </c>
      <c r="O9" s="916"/>
      <c r="P9" s="917"/>
      <c r="Q9" s="894" t="s">
        <v>32</v>
      </c>
      <c r="R9" s="894"/>
      <c r="S9" s="894"/>
      <c r="T9" s="894"/>
      <c r="U9" s="912" t="str">
        <f>IFERROR(IF(B8&lt;&gt;"INCORRECT SHEET. Do not use this sheet to input data.",UPPER(HELPER!G10),""),"")</f>
        <v>GENERAL MATHEMATICS</v>
      </c>
      <c r="V9" s="913"/>
      <c r="W9" s="913"/>
      <c r="X9" s="913"/>
      <c r="Y9" s="913"/>
      <c r="Z9" s="913"/>
      <c r="AA9" s="913"/>
      <c r="AB9" s="913"/>
      <c r="AC9" s="913"/>
      <c r="AD9" s="913"/>
      <c r="AE9" s="913"/>
      <c r="AF9" s="913"/>
      <c r="AG9" s="913"/>
      <c r="AH9" s="913"/>
      <c r="AI9" s="913"/>
      <c r="AJ9" s="913"/>
      <c r="AK9" s="913"/>
      <c r="AL9" s="913"/>
      <c r="AM9" s="914"/>
    </row>
    <row r="10" spans="2:39" ht="16.5" customHeight="1" thickBot="1">
      <c r="B10" s="886"/>
      <c r="C10" s="887"/>
      <c r="D10" s="877" t="s">
        <v>21</v>
      </c>
      <c r="E10" s="878"/>
      <c r="F10" s="878"/>
      <c r="G10" s="878"/>
      <c r="H10" s="895" t="str">
        <f>IFERROR(IF(B8&lt;&gt;"INCORRECT SHEET. Do not use this sheet to input data.",UPPER('INPUT DATA'!F22),""),"")</f>
        <v>KAREN P. GONZAGA</v>
      </c>
      <c r="I10" s="896"/>
      <c r="J10" s="896"/>
      <c r="K10" s="896"/>
      <c r="L10" s="896"/>
      <c r="M10" s="896"/>
      <c r="N10" s="896"/>
      <c r="O10" s="896"/>
      <c r="P10" s="897"/>
      <c r="Q10" s="878" t="s">
        <v>30</v>
      </c>
      <c r="R10" s="878"/>
      <c r="S10" s="878"/>
      <c r="T10" s="878"/>
      <c r="U10" s="895" t="str">
        <f>IFERROR(IF(B8&lt;&gt;"INCORRECT SHEET. Do not use this sheet to input data.",UPPER(HELPER!G9),""),"")</f>
        <v>CORE</v>
      </c>
      <c r="V10" s="896"/>
      <c r="W10" s="896"/>
      <c r="X10" s="896"/>
      <c r="Y10" s="896"/>
      <c r="Z10" s="896"/>
      <c r="AA10" s="896"/>
      <c r="AB10" s="896"/>
      <c r="AC10" s="896"/>
      <c r="AD10" s="896"/>
      <c r="AE10" s="896"/>
      <c r="AF10" s="896"/>
      <c r="AG10" s="897"/>
      <c r="AH10" s="876" t="s">
        <v>164</v>
      </c>
      <c r="AI10" s="876"/>
      <c r="AJ10" s="176">
        <f>IFERROR(IF(B8&lt;&gt;"INCORRECT SHEET. Do not use this sheet to input data.",HELPER!G27,""),"")</f>
        <v>2</v>
      </c>
      <c r="AK10" s="298" t="s">
        <v>165</v>
      </c>
      <c r="AL10" s="299">
        <f>IFERROR(IF(B8&lt;&gt;"INCORRECT SHEET. Do not use this sheet to input data.",HELPER!G28,""),"")</f>
        <v>6</v>
      </c>
      <c r="AM10" s="300" t="s">
        <v>166</v>
      </c>
    </row>
    <row r="11" spans="2:39" ht="20">
      <c r="B11" s="886"/>
      <c r="C11" s="887"/>
      <c r="D11" s="888" t="s">
        <v>167</v>
      </c>
      <c r="E11" s="889"/>
      <c r="F11" s="889"/>
      <c r="G11" s="889"/>
      <c r="H11" s="889"/>
      <c r="I11" s="889"/>
      <c r="J11" s="889"/>
      <c r="K11" s="889"/>
      <c r="L11" s="889"/>
      <c r="M11" s="889"/>
      <c r="N11" s="889"/>
      <c r="O11" s="889"/>
      <c r="P11" s="902"/>
      <c r="Q11" s="888" t="s">
        <v>168</v>
      </c>
      <c r="R11" s="889"/>
      <c r="S11" s="889"/>
      <c r="T11" s="889"/>
      <c r="U11" s="889"/>
      <c r="V11" s="889"/>
      <c r="W11" s="889"/>
      <c r="X11" s="889"/>
      <c r="Y11" s="889"/>
      <c r="Z11" s="889"/>
      <c r="AA11" s="889"/>
      <c r="AB11" s="889"/>
      <c r="AC11" s="902"/>
      <c r="AD11" s="888" t="s">
        <v>169</v>
      </c>
      <c r="AE11" s="889"/>
      <c r="AF11" s="889"/>
      <c r="AG11" s="889"/>
      <c r="AH11" s="889"/>
      <c r="AI11" s="889"/>
      <c r="AJ11" s="889"/>
      <c r="AK11" s="890"/>
      <c r="AL11" s="898" t="s">
        <v>170</v>
      </c>
      <c r="AM11" s="900" t="s">
        <v>171</v>
      </c>
    </row>
    <row r="12" spans="2:39" ht="20.5" thickBot="1">
      <c r="B12" s="886"/>
      <c r="C12" s="887"/>
      <c r="D12" s="903">
        <f>IF($U$9&lt;&gt;"",IFERROR(_xlfn.IFNA(HELPER!G13/100,""),""),"")</f>
        <v>0.2</v>
      </c>
      <c r="E12" s="904"/>
      <c r="F12" s="904"/>
      <c r="G12" s="904"/>
      <c r="H12" s="904"/>
      <c r="I12" s="904"/>
      <c r="J12" s="904"/>
      <c r="K12" s="904"/>
      <c r="L12" s="904"/>
      <c r="M12" s="904"/>
      <c r="N12" s="904"/>
      <c r="O12" s="904"/>
      <c r="P12" s="905"/>
      <c r="Q12" s="891">
        <f>IF($U$9&lt;&gt;"",IFERROR(_xlfn.IFNA(HELPER!G14/100,""),""),"")</f>
        <v>0.5</v>
      </c>
      <c r="R12" s="892"/>
      <c r="S12" s="892"/>
      <c r="T12" s="892"/>
      <c r="U12" s="892"/>
      <c r="V12" s="892"/>
      <c r="W12" s="892"/>
      <c r="X12" s="892"/>
      <c r="Y12" s="892"/>
      <c r="Z12" s="892"/>
      <c r="AA12" s="892"/>
      <c r="AB12" s="892"/>
      <c r="AC12" s="906"/>
      <c r="AD12" s="891">
        <f>IF($U$9&lt;&gt;"",IFERROR(_xlfn.IFNA(HELPER!G15/100,""),""),"")</f>
        <v>0.3</v>
      </c>
      <c r="AE12" s="892"/>
      <c r="AF12" s="892"/>
      <c r="AG12" s="892"/>
      <c r="AH12" s="892"/>
      <c r="AI12" s="892"/>
      <c r="AJ12" s="892"/>
      <c r="AK12" s="893"/>
      <c r="AL12" s="899"/>
      <c r="AM12" s="901"/>
    </row>
    <row r="13" spans="2:39" ht="14.5" thickBot="1">
      <c r="B13" s="886"/>
      <c r="C13" s="887"/>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99"/>
      <c r="AM13" s="901"/>
    </row>
    <row r="14" spans="2:39">
      <c r="B14" s="874" t="s">
        <v>70</v>
      </c>
      <c r="C14" s="875"/>
      <c r="D14" s="279"/>
      <c r="E14" s="280"/>
      <c r="F14" s="281"/>
      <c r="G14" s="280"/>
      <c r="H14" s="280"/>
      <c r="I14" s="280"/>
      <c r="J14" s="280"/>
      <c r="K14" s="280"/>
      <c r="L14" s="280"/>
      <c r="M14" s="282"/>
      <c r="N14" s="309">
        <f>SUM(D14:M14)</f>
        <v>0</v>
      </c>
      <c r="O14" s="310">
        <v>100</v>
      </c>
      <c r="P14" s="311">
        <f>D12</f>
        <v>0.2</v>
      </c>
      <c r="Q14" s="279"/>
      <c r="R14" s="280"/>
      <c r="S14" s="280"/>
      <c r="T14" s="280"/>
      <c r="U14" s="280"/>
      <c r="V14" s="280"/>
      <c r="W14" s="280"/>
      <c r="X14" s="280"/>
      <c r="Y14" s="280"/>
      <c r="Z14" s="282"/>
      <c r="AA14" s="309">
        <f>SUM(Q14:Z14)</f>
        <v>0</v>
      </c>
      <c r="AB14" s="310">
        <v>100</v>
      </c>
      <c r="AC14" s="311">
        <f>Q12</f>
        <v>0.5</v>
      </c>
      <c r="AD14" s="279"/>
      <c r="AE14" s="280"/>
      <c r="AF14" s="282"/>
      <c r="AG14" s="411">
        <f>_xlfn.IFNA(HELPER!G17,"")</f>
        <v>30</v>
      </c>
      <c r="AH14" s="411">
        <f>_xlfn.IFNA(HELPER!G18,"")</f>
        <v>30</v>
      </c>
      <c r="AI14" s="411">
        <f>_xlfn.IFNA(HELPER!G19,"")</f>
        <v>40</v>
      </c>
      <c r="AJ14" s="309">
        <f>IF(AD12=0,"",100)</f>
        <v>100</v>
      </c>
      <c r="AK14" s="625">
        <f>AD12</f>
        <v>0.3</v>
      </c>
      <c r="AL14" s="899"/>
      <c r="AM14" s="901"/>
    </row>
    <row r="15" spans="2:39" ht="18">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4.5" thickBot="1">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ht="14.5" thickBot="1">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hidden="1">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hidden="1">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hidden="1">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hidden="1">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hidden="1">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hidden="1">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hidden="1">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hidden="1">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hidden="1">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hidden="1">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hidden="1">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hidden="1">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hidden="1">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hidden="1">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hidden="1">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hidden="1">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hidden="1">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hidden="1">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hidden="1">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hidden="1">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hidden="1">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hidden="1">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hidden="1">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hidden="1">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hidden="1">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hidden="1">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hidden="1">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hidden="1">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hidden="1">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hidden="1">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hidden="1">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hidden="1">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hidden="1">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hidden="1">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hidden="1">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hidden="1">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hidden="1">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hidden="1">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hidden="1">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hidden="1">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4.5" hidden="1" thickBot="1">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4.5" thickBot="1">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4" si="12">IF(AND(C68&lt;&gt;"",P68&lt;&gt;"",AC68&lt;&gt;"",$AD$12=0),SUM(P68,AC68),IF(AND(C68&lt;&gt;"",P68&lt;&gt;"",AC68&lt;&gt;"",AK68&lt;&gt;"",$D$12&gt;0,$Q$12&gt;0,$AD$12&gt;0),SUM(P68,AC68,AK68),""))</f>
        <v/>
      </c>
      <c r="AM68" s="537" t="str">
        <f>IFERROR(_xlfn.XLOOKUP(AL68,HELPER!$C$7:$C$47,HELPER!$D$7:$D$47,,1),"")</f>
        <v/>
      </c>
    </row>
    <row r="69" spans="2:39">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hidden="1">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hidden="1">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hidden="1">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hidden="1">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hidden="1">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hidden="1">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hidden="1">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hidden="1">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hidden="1">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hidden="1">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hidden="1">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hidden="1">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hidden="1">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hidden="1">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hidden="1">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hidden="1">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hidden="1">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hidden="1">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hidden="1">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hidden="1">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hidden="1">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hidden="1">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hidden="1">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hidden="1">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hidden="1">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hidden="1">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hidden="1">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hidden="1">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hidden="1">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hidden="1">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hidden="1">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hidden="1">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hidden="1">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ref="AL115:AL117" si="24">IF(AND(C115&lt;&gt;"",P115&lt;&gt;"",AC115&lt;&gt;"",$AD$12=0),SUM(P115,AC115),IF(AND(C115&lt;&gt;"",P115&lt;&gt;"",AC115&lt;&gt;"",AK115&lt;&gt;"",$D$12&gt;0,$Q$12&gt;0,$AD$12&gt;0),SUM(P115,AC115,AK115),""))</f>
        <v/>
      </c>
      <c r="AM115" s="327" t="str">
        <f>IFERROR(_xlfn.XLOOKUP(AL115,HELPER!$C$7:$C$47,HELPER!$D$7:$D$47,,1),"")</f>
        <v/>
      </c>
    </row>
    <row r="116" spans="2:39" hidden="1">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24"/>
        <v/>
      </c>
      <c r="AM116" s="327" t="str">
        <f>IFERROR(_xlfn.XLOOKUP(AL116,HELPER!$C$7:$C$47,HELPER!$D$7:$D$47,,1),"")</f>
        <v/>
      </c>
    </row>
    <row r="117" spans="2:39" ht="14.5" hidden="1" thickBot="1">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24"/>
        <v/>
      </c>
      <c r="AM117" s="14" t="str">
        <f>IFERROR(_xlfn.XLOOKUP(AL117,HELPER!$C$7:$C$47,HELPER!$D$7:$D$47,,1),"")</f>
        <v/>
      </c>
    </row>
    <row r="118" spans="2:39" ht="17.5" customHeight="1">
      <c r="B118" s="50" t="s">
        <v>179</v>
      </c>
      <c r="C118" s="50"/>
      <c r="D118" s="50"/>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c r="AE118" s="50"/>
      <c r="AF118" s="50"/>
      <c r="AG118" s="50" t="s">
        <v>179</v>
      </c>
      <c r="AH118" s="50" t="s">
        <v>179</v>
      </c>
      <c r="AI118" s="50" t="s">
        <v>179</v>
      </c>
      <c r="AJ118" s="50" t="s">
        <v>179</v>
      </c>
      <c r="AK118" s="50" t="s">
        <v>179</v>
      </c>
      <c r="AL118" s="50" t="s">
        <v>179</v>
      </c>
      <c r="AM118" s="50" t="s">
        <v>179</v>
      </c>
    </row>
    <row r="119" spans="2:39" ht="67" customHeight="1"/>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EycwG3fq/XlGqdWAWrGySQ+/FefmyfN2L9p81kUUVKKKXyrpfYVAYPT1+aRoJlBup2l4YiI/T08CTH7J2WpjA==" saltValue="eFm+bv+8drk/OrS7Hf7neg==" spinCount="100000" sheet="1" formatCells="0" formatColumns="0" formatRows="0" autoFilter="0"/>
  <autoFilter ref="C15:C118" xr:uid="{8A1226F9-1F1C-4E6A-ADB2-85745A735187}"/>
  <mergeCells count="26">
    <mergeCell ref="P6:T6"/>
    <mergeCell ref="H7:T7"/>
    <mergeCell ref="H9:I9"/>
    <mergeCell ref="AA6:AC6"/>
    <mergeCell ref="AA7:AC7"/>
    <mergeCell ref="H6:M6"/>
    <mergeCell ref="U9:AM9"/>
    <mergeCell ref="N9:P9"/>
    <mergeCell ref="AL11:AL14"/>
    <mergeCell ref="AM11:AM14"/>
    <mergeCell ref="D11:P11"/>
    <mergeCell ref="D12:P12"/>
    <mergeCell ref="Q11:AC11"/>
    <mergeCell ref="Q12:AC12"/>
    <mergeCell ref="B14:C14"/>
    <mergeCell ref="AH10:AI10"/>
    <mergeCell ref="D10:G10"/>
    <mergeCell ref="D9:G9"/>
    <mergeCell ref="J9:M9"/>
    <mergeCell ref="B9:C13"/>
    <mergeCell ref="AD11:AK11"/>
    <mergeCell ref="AD12:AK12"/>
    <mergeCell ref="Q9:T9"/>
    <mergeCell ref="Q10:T10"/>
    <mergeCell ref="U10:AG10"/>
    <mergeCell ref="H10:P10"/>
  </mergeCells>
  <phoneticPr fontId="3" type="noConversion"/>
  <conditionalFormatting sqref="B8:AM8">
    <cfRule type="expression" dxfId="63" priority="14">
      <formula>$B$8="INCORRECT SHEET. Do not use this sheet to input data."</formula>
    </cfRule>
  </conditionalFormatting>
  <conditionalFormatting sqref="B9:AM14">
    <cfRule type="expression" dxfId="62" priority="13">
      <formula>$B$8="INCORRECT SHEET. Do not use this sheet to input data."</formula>
    </cfRule>
  </conditionalFormatting>
  <conditionalFormatting sqref="C17:C66 AM17:AM66">
    <cfRule type="expression" dxfId="61" priority="23">
      <formula>$AM17&lt;75</formula>
    </cfRule>
  </conditionalFormatting>
  <conditionalFormatting sqref="C68:C117">
    <cfRule type="expression" dxfId="60" priority="12">
      <formula>$AM68&lt;75</formula>
    </cfRule>
  </conditionalFormatting>
  <conditionalFormatting sqref="D17:M66 D68:M117">
    <cfRule type="expression" dxfId="59" priority="31">
      <formula>D$14=""</formula>
    </cfRule>
  </conditionalFormatting>
  <conditionalFormatting sqref="N17:P66 N68:P117">
    <cfRule type="expression" dxfId="58" priority="29">
      <formula>$O17&lt;70</formula>
    </cfRule>
  </conditionalFormatting>
  <conditionalFormatting sqref="O17:O66 O68:O117">
    <cfRule type="expression" dxfId="57" priority="20">
      <formula>$O17&lt;70</formula>
    </cfRule>
  </conditionalFormatting>
  <conditionalFormatting sqref="Q17:Z66 Q68:Z117">
    <cfRule type="expression" dxfId="56" priority="30">
      <formula>Q$14=""</formula>
    </cfRule>
  </conditionalFormatting>
  <conditionalFormatting sqref="AA17:AC66 AA68:AC117">
    <cfRule type="expression" dxfId="55" priority="19">
      <formula>$AB17&lt;70</formula>
    </cfRule>
  </conditionalFormatting>
  <conditionalFormatting sqref="AB17:AB66 AB68:AB117">
    <cfRule type="expression" dxfId="54" priority="18">
      <formula>$AB17&lt;70</formula>
    </cfRule>
  </conditionalFormatting>
  <conditionalFormatting sqref="AD13:AE14">
    <cfRule type="expression" dxfId="53" priority="32">
      <formula>$AG$14=""</formula>
    </cfRule>
  </conditionalFormatting>
  <conditionalFormatting sqref="AD13:AF13">
    <cfRule type="expression" dxfId="52" priority="34">
      <formula>$AG$14&lt;&gt;""</formula>
    </cfRule>
  </conditionalFormatting>
  <conditionalFormatting sqref="AD13:AF14">
    <cfRule type="expression" dxfId="51" priority="21">
      <formula>$AD$14=0</formula>
    </cfRule>
  </conditionalFormatting>
  <conditionalFormatting sqref="AD17:AF66 AD68:AF117">
    <cfRule type="expression" dxfId="50" priority="22">
      <formula>AD$14=""</formula>
    </cfRule>
  </conditionalFormatting>
  <conditionalFormatting sqref="AD11:AK14">
    <cfRule type="expression" dxfId="49" priority="10">
      <formula>$AD$12=0</formula>
    </cfRule>
  </conditionalFormatting>
  <conditionalFormatting sqref="AF13">
    <cfRule type="expression" dxfId="48" priority="33">
      <formula>$AG$14=""</formula>
    </cfRule>
  </conditionalFormatting>
  <conditionalFormatting sqref="AJ17:AJ66">
    <cfRule type="expression" dxfId="47" priority="7">
      <formula>$AJ17&lt;70</formula>
    </cfRule>
  </conditionalFormatting>
  <conditionalFormatting sqref="AJ68:AJ117">
    <cfRule type="expression" dxfId="46" priority="2">
      <formula>$AJ68&lt;70</formula>
    </cfRule>
  </conditionalFormatting>
  <conditionalFormatting sqref="AJ17:AK66">
    <cfRule type="expression" dxfId="45" priority="8">
      <formula>$AJ17&lt;70</formula>
    </cfRule>
  </conditionalFormatting>
  <conditionalFormatting sqref="AJ68:AK117">
    <cfRule type="expression" dxfId="44" priority="3">
      <formula>$AJ68&lt;70</formula>
    </cfRule>
  </conditionalFormatting>
  <conditionalFormatting sqref="AM68:AM117">
    <cfRule type="expression" dxfId="43" priority="1">
      <formula>$AM68&lt;75</formula>
    </cfRule>
  </conditionalFormatting>
  <dataValidations count="1">
    <dataValidation type="list" allowBlank="1" showInputMessage="1" showErrorMessage="1" sqref="AD17:AF117 Q17:Z117 D17:M117" xr:uid="{15B34FF2-AA5E-4F70-BD37-2CD9B48842F1}">
      <formula1>_xlfn.ANCHORARRAY(D$120)</formula1>
    </dataValidation>
  </dataValidations>
  <pageMargins left="0.7" right="0.7" top="0.75" bottom="0.75" header="0.3" footer="0.3"/>
  <pageSetup paperSize="256" scale="62" fitToHeight="0" orientation="landscape"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1634-2105-4F22-B8D9-C0DE281BDBCB}">
  <sheetPr codeName="Sheet16">
    <tabColor rgb="FF00B050"/>
  </sheetPr>
  <dimension ref="A1:AS120"/>
  <sheetViews>
    <sheetView showGridLines="0" zoomScale="85" zoomScaleNormal="87" workbookViewId="0">
      <pane ySplit="15" topLeftCell="A16" activePane="bottomLeft" state="frozen"/>
      <selection pane="bottomLeft" activeCell="AD17" sqref="AD17"/>
    </sheetView>
  </sheetViews>
  <sheetFormatPr defaultColWidth="0" defaultRowHeight="14" customHeight="1" zeroHeight="1"/>
  <cols>
    <col min="1" max="2" width="3.6328125" style="2" customWidth="1"/>
    <col min="3" max="3" width="36.6328125" style="2" customWidth="1"/>
    <col min="4" max="13" width="4.36328125" style="2" customWidth="1"/>
    <col min="14" max="16" width="6.6328125" style="2" customWidth="1"/>
    <col min="17" max="26" width="4.36328125" style="2" customWidth="1"/>
    <col min="27" max="28" width="6.6328125" style="2" customWidth="1"/>
    <col min="29" max="29" width="6.6328125" style="11" customWidth="1"/>
    <col min="30" max="32" width="4.36328125" style="2" customWidth="1"/>
    <col min="33" max="37" width="6.6328125" style="2" customWidth="1"/>
    <col min="38" max="39" width="8.6328125" style="2" customWidth="1"/>
    <col min="40" max="40" width="3.6328125" style="2" customWidth="1"/>
    <col min="41" max="45" width="3.6328125" style="2" hidden="1" customWidth="1"/>
    <col min="46" max="16384" width="9.1796875" style="2" hidden="1"/>
  </cols>
  <sheetData>
    <row r="1" spans="2:39"/>
    <row r="2" spans="2:39" ht="27">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row r="5" spans="2:39"/>
    <row r="6" spans="2:39">
      <c r="G6" s="51" t="s">
        <v>7</v>
      </c>
      <c r="H6" s="907" t="str">
        <f>UPPER('INPUT DATA'!F10)</f>
        <v xml:space="preserve">REGION IV-A </v>
      </c>
      <c r="I6" s="907"/>
      <c r="J6" s="907"/>
      <c r="K6" s="907"/>
      <c r="L6" s="907"/>
      <c r="M6" s="907"/>
      <c r="O6" s="51" t="s">
        <v>10</v>
      </c>
      <c r="P6" s="907" t="str">
        <f>UPPER('INPUT DATA'!F11)</f>
        <v>CALAMBA CITY</v>
      </c>
      <c r="Q6" s="907"/>
      <c r="R6" s="907"/>
      <c r="S6" s="907"/>
      <c r="T6" s="907"/>
      <c r="Z6" s="51" t="s">
        <v>12</v>
      </c>
      <c r="AA6" s="907">
        <f>IF('INPUT DATA'!F13="","",'INPUT DATA'!F13)</f>
        <v>301518</v>
      </c>
      <c r="AB6" s="907"/>
      <c r="AC6" s="907"/>
    </row>
    <row r="7" spans="2:39">
      <c r="G7" s="51" t="s">
        <v>14</v>
      </c>
      <c r="H7" s="908" t="str">
        <f>UPPER('INPUT DATA'!F14)</f>
        <v>EDUARDO BARRETTO SR. INTEGRATED SCHOOL</v>
      </c>
      <c r="I7" s="909"/>
      <c r="J7" s="909"/>
      <c r="K7" s="909"/>
      <c r="L7" s="909"/>
      <c r="M7" s="909"/>
      <c r="N7" s="909"/>
      <c r="O7" s="909"/>
      <c r="P7" s="909"/>
      <c r="Q7" s="909"/>
      <c r="R7" s="909"/>
      <c r="S7" s="909"/>
      <c r="T7" s="910"/>
      <c r="Z7" s="51" t="s">
        <v>16</v>
      </c>
      <c r="AA7" s="907" t="str">
        <f>'INPUT DATA'!F16&amp;"    "&amp;'INPUT DATA'!G16</f>
        <v>2026    –    2027</v>
      </c>
      <c r="AB7" s="907"/>
      <c r="AC7" s="907"/>
    </row>
    <row r="8" spans="2:39" ht="14.5" thickBot="1">
      <c r="B8" s="419" t="str">
        <f>IF(OR(HELPER!G23="2ND",HELPER!G23="1ST &amp; 2ND",HELPER!G23="2ND &amp; 3RD",HELPER!G23="1ST, 2ND, 3RD"),"","INCORRECT SHEET. Do not use this sheet to input data.")</f>
        <v/>
      </c>
      <c r="C8" s="50"/>
    </row>
    <row r="9" spans="2:39" ht="20.5" customHeight="1">
      <c r="B9" s="884" t="s">
        <v>180</v>
      </c>
      <c r="C9" s="885"/>
      <c r="D9" s="879" t="s">
        <v>23</v>
      </c>
      <c r="E9" s="880"/>
      <c r="F9" s="880"/>
      <c r="G9" s="880"/>
      <c r="H9" s="911">
        <f>IFERROR(IF(B8&lt;&gt;"INCORRECT SHEET. Do not use this sheet to input data.",'INPUT DATA'!F24,""),"")</f>
        <v>11</v>
      </c>
      <c r="I9" s="911"/>
      <c r="J9" s="881" t="s">
        <v>163</v>
      </c>
      <c r="K9" s="882"/>
      <c r="L9" s="882"/>
      <c r="M9" s="883"/>
      <c r="N9" s="915" t="str">
        <f>IFERROR(IF(B8&lt;&gt;"INCORRECT SHEET. Do not use this sheet to input data.",UPPER('INPUT DATA'!F25),""),"")</f>
        <v>MILKY WAY</v>
      </c>
      <c r="O9" s="916"/>
      <c r="P9" s="917"/>
      <c r="Q9" s="894" t="s">
        <v>32</v>
      </c>
      <c r="R9" s="894"/>
      <c r="S9" s="894"/>
      <c r="T9" s="894"/>
      <c r="U9" s="912" t="str">
        <f>IFERROR(IF(B8&lt;&gt;"INCORRECT SHEET. Do not use this sheet to input data.",UPPER(HELPER!G10),""),"")</f>
        <v>GENERAL MATHEMATICS</v>
      </c>
      <c r="V9" s="913"/>
      <c r="W9" s="913"/>
      <c r="X9" s="913"/>
      <c r="Y9" s="913"/>
      <c r="Z9" s="913"/>
      <c r="AA9" s="913"/>
      <c r="AB9" s="913"/>
      <c r="AC9" s="913"/>
      <c r="AD9" s="913"/>
      <c r="AE9" s="913"/>
      <c r="AF9" s="913"/>
      <c r="AG9" s="913"/>
      <c r="AH9" s="913"/>
      <c r="AI9" s="913"/>
      <c r="AJ9" s="913"/>
      <c r="AK9" s="913"/>
      <c r="AL9" s="913"/>
      <c r="AM9" s="914"/>
    </row>
    <row r="10" spans="2:39" ht="16.5" customHeight="1" thickBot="1">
      <c r="B10" s="886"/>
      <c r="C10" s="887"/>
      <c r="D10" s="877" t="s">
        <v>21</v>
      </c>
      <c r="E10" s="878"/>
      <c r="F10" s="878"/>
      <c r="G10" s="878"/>
      <c r="H10" s="895" t="str">
        <f>IFERROR(IF(B8&lt;&gt;"INCORRECT SHEET. Do not use this sheet to input data.",UPPER('INPUT DATA'!F22),""),"")</f>
        <v>KAREN P. GONZAGA</v>
      </c>
      <c r="I10" s="896"/>
      <c r="J10" s="896"/>
      <c r="K10" s="896"/>
      <c r="L10" s="896"/>
      <c r="M10" s="896"/>
      <c r="N10" s="896"/>
      <c r="O10" s="896"/>
      <c r="P10" s="897"/>
      <c r="Q10" s="878" t="s">
        <v>30</v>
      </c>
      <c r="R10" s="878"/>
      <c r="S10" s="878"/>
      <c r="T10" s="878"/>
      <c r="U10" s="895" t="str">
        <f>IFERROR(IF(B8&lt;&gt;"INCORRECT SHEET. Do not use this sheet to input data.",UPPER(HELPER!G9),""),"")</f>
        <v>CORE</v>
      </c>
      <c r="V10" s="896"/>
      <c r="W10" s="896"/>
      <c r="X10" s="896"/>
      <c r="Y10" s="896"/>
      <c r="Z10" s="896"/>
      <c r="AA10" s="896"/>
      <c r="AB10" s="896"/>
      <c r="AC10" s="896"/>
      <c r="AD10" s="896"/>
      <c r="AE10" s="896"/>
      <c r="AF10" s="896"/>
      <c r="AG10" s="897"/>
      <c r="AH10" s="876" t="s">
        <v>164</v>
      </c>
      <c r="AI10" s="876"/>
      <c r="AJ10" s="176">
        <f>IFERROR(IF(B8&lt;&gt;"INCORRECT SHEET. Do not use this sheet to input data.",HELPER!G27,""),"")</f>
        <v>2</v>
      </c>
      <c r="AK10" s="298" t="s">
        <v>165</v>
      </c>
      <c r="AL10" s="299">
        <f>IFERROR(IF(B8&lt;&gt;"INCORRECT SHEET. Do not use this sheet to input data.",HELPER!G28,""),"")</f>
        <v>6</v>
      </c>
      <c r="AM10" s="300" t="s">
        <v>166</v>
      </c>
    </row>
    <row r="11" spans="2:39" ht="20.5" customHeight="1">
      <c r="B11" s="886"/>
      <c r="C11" s="887"/>
      <c r="D11" s="888" t="s">
        <v>167</v>
      </c>
      <c r="E11" s="889"/>
      <c r="F11" s="889"/>
      <c r="G11" s="889"/>
      <c r="H11" s="889"/>
      <c r="I11" s="889"/>
      <c r="J11" s="889"/>
      <c r="K11" s="889"/>
      <c r="L11" s="889"/>
      <c r="M11" s="889"/>
      <c r="N11" s="889"/>
      <c r="O11" s="889"/>
      <c r="P11" s="902"/>
      <c r="Q11" s="888" t="s">
        <v>168</v>
      </c>
      <c r="R11" s="889"/>
      <c r="S11" s="889"/>
      <c r="T11" s="889"/>
      <c r="U11" s="889"/>
      <c r="V11" s="889"/>
      <c r="W11" s="889"/>
      <c r="X11" s="889"/>
      <c r="Y11" s="889"/>
      <c r="Z11" s="889"/>
      <c r="AA11" s="889"/>
      <c r="AB11" s="889"/>
      <c r="AC11" s="902"/>
      <c r="AD11" s="888" t="s">
        <v>169</v>
      </c>
      <c r="AE11" s="889"/>
      <c r="AF11" s="889"/>
      <c r="AG11" s="889"/>
      <c r="AH11" s="889"/>
      <c r="AI11" s="889"/>
      <c r="AJ11" s="889"/>
      <c r="AK11" s="890"/>
      <c r="AL11" s="898" t="s">
        <v>170</v>
      </c>
      <c r="AM11" s="900" t="s">
        <v>171</v>
      </c>
    </row>
    <row r="12" spans="2:39" ht="21" customHeight="1" thickBot="1">
      <c r="B12" s="886"/>
      <c r="C12" s="887"/>
      <c r="D12" s="903">
        <f>IF($U$9&lt;&gt;"",IFERROR(_xlfn.IFNA(HELPER!G13/100,""),""),"")</f>
        <v>0.2</v>
      </c>
      <c r="E12" s="904"/>
      <c r="F12" s="904"/>
      <c r="G12" s="904"/>
      <c r="H12" s="904"/>
      <c r="I12" s="904"/>
      <c r="J12" s="904"/>
      <c r="K12" s="904"/>
      <c r="L12" s="904"/>
      <c r="M12" s="904"/>
      <c r="N12" s="904"/>
      <c r="O12" s="904"/>
      <c r="P12" s="905"/>
      <c r="Q12" s="891">
        <f>IF($U$9&lt;&gt;"",IFERROR(_xlfn.IFNA(HELPER!G14/100,""),""),"")</f>
        <v>0.5</v>
      </c>
      <c r="R12" s="892"/>
      <c r="S12" s="892"/>
      <c r="T12" s="892"/>
      <c r="U12" s="892"/>
      <c r="V12" s="892"/>
      <c r="W12" s="892"/>
      <c r="X12" s="892"/>
      <c r="Y12" s="892"/>
      <c r="Z12" s="892"/>
      <c r="AA12" s="892"/>
      <c r="AB12" s="892"/>
      <c r="AC12" s="906"/>
      <c r="AD12" s="891">
        <f>IF($U$9&lt;&gt;"",IFERROR(_xlfn.IFNA(HELPER!G15/100,""),""),"")</f>
        <v>0.3</v>
      </c>
      <c r="AE12" s="892"/>
      <c r="AF12" s="892"/>
      <c r="AG12" s="892"/>
      <c r="AH12" s="892"/>
      <c r="AI12" s="892"/>
      <c r="AJ12" s="892"/>
      <c r="AK12" s="893"/>
      <c r="AL12" s="899"/>
      <c r="AM12" s="901"/>
    </row>
    <row r="13" spans="2:39" ht="14.5" customHeight="1" thickBot="1">
      <c r="B13" s="886"/>
      <c r="C13" s="887"/>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99"/>
      <c r="AM13" s="901"/>
    </row>
    <row r="14" spans="2:39">
      <c r="B14" s="874" t="s">
        <v>70</v>
      </c>
      <c r="C14" s="875"/>
      <c r="D14" s="279"/>
      <c r="E14" s="280"/>
      <c r="F14" s="281"/>
      <c r="G14" s="280"/>
      <c r="H14" s="280"/>
      <c r="I14" s="280"/>
      <c r="J14" s="280"/>
      <c r="K14" s="280"/>
      <c r="L14" s="280"/>
      <c r="M14" s="282"/>
      <c r="N14" s="309">
        <f>SUM(D14:M14)</f>
        <v>0</v>
      </c>
      <c r="O14" s="310">
        <v>100</v>
      </c>
      <c r="P14" s="311">
        <f>D12</f>
        <v>0.2</v>
      </c>
      <c r="Q14" s="279"/>
      <c r="R14" s="280"/>
      <c r="S14" s="280"/>
      <c r="T14" s="280"/>
      <c r="U14" s="280"/>
      <c r="V14" s="280"/>
      <c r="W14" s="280"/>
      <c r="X14" s="280"/>
      <c r="Y14" s="280"/>
      <c r="Z14" s="282"/>
      <c r="AA14" s="309">
        <f>SUM(Q14:Z14)</f>
        <v>0</v>
      </c>
      <c r="AB14" s="310">
        <v>100</v>
      </c>
      <c r="AC14" s="311">
        <f>Q12</f>
        <v>0.5</v>
      </c>
      <c r="AD14" s="279"/>
      <c r="AE14" s="280"/>
      <c r="AF14" s="282"/>
      <c r="AG14" s="411">
        <f>_xlfn.IFNA(HELPER!G17,"")</f>
        <v>30</v>
      </c>
      <c r="AH14" s="411">
        <f>_xlfn.IFNA(HELPER!G18,"")</f>
        <v>30</v>
      </c>
      <c r="AI14" s="411">
        <f>_xlfn.IFNA(HELPER!G19,"")</f>
        <v>40</v>
      </c>
      <c r="AJ14" s="309">
        <f>IF(AD12=0,"",100)</f>
        <v>100</v>
      </c>
      <c r="AK14" s="625">
        <f>AD12</f>
        <v>0.3</v>
      </c>
      <c r="AL14" s="899"/>
      <c r="AM14" s="901"/>
    </row>
    <row r="15" spans="2:39" ht="18">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4.5" thickBot="1">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ht="14.5" thickBot="1">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hidden="1">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hidden="1">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hidden="1">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hidden="1">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hidden="1">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hidden="1">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hidden="1">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hidden="1">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hidden="1">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hidden="1">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hidden="1">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hidden="1">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hidden="1">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hidden="1">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hidden="1">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hidden="1">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hidden="1">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hidden="1">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hidden="1">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hidden="1">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hidden="1">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hidden="1">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hidden="1">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hidden="1">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hidden="1">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hidden="1">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hidden="1">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hidden="1">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hidden="1">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hidden="1">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hidden="1">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hidden="1">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hidden="1">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hidden="1">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hidden="1">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hidden="1">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hidden="1">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hidden="1">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hidden="1">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4.5" hidden="1" thickBot="1">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4.5" thickBot="1">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7" si="12">IF(AND(C68&lt;&gt;"",P68&lt;&gt;"",AC68&lt;&gt;"",$AD$12=0),SUM(P68,AC68),IF(AND(C68&lt;&gt;"",P68&lt;&gt;"",AC68&lt;&gt;"",AK68&lt;&gt;"",$D$12&gt;0,$Q$12&gt;0,$AD$12&gt;0),SUM(P68,AC68,AK68),""))</f>
        <v/>
      </c>
      <c r="AM68" s="537" t="str">
        <f>IFERROR(_xlfn.XLOOKUP(AL68,HELPER!$C$7:$C$47,HELPER!$D$7:$D$47,,1),"")</f>
        <v/>
      </c>
    </row>
    <row r="69" spans="2:39">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hidden="1">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hidden="1">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hidden="1">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hidden="1">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hidden="1">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hidden="1">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hidden="1">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hidden="1">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hidden="1">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hidden="1">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hidden="1">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hidden="1">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hidden="1">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hidden="1">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hidden="1">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hidden="1">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hidden="1">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hidden="1">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hidden="1">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hidden="1">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hidden="1">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hidden="1">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hidden="1">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hidden="1">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hidden="1">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hidden="1">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hidden="1">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hidden="1">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hidden="1">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hidden="1">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hidden="1">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hidden="1">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hidden="1">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si="12"/>
        <v/>
      </c>
      <c r="AM115" s="327" t="str">
        <f>IFERROR(_xlfn.XLOOKUP(AL115,HELPER!$C$7:$C$47,HELPER!$D$7:$D$47,,1),"")</f>
        <v/>
      </c>
    </row>
    <row r="116" spans="2:39" hidden="1">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12"/>
        <v/>
      </c>
      <c r="AM116" s="327" t="str">
        <f>IFERROR(_xlfn.XLOOKUP(AL116,HELPER!$C$7:$C$47,HELPER!$D$7:$D$47,,1),"")</f>
        <v/>
      </c>
    </row>
    <row r="117" spans="2:39" ht="14.5" hidden="1" thickBot="1">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12"/>
        <v/>
      </c>
      <c r="AM117" s="14" t="str">
        <f>IFERROR(_xlfn.XLOOKUP(AL117,HELPER!$C$7:$C$47,HELPER!$D$7:$D$47,,1),"")</f>
        <v/>
      </c>
    </row>
    <row r="118" spans="2:39">
      <c r="B118" s="50" t="s">
        <v>179</v>
      </c>
      <c r="C118" s="50"/>
      <c r="D118" s="50" t="s">
        <v>179</v>
      </c>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t="s">
        <v>179</v>
      </c>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t="s">
        <v>179</v>
      </c>
      <c r="AE118" s="50" t="s">
        <v>179</v>
      </c>
      <c r="AF118" s="50" t="s">
        <v>179</v>
      </c>
      <c r="AG118" s="50" t="s">
        <v>179</v>
      </c>
      <c r="AH118" s="50" t="s">
        <v>179</v>
      </c>
      <c r="AI118" s="50" t="s">
        <v>179</v>
      </c>
      <c r="AJ118" s="50" t="s">
        <v>179</v>
      </c>
      <c r="AK118" s="50" t="s">
        <v>179</v>
      </c>
      <c r="AL118" s="50" t="s">
        <v>179</v>
      </c>
      <c r="AM118" s="50" t="s">
        <v>179</v>
      </c>
    </row>
    <row r="119" spans="2:39" ht="60.5" customHeight="1"/>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0JBQbCHazDT6gClVzi4y5B+u+AZToSUKA0oVzLtb5pAlS8bV5g5Ht3AUuJObWBUDFkhBqM2/mX1nk8sZp7Xk0Q==" saltValue="jNUgeicYx7Gx0CRhrK/XTg==" spinCount="100000" sheet="1" formatCells="0" formatColumns="0" formatRows="0" autoFilter="0"/>
  <autoFilter ref="C15:C118" xr:uid="{8A1226F9-1F1C-4E6A-ADB2-85745A735187}"/>
  <mergeCells count="26">
    <mergeCell ref="H6:M6"/>
    <mergeCell ref="P6:T6"/>
    <mergeCell ref="AA6:AC6"/>
    <mergeCell ref="H7:T7"/>
    <mergeCell ref="AA7:AC7"/>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B14:C14"/>
    <mergeCell ref="D11:P11"/>
    <mergeCell ref="Q11:AC11"/>
    <mergeCell ref="AD11:AK11"/>
    <mergeCell ref="AL11:AL14"/>
    <mergeCell ref="B9:C13"/>
  </mergeCells>
  <conditionalFormatting sqref="B8:AM8">
    <cfRule type="expression" dxfId="42" priority="70">
      <formula>$B$8="INCORRECT SHEET. Do not use this sheet to input data."</formula>
    </cfRule>
  </conditionalFormatting>
  <conditionalFormatting sqref="B9:AM14">
    <cfRule type="expression" dxfId="41" priority="8">
      <formula>$B$8="INCORRECT SHEET. Do not use this sheet to input data."</formula>
    </cfRule>
  </conditionalFormatting>
  <conditionalFormatting sqref="C17:C66 AM17:AM66">
    <cfRule type="expression" dxfId="40" priority="14">
      <formula>$AM17&lt;75</formula>
    </cfRule>
  </conditionalFormatting>
  <conditionalFormatting sqref="C68:C117">
    <cfRule type="expression" dxfId="39" priority="7">
      <formula>$AM68&lt;75</formula>
    </cfRule>
  </conditionalFormatting>
  <conditionalFormatting sqref="D17:M66 D68:M117">
    <cfRule type="expression" dxfId="38" priority="18">
      <formula>D$14=""</formula>
    </cfRule>
  </conditionalFormatting>
  <conditionalFormatting sqref="N17:P66 N68:P117">
    <cfRule type="expression" dxfId="37" priority="16">
      <formula>$O17&lt;70</formula>
    </cfRule>
  </conditionalFormatting>
  <conditionalFormatting sqref="O17:O66 O68:O117">
    <cfRule type="expression" dxfId="36" priority="11">
      <formula>$O17&lt;70</formula>
    </cfRule>
  </conditionalFormatting>
  <conditionalFormatting sqref="Q17:Z66 Q68:Z117">
    <cfRule type="expression" dxfId="35" priority="17">
      <formula>Q$14=""</formula>
    </cfRule>
  </conditionalFormatting>
  <conditionalFormatting sqref="AA17:AC66 AA68:AC117">
    <cfRule type="expression" dxfId="34" priority="10">
      <formula>$AB17&lt;70</formula>
    </cfRule>
  </conditionalFormatting>
  <conditionalFormatting sqref="AB17:AB66 AB68:AB117">
    <cfRule type="expression" dxfId="33" priority="9">
      <formula>$AB17&lt;70</formula>
    </cfRule>
  </conditionalFormatting>
  <conditionalFormatting sqref="AD13:AE14">
    <cfRule type="expression" dxfId="32" priority="19">
      <formula>$AG$14=""</formula>
    </cfRule>
  </conditionalFormatting>
  <conditionalFormatting sqref="AD13:AF13">
    <cfRule type="expression" dxfId="31" priority="21">
      <formula>$AG$14&lt;&gt;""</formula>
    </cfRule>
  </conditionalFormatting>
  <conditionalFormatting sqref="AD13:AF14">
    <cfRule type="expression" dxfId="30" priority="12">
      <formula>$AD$14=0</formula>
    </cfRule>
  </conditionalFormatting>
  <conditionalFormatting sqref="AD17:AF66 AD68:AF117">
    <cfRule type="expression" dxfId="29" priority="13">
      <formula>AD$14=""</formula>
    </cfRule>
  </conditionalFormatting>
  <conditionalFormatting sqref="AD11:AK14">
    <cfRule type="expression" dxfId="28" priority="6">
      <formula>$AD$12=0</formula>
    </cfRule>
  </conditionalFormatting>
  <conditionalFormatting sqref="AF13">
    <cfRule type="expression" dxfId="27" priority="20">
      <formula>$AG$14=""</formula>
    </cfRule>
  </conditionalFormatting>
  <conditionalFormatting sqref="AJ17:AJ66">
    <cfRule type="expression" dxfId="26" priority="4">
      <formula>$AJ17&lt;70</formula>
    </cfRule>
  </conditionalFormatting>
  <conditionalFormatting sqref="AJ68:AJ117">
    <cfRule type="expression" dxfId="25" priority="2">
      <formula>$AJ68&lt;70</formula>
    </cfRule>
  </conditionalFormatting>
  <conditionalFormatting sqref="AJ17:AK66">
    <cfRule type="expression" dxfId="24" priority="5">
      <formula>$AJ17&lt;70</formula>
    </cfRule>
  </conditionalFormatting>
  <conditionalFormatting sqref="AJ68:AK117">
    <cfRule type="expression" dxfId="23" priority="3">
      <formula>$AJ68&lt;70</formula>
    </cfRule>
  </conditionalFormatting>
  <conditionalFormatting sqref="AM68:AM117">
    <cfRule type="expression" dxfId="22" priority="1">
      <formula>$AM68&lt;75</formula>
    </cfRule>
  </conditionalFormatting>
  <dataValidations count="1">
    <dataValidation type="list" allowBlank="1" showInputMessage="1" showErrorMessage="1" sqref="AD17:AF117 Q17:Z117 D17:M117" xr:uid="{F4592658-DC17-4994-8DE2-61568B004925}">
      <formula1>_xlfn.ANCHORARRAY(D$120)</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18B4-40AC-4A2C-BAFF-A44F8097E1DE}">
  <sheetPr codeName="Sheet17">
    <tabColor rgb="FF0070C0"/>
  </sheetPr>
  <dimension ref="A1:AS120"/>
  <sheetViews>
    <sheetView showGridLines="0" tabSelected="1" zoomScale="85" zoomScaleNormal="87" workbookViewId="0">
      <pane ySplit="15" topLeftCell="A16" activePane="bottomLeft" state="frozen"/>
      <selection pane="bottomLeft" activeCell="D17" sqref="D17"/>
    </sheetView>
  </sheetViews>
  <sheetFormatPr defaultColWidth="0" defaultRowHeight="14" customHeight="1" zeroHeight="1"/>
  <cols>
    <col min="1" max="2" width="3.6328125" style="2" customWidth="1"/>
    <col min="3" max="3" width="36.6328125" style="2" customWidth="1"/>
    <col min="4" max="13" width="4.36328125" style="2" customWidth="1"/>
    <col min="14" max="16" width="6.6328125" style="2" customWidth="1"/>
    <col min="17" max="26" width="4.36328125" style="2" customWidth="1"/>
    <col min="27" max="28" width="6.6328125" style="2" customWidth="1"/>
    <col min="29" max="29" width="6.6328125" style="11" customWidth="1"/>
    <col min="30" max="32" width="4.36328125" style="2" customWidth="1"/>
    <col min="33" max="37" width="6.6328125" style="2" customWidth="1"/>
    <col min="38" max="39" width="8.6328125" style="2" customWidth="1"/>
    <col min="40" max="40" width="3.6328125" style="2" customWidth="1"/>
    <col min="41" max="45" width="3.6328125" style="2" hidden="1" customWidth="1"/>
    <col min="46" max="16384" width="9.1796875" style="2" hidden="1"/>
  </cols>
  <sheetData>
    <row r="1" spans="2:39"/>
    <row r="2" spans="2:39" ht="27">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row r="5" spans="2:39"/>
    <row r="6" spans="2:39">
      <c r="G6" s="51" t="s">
        <v>7</v>
      </c>
      <c r="H6" s="907" t="str">
        <f>UPPER('INPUT DATA'!F10)</f>
        <v xml:space="preserve">REGION IV-A </v>
      </c>
      <c r="I6" s="907"/>
      <c r="J6" s="907"/>
      <c r="K6" s="907"/>
      <c r="L6" s="907"/>
      <c r="M6" s="907"/>
      <c r="O6" s="51" t="s">
        <v>10</v>
      </c>
      <c r="P6" s="907" t="str">
        <f>UPPER('INPUT DATA'!F11)</f>
        <v>CALAMBA CITY</v>
      </c>
      <c r="Q6" s="907"/>
      <c r="R6" s="907"/>
      <c r="S6" s="907"/>
      <c r="T6" s="907"/>
      <c r="Z6" s="51" t="s">
        <v>12</v>
      </c>
      <c r="AA6" s="907">
        <f>IF('INPUT DATA'!F13="","",'INPUT DATA'!F13)</f>
        <v>301518</v>
      </c>
      <c r="AB6" s="907"/>
      <c r="AC6" s="907"/>
    </row>
    <row r="7" spans="2:39">
      <c r="G7" s="51" t="s">
        <v>14</v>
      </c>
      <c r="H7" s="908" t="str">
        <f>UPPER('INPUT DATA'!F14)</f>
        <v>EDUARDO BARRETTO SR. INTEGRATED SCHOOL</v>
      </c>
      <c r="I7" s="909"/>
      <c r="J7" s="909"/>
      <c r="K7" s="909"/>
      <c r="L7" s="909"/>
      <c r="M7" s="909"/>
      <c r="N7" s="909"/>
      <c r="O7" s="909"/>
      <c r="P7" s="909"/>
      <c r="Q7" s="909"/>
      <c r="R7" s="909"/>
      <c r="S7" s="909"/>
      <c r="T7" s="910"/>
      <c r="Z7" s="51" t="s">
        <v>16</v>
      </c>
      <c r="AA7" s="907" t="str">
        <f>'INPUT DATA'!F16&amp;"    "&amp;'INPUT DATA'!G16</f>
        <v>2026    –    2027</v>
      </c>
      <c r="AB7" s="907"/>
      <c r="AC7" s="907"/>
    </row>
    <row r="8" spans="2:39" ht="14.5" thickBot="1">
      <c r="B8" s="419" t="str">
        <f>IF(OR(HELPER!G23="3RD",HELPER!G23="2ND &amp; 3RD",HELPER!G23="1ST, 2ND, 3RD"),"","INCORRECT SHEET. Do not use this sheet to input data.")</f>
        <v/>
      </c>
      <c r="C8" s="50"/>
    </row>
    <row r="9" spans="2:39" ht="20.5" customHeight="1">
      <c r="B9" s="884" t="s">
        <v>181</v>
      </c>
      <c r="C9" s="885"/>
      <c r="D9" s="879" t="s">
        <v>23</v>
      </c>
      <c r="E9" s="880"/>
      <c r="F9" s="880"/>
      <c r="G9" s="880"/>
      <c r="H9" s="911">
        <f>IFERROR(IF(B8&lt;&gt;"INCORRECT SHEET. Do not use this sheet to input data.",'INPUT DATA'!F24,""),"")</f>
        <v>11</v>
      </c>
      <c r="I9" s="911"/>
      <c r="J9" s="881" t="s">
        <v>163</v>
      </c>
      <c r="K9" s="882"/>
      <c r="L9" s="882"/>
      <c r="M9" s="883"/>
      <c r="N9" s="915" t="str">
        <f>IFERROR(IF(B8&lt;&gt;"INCORRECT SHEET. Do not use this sheet to input data.",UPPER('INPUT DATA'!F25),""),"")</f>
        <v>MILKY WAY</v>
      </c>
      <c r="O9" s="916"/>
      <c r="P9" s="917"/>
      <c r="Q9" s="894" t="s">
        <v>32</v>
      </c>
      <c r="R9" s="894"/>
      <c r="S9" s="894"/>
      <c r="T9" s="894"/>
      <c r="U9" s="912" t="str">
        <f>IFERROR(IF(B8&lt;&gt;"INCORRECT SHEET. Do not use this sheet to input data.",UPPER(HELPER!G10),""),"")</f>
        <v>GENERAL MATHEMATICS</v>
      </c>
      <c r="V9" s="913"/>
      <c r="W9" s="913"/>
      <c r="X9" s="913"/>
      <c r="Y9" s="913"/>
      <c r="Z9" s="913"/>
      <c r="AA9" s="913"/>
      <c r="AB9" s="913"/>
      <c r="AC9" s="913"/>
      <c r="AD9" s="913"/>
      <c r="AE9" s="913"/>
      <c r="AF9" s="913"/>
      <c r="AG9" s="913"/>
      <c r="AH9" s="913"/>
      <c r="AI9" s="913"/>
      <c r="AJ9" s="913"/>
      <c r="AK9" s="913"/>
      <c r="AL9" s="913"/>
      <c r="AM9" s="914"/>
    </row>
    <row r="10" spans="2:39" ht="16.5" customHeight="1" thickBot="1">
      <c r="B10" s="886"/>
      <c r="C10" s="887"/>
      <c r="D10" s="877" t="s">
        <v>21</v>
      </c>
      <c r="E10" s="878"/>
      <c r="F10" s="878"/>
      <c r="G10" s="878"/>
      <c r="H10" s="895" t="str">
        <f>IFERROR(IF(B8&lt;&gt;"INCORRECT SHEET. Do not use this sheet to input data.",UPPER('INPUT DATA'!F22),""),"")</f>
        <v>KAREN P. GONZAGA</v>
      </c>
      <c r="I10" s="896"/>
      <c r="J10" s="896"/>
      <c r="K10" s="896"/>
      <c r="L10" s="896"/>
      <c r="M10" s="896"/>
      <c r="N10" s="896"/>
      <c r="O10" s="896"/>
      <c r="P10" s="897"/>
      <c r="Q10" s="878" t="s">
        <v>30</v>
      </c>
      <c r="R10" s="878"/>
      <c r="S10" s="878"/>
      <c r="T10" s="878"/>
      <c r="U10" s="895" t="str">
        <f>IFERROR(IF(B8&lt;&gt;"INCORRECT SHEET. Do not use this sheet to input data.",UPPER(HELPER!G9),""),"")</f>
        <v>CORE</v>
      </c>
      <c r="V10" s="896"/>
      <c r="W10" s="896"/>
      <c r="X10" s="896"/>
      <c r="Y10" s="896"/>
      <c r="Z10" s="896"/>
      <c r="AA10" s="896"/>
      <c r="AB10" s="896"/>
      <c r="AC10" s="896"/>
      <c r="AD10" s="896"/>
      <c r="AE10" s="896"/>
      <c r="AF10" s="896"/>
      <c r="AG10" s="897"/>
      <c r="AH10" s="876" t="s">
        <v>164</v>
      </c>
      <c r="AI10" s="876"/>
      <c r="AJ10" s="176">
        <f>IFERROR(IF(B8&lt;&gt;"INCORRECT SHEET. Do not use this sheet to input data.",HELPER!G27,""),"")</f>
        <v>2</v>
      </c>
      <c r="AK10" s="298" t="s">
        <v>165</v>
      </c>
      <c r="AL10" s="299">
        <f>IFERROR(IF(B8&lt;&gt;"INCORRECT SHEET. Do not use this sheet to input data.",HELPER!G28,""),"")</f>
        <v>6</v>
      </c>
      <c r="AM10" s="300" t="s">
        <v>166</v>
      </c>
    </row>
    <row r="11" spans="2:39" ht="20.5" customHeight="1">
      <c r="B11" s="886"/>
      <c r="C11" s="887"/>
      <c r="D11" s="888" t="s">
        <v>167</v>
      </c>
      <c r="E11" s="889"/>
      <c r="F11" s="889"/>
      <c r="G11" s="889"/>
      <c r="H11" s="889"/>
      <c r="I11" s="889"/>
      <c r="J11" s="889"/>
      <c r="K11" s="889"/>
      <c r="L11" s="889"/>
      <c r="M11" s="889"/>
      <c r="N11" s="889"/>
      <c r="O11" s="889"/>
      <c r="P11" s="902"/>
      <c r="Q11" s="888" t="s">
        <v>168</v>
      </c>
      <c r="R11" s="889"/>
      <c r="S11" s="889"/>
      <c r="T11" s="889"/>
      <c r="U11" s="889"/>
      <c r="V11" s="889"/>
      <c r="W11" s="889"/>
      <c r="X11" s="889"/>
      <c r="Y11" s="889"/>
      <c r="Z11" s="889"/>
      <c r="AA11" s="889"/>
      <c r="AB11" s="889"/>
      <c r="AC11" s="902"/>
      <c r="AD11" s="888" t="s">
        <v>169</v>
      </c>
      <c r="AE11" s="889"/>
      <c r="AF11" s="889"/>
      <c r="AG11" s="889"/>
      <c r="AH11" s="889"/>
      <c r="AI11" s="889"/>
      <c r="AJ11" s="889"/>
      <c r="AK11" s="890"/>
      <c r="AL11" s="898" t="s">
        <v>170</v>
      </c>
      <c r="AM11" s="900" t="s">
        <v>171</v>
      </c>
    </row>
    <row r="12" spans="2:39" ht="21" customHeight="1" thickBot="1">
      <c r="B12" s="886"/>
      <c r="C12" s="887"/>
      <c r="D12" s="903">
        <f>IF($U$9&lt;&gt;"",IFERROR(_xlfn.IFNA(HELPER!G13/100,""),""),"")</f>
        <v>0.2</v>
      </c>
      <c r="E12" s="904"/>
      <c r="F12" s="904"/>
      <c r="G12" s="904"/>
      <c r="H12" s="904"/>
      <c r="I12" s="904"/>
      <c r="J12" s="904"/>
      <c r="K12" s="904"/>
      <c r="L12" s="904"/>
      <c r="M12" s="904"/>
      <c r="N12" s="904"/>
      <c r="O12" s="904"/>
      <c r="P12" s="905"/>
      <c r="Q12" s="891">
        <f>IF($U$9&lt;&gt;"",IFERROR(_xlfn.IFNA(HELPER!G14/100,""),""),"")</f>
        <v>0.5</v>
      </c>
      <c r="R12" s="892"/>
      <c r="S12" s="892"/>
      <c r="T12" s="892"/>
      <c r="U12" s="892"/>
      <c r="V12" s="892"/>
      <c r="W12" s="892"/>
      <c r="X12" s="892"/>
      <c r="Y12" s="892"/>
      <c r="Z12" s="892"/>
      <c r="AA12" s="892"/>
      <c r="AB12" s="892"/>
      <c r="AC12" s="906"/>
      <c r="AD12" s="891">
        <f>IF($U$9&lt;&gt;"",IFERROR(_xlfn.IFNA(HELPER!G15/100,""),""),"")</f>
        <v>0.3</v>
      </c>
      <c r="AE12" s="892"/>
      <c r="AF12" s="892"/>
      <c r="AG12" s="892"/>
      <c r="AH12" s="892"/>
      <c r="AI12" s="892"/>
      <c r="AJ12" s="892"/>
      <c r="AK12" s="893"/>
      <c r="AL12" s="899"/>
      <c r="AM12" s="901"/>
    </row>
    <row r="13" spans="2:39" ht="14.5" customHeight="1" thickBot="1">
      <c r="B13" s="886"/>
      <c r="C13" s="887"/>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99"/>
      <c r="AM13" s="901"/>
    </row>
    <row r="14" spans="2:39">
      <c r="B14" s="874" t="s">
        <v>70</v>
      </c>
      <c r="C14" s="875"/>
      <c r="D14" s="279"/>
      <c r="E14" s="280"/>
      <c r="F14" s="281"/>
      <c r="G14" s="280"/>
      <c r="H14" s="280"/>
      <c r="I14" s="280"/>
      <c r="J14" s="280"/>
      <c r="K14" s="280"/>
      <c r="L14" s="280"/>
      <c r="M14" s="282"/>
      <c r="N14" s="309">
        <f>SUM(D14:M14)</f>
        <v>0</v>
      </c>
      <c r="O14" s="310">
        <v>100</v>
      </c>
      <c r="P14" s="311">
        <f>D12</f>
        <v>0.2</v>
      </c>
      <c r="Q14" s="279"/>
      <c r="R14" s="280"/>
      <c r="S14" s="280"/>
      <c r="T14" s="280"/>
      <c r="U14" s="280"/>
      <c r="V14" s="280"/>
      <c r="W14" s="280"/>
      <c r="X14" s="280"/>
      <c r="Y14" s="280"/>
      <c r="Z14" s="282"/>
      <c r="AA14" s="309">
        <f>SUM(Q14:Z14)</f>
        <v>0</v>
      </c>
      <c r="AB14" s="310">
        <v>100</v>
      </c>
      <c r="AC14" s="311">
        <f>Q12</f>
        <v>0.5</v>
      </c>
      <c r="AD14" s="279"/>
      <c r="AE14" s="280"/>
      <c r="AF14" s="282"/>
      <c r="AG14" s="411">
        <f>_xlfn.IFNA(HELPER!G17,"")</f>
        <v>30</v>
      </c>
      <c r="AH14" s="411">
        <f>_xlfn.IFNA(HELPER!G18,"")</f>
        <v>30</v>
      </c>
      <c r="AI14" s="411">
        <f>_xlfn.IFNA(HELPER!G19,"")</f>
        <v>40</v>
      </c>
      <c r="AJ14" s="309">
        <f>IF(AD12=0,"",100)</f>
        <v>100</v>
      </c>
      <c r="AK14" s="625">
        <f>AD12</f>
        <v>0.3</v>
      </c>
      <c r="AL14" s="899"/>
      <c r="AM14" s="901"/>
    </row>
    <row r="15" spans="2:39" ht="18">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4.5" thickBot="1">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ht="14.5" thickBot="1">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hidden="1">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hidden="1">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hidden="1">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hidden="1">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hidden="1">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hidden="1">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hidden="1">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hidden="1">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hidden="1">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hidden="1">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hidden="1">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hidden="1">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hidden="1">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hidden="1">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hidden="1">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hidden="1">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hidden="1">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hidden="1">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hidden="1">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hidden="1">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hidden="1">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hidden="1">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hidden="1">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hidden="1">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hidden="1">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hidden="1">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hidden="1">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hidden="1">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hidden="1">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hidden="1">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hidden="1">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hidden="1">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hidden="1">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hidden="1">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hidden="1">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hidden="1">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hidden="1">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hidden="1">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hidden="1">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4.5" hidden="1" thickBot="1">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4.5" thickBot="1">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7" si="12">IF(AND(C68&lt;&gt;"",P68&lt;&gt;"",AC68&lt;&gt;"",$AD$12=0),SUM(P68,AC68),IF(AND(C68&lt;&gt;"",P68&lt;&gt;"",AC68&lt;&gt;"",AK68&lt;&gt;"",$D$12&gt;0,$Q$12&gt;0,$AD$12&gt;0),SUM(P68,AC68,AK68),""))</f>
        <v/>
      </c>
      <c r="AM68" s="537" t="str">
        <f>IFERROR(_xlfn.XLOOKUP(AL68,HELPER!$C$7:$C$47,HELPER!$D$7:$D$47,,1),"")</f>
        <v/>
      </c>
    </row>
    <row r="69" spans="2:39">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hidden="1">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hidden="1">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hidden="1">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hidden="1">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hidden="1">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hidden="1">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hidden="1">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hidden="1">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hidden="1">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hidden="1">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hidden="1">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hidden="1">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hidden="1">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hidden="1">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hidden="1">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hidden="1">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hidden="1">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hidden="1">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hidden="1">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hidden="1">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hidden="1">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hidden="1">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hidden="1">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hidden="1">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hidden="1">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hidden="1">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hidden="1">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hidden="1">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hidden="1">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hidden="1">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hidden="1">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hidden="1">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hidden="1">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si="12"/>
        <v/>
      </c>
      <c r="AM115" s="327" t="str">
        <f>IFERROR(_xlfn.XLOOKUP(AL115,HELPER!$C$7:$C$47,HELPER!$D$7:$D$47,,1),"")</f>
        <v/>
      </c>
    </row>
    <row r="116" spans="2:39" hidden="1">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12"/>
        <v/>
      </c>
      <c r="AM116" s="327" t="str">
        <f>IFERROR(_xlfn.XLOOKUP(AL116,HELPER!$C$7:$C$47,HELPER!$D$7:$D$47,,1),"")</f>
        <v/>
      </c>
    </row>
    <row r="117" spans="2:39" ht="14.5" hidden="1" thickBot="1">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12"/>
        <v/>
      </c>
      <c r="AM117" s="14" t="str">
        <f>IFERROR(_xlfn.XLOOKUP(AL117,HELPER!$C$7:$C$47,HELPER!$D$7:$D$47,,1),"")</f>
        <v/>
      </c>
    </row>
    <row r="118" spans="2:39">
      <c r="B118" s="50" t="s">
        <v>179</v>
      </c>
      <c r="C118" s="50"/>
      <c r="D118" s="50" t="s">
        <v>179</v>
      </c>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t="s">
        <v>179</v>
      </c>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t="s">
        <v>179</v>
      </c>
      <c r="AE118" s="50" t="s">
        <v>179</v>
      </c>
      <c r="AF118" s="50" t="s">
        <v>179</v>
      </c>
      <c r="AG118" s="50" t="s">
        <v>179</v>
      </c>
      <c r="AH118" s="50" t="s">
        <v>179</v>
      </c>
      <c r="AI118" s="50" t="s">
        <v>179</v>
      </c>
      <c r="AJ118" s="50" t="s">
        <v>179</v>
      </c>
      <c r="AK118" s="50" t="s">
        <v>179</v>
      </c>
      <c r="AL118" s="50" t="s">
        <v>179</v>
      </c>
      <c r="AM118" s="327" t="str">
        <f>IFERROR(_xlfn.XLOOKUP(AL118,HELPER!$C$7:$C$48,HELPER!$D$7:$D$47,,1),"")</f>
        <v/>
      </c>
    </row>
    <row r="119" spans="2:39" ht="64" customHeight="1"/>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o5Kxcj62JWJdEbH6VoPKQuFxJYZsTn+p2+g/KqvJQwuMIqztU95oPqtpasyVvKwZxEoKNv990y/0wwOMOZCTUw==" saltValue="3RyrjjhlOKt0tq1blx8Djg==" spinCount="100000" sheet="1" formatCells="0" formatColumns="0" formatRows="0" autoFilter="0"/>
  <autoFilter ref="C15:C118" xr:uid="{8A1226F9-1F1C-4E6A-ADB2-85745A735187}"/>
  <mergeCells count="26">
    <mergeCell ref="H6:M6"/>
    <mergeCell ref="P6:T6"/>
    <mergeCell ref="AA6:AC6"/>
    <mergeCell ref="H7:T7"/>
    <mergeCell ref="AA7:AC7"/>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B14:C14"/>
    <mergeCell ref="D11:P11"/>
    <mergeCell ref="Q11:AC11"/>
    <mergeCell ref="AD11:AK11"/>
    <mergeCell ref="AL11:AL14"/>
    <mergeCell ref="B9:C13"/>
  </mergeCells>
  <conditionalFormatting sqref="B8:AM8">
    <cfRule type="expression" dxfId="21" priority="68">
      <formula>$B$8="INCORRECT SHEET. Do not use this sheet to input data."</formula>
    </cfRule>
  </conditionalFormatting>
  <conditionalFormatting sqref="B9:AM14">
    <cfRule type="expression" dxfId="20" priority="8">
      <formula>$B$8="INCORRECT SHEET. Do not use this sheet to input data."</formula>
    </cfRule>
  </conditionalFormatting>
  <conditionalFormatting sqref="C17:C66 AM17:AM66">
    <cfRule type="expression" dxfId="19" priority="14">
      <formula>$AM17&lt;75</formula>
    </cfRule>
  </conditionalFormatting>
  <conditionalFormatting sqref="C68:C117">
    <cfRule type="expression" dxfId="18" priority="7">
      <formula>$AM68&lt;75</formula>
    </cfRule>
  </conditionalFormatting>
  <conditionalFormatting sqref="D17:M66 D68:M117">
    <cfRule type="expression" dxfId="17" priority="18">
      <formula>D$14=""</formula>
    </cfRule>
  </conditionalFormatting>
  <conditionalFormatting sqref="N17:P66 N68:P117">
    <cfRule type="expression" dxfId="16" priority="16">
      <formula>$O17&lt;70</formula>
    </cfRule>
  </conditionalFormatting>
  <conditionalFormatting sqref="O17:O66 O68:O117">
    <cfRule type="expression" dxfId="15" priority="11">
      <formula>$O17&lt;70</formula>
    </cfRule>
  </conditionalFormatting>
  <conditionalFormatting sqref="Q17:Z66 Q68:Z117">
    <cfRule type="expression" dxfId="14" priority="17">
      <formula>Q$14=""</formula>
    </cfRule>
  </conditionalFormatting>
  <conditionalFormatting sqref="AA17:AC66 AA68:AC117">
    <cfRule type="expression" dxfId="13" priority="10">
      <formula>$AB17&lt;70</formula>
    </cfRule>
  </conditionalFormatting>
  <conditionalFormatting sqref="AB17:AB66 AB68:AB117">
    <cfRule type="expression" dxfId="12" priority="9">
      <formula>$AB17&lt;70</formula>
    </cfRule>
  </conditionalFormatting>
  <conditionalFormatting sqref="AD13:AE14">
    <cfRule type="expression" dxfId="11" priority="19">
      <formula>$AG$14=""</formula>
    </cfRule>
  </conditionalFormatting>
  <conditionalFormatting sqref="AD13:AF13">
    <cfRule type="expression" dxfId="10" priority="21">
      <formula>$AG$14&lt;&gt;""</formula>
    </cfRule>
  </conditionalFormatting>
  <conditionalFormatting sqref="AD13:AF14">
    <cfRule type="expression" dxfId="9" priority="12">
      <formula>$AD$14=0</formula>
    </cfRule>
  </conditionalFormatting>
  <conditionalFormatting sqref="AD17:AF66 AD68:AF117">
    <cfRule type="expression" dxfId="8" priority="13">
      <formula>AD$14=""</formula>
    </cfRule>
  </conditionalFormatting>
  <conditionalFormatting sqref="AD11:AK14">
    <cfRule type="expression" dxfId="7" priority="6">
      <formula>$AD$12=0</formula>
    </cfRule>
  </conditionalFormatting>
  <conditionalFormatting sqref="AF13">
    <cfRule type="expression" dxfId="6" priority="20">
      <formula>$AG$14=""</formula>
    </cfRule>
  </conditionalFormatting>
  <conditionalFormatting sqref="AJ17:AJ66">
    <cfRule type="expression" dxfId="5" priority="4">
      <formula>$AJ17&lt;70</formula>
    </cfRule>
  </conditionalFormatting>
  <conditionalFormatting sqref="AJ68:AJ117">
    <cfRule type="expression" dxfId="4" priority="2">
      <formula>$AJ68&lt;70</formula>
    </cfRule>
  </conditionalFormatting>
  <conditionalFormatting sqref="AJ17:AK66">
    <cfRule type="expression" dxfId="3" priority="5">
      <formula>$AJ17&lt;70</formula>
    </cfRule>
  </conditionalFormatting>
  <conditionalFormatting sqref="AJ68:AK117">
    <cfRule type="expression" dxfId="2" priority="3">
      <formula>$AJ68&lt;70</formula>
    </cfRule>
  </conditionalFormatting>
  <conditionalFormatting sqref="AM68:AM118">
    <cfRule type="expression" dxfId="1" priority="1">
      <formula>$AM68&lt;75</formula>
    </cfRule>
  </conditionalFormatting>
  <dataValidations count="1">
    <dataValidation type="list" allowBlank="1" showInputMessage="1" showErrorMessage="1" sqref="AD17:AF117 Q17:Z117 D17:M117" xr:uid="{A28FB3D1-B6E6-41A5-BBE8-166AEBCADC2D}">
      <formula1>_xlfn.ANCHORARRAY(D$120)</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AD0-A20F-4047-925E-046EFDAC6868}">
  <sheetPr codeName="Sheet12">
    <tabColor theme="0"/>
    <pageSetUpPr fitToPage="1"/>
  </sheetPr>
  <dimension ref="A1:L125"/>
  <sheetViews>
    <sheetView showGridLines="0" zoomScale="90" zoomScaleNormal="90" workbookViewId="0">
      <pane ySplit="15" topLeftCell="A16" activePane="bottomLeft" state="frozen"/>
      <selection activeCell="L11" sqref="L11"/>
      <selection pane="bottomLeft" activeCell="I17" sqref="I17"/>
    </sheetView>
  </sheetViews>
  <sheetFormatPr defaultColWidth="0" defaultRowHeight="14" zeroHeight="1"/>
  <cols>
    <col min="1" max="1" width="3.6328125" style="2" customWidth="1"/>
    <col min="2" max="2" width="3.6328125" style="11" customWidth="1"/>
    <col min="3" max="3" width="15.6328125" style="2" customWidth="1"/>
    <col min="4" max="4" width="32.90625" style="2" customWidth="1"/>
    <col min="5" max="9" width="15.6328125" style="2" customWidth="1"/>
    <col min="10" max="10" width="19.6328125" style="2" customWidth="1"/>
    <col min="11" max="11" width="3.6328125" style="2" customWidth="1"/>
    <col min="12" max="16384" width="9.1796875" style="2" hidden="1"/>
  </cols>
  <sheetData>
    <row r="1" spans="2:10"/>
    <row r="2" spans="2:10" ht="22.5">
      <c r="B2" s="9" t="s">
        <v>182</v>
      </c>
      <c r="C2" s="10"/>
      <c r="D2" s="10"/>
      <c r="E2" s="10"/>
      <c r="F2" s="10"/>
      <c r="G2" s="10"/>
      <c r="H2" s="10"/>
      <c r="I2" s="10"/>
      <c r="J2" s="10"/>
    </row>
    <row r="3" spans="2:10" ht="22.5">
      <c r="B3" s="9" t="s">
        <v>160</v>
      </c>
      <c r="C3" s="10"/>
      <c r="D3" s="10"/>
      <c r="E3" s="10"/>
      <c r="F3" s="10"/>
      <c r="G3" s="10"/>
      <c r="H3" s="10"/>
      <c r="I3" s="10"/>
      <c r="J3" s="10"/>
    </row>
    <row r="4" spans="2:10"/>
    <row r="5" spans="2:10">
      <c r="D5" s="51" t="s">
        <v>7</v>
      </c>
      <c r="E5" s="52" t="str">
        <f>UPPER('INPUT DATA'!F10)</f>
        <v xml:space="preserve">REGION IV-A </v>
      </c>
      <c r="F5" s="51" t="s">
        <v>10</v>
      </c>
      <c r="G5" s="45" t="str">
        <f>UPPER('INPUT DATA'!F11)</f>
        <v>CALAMBA CITY</v>
      </c>
      <c r="H5" s="51" t="s">
        <v>12</v>
      </c>
      <c r="I5" s="45">
        <f>IF('INPUT DATA'!F13="","",'INPUT DATA'!F13)</f>
        <v>301518</v>
      </c>
    </row>
    <row r="6" spans="2:10">
      <c r="D6" s="51" t="s">
        <v>14</v>
      </c>
      <c r="E6" s="908" t="str">
        <f>UPPER('INPUT DATA'!F14)</f>
        <v>EDUARDO BARRETTO SR. INTEGRATED SCHOOL</v>
      </c>
      <c r="F6" s="909"/>
      <c r="G6" s="910"/>
      <c r="H6" s="51" t="s">
        <v>16</v>
      </c>
      <c r="I6" s="45" t="str">
        <f>'INPUT DATA'!F16&amp;"    "&amp;'INPUT DATA'!G16</f>
        <v>2026    –    2027</v>
      </c>
    </row>
    <row r="7" spans="2:10"/>
    <row r="8" spans="2:10" ht="14.5" thickBot="1">
      <c r="B8" s="420"/>
      <c r="C8" s="19"/>
      <c r="D8" s="19"/>
      <c r="E8" s="19"/>
    </row>
    <row r="9" spans="2:10" ht="18.75" customHeight="1">
      <c r="B9" s="16"/>
      <c r="C9" s="541" t="s">
        <v>23</v>
      </c>
      <c r="D9" s="915">
        <f>'INPUT DATA'!F24</f>
        <v>11</v>
      </c>
      <c r="E9" s="916"/>
      <c r="F9" s="942" t="s">
        <v>32</v>
      </c>
      <c r="G9" s="928" t="str">
        <f>UPPER(HELPER!G10)</f>
        <v>GENERAL MATHEMATICS</v>
      </c>
      <c r="H9" s="928"/>
      <c r="I9" s="929"/>
      <c r="J9" s="930"/>
    </row>
    <row r="10" spans="2:10">
      <c r="B10" s="59"/>
      <c r="C10" s="542" t="s">
        <v>163</v>
      </c>
      <c r="D10" s="908" t="str">
        <f>UPPER('INPUT DATA'!F25)</f>
        <v>MILKY WAY</v>
      </c>
      <c r="E10" s="909"/>
      <c r="F10" s="943"/>
      <c r="G10" s="931"/>
      <c r="H10" s="931"/>
      <c r="I10" s="932"/>
      <c r="J10" s="933"/>
    </row>
    <row r="11" spans="2:10">
      <c r="B11" s="389"/>
      <c r="C11" s="543"/>
      <c r="D11" s="908"/>
      <c r="E11" s="909"/>
      <c r="F11" s="545" t="s">
        <v>30</v>
      </c>
      <c r="G11" s="918" t="str">
        <f>'INPUT DATA'!F29</f>
        <v>CORE</v>
      </c>
      <c r="H11" s="918"/>
      <c r="I11" s="919"/>
      <c r="J11" s="920"/>
    </row>
    <row r="12" spans="2:10" ht="15" customHeight="1">
      <c r="B12" s="59"/>
      <c r="C12" s="544" t="s">
        <v>21</v>
      </c>
      <c r="D12" s="938" t="str">
        <f>UPPER('INPUT DATA'!F22)</f>
        <v>KAREN P. GONZAGA</v>
      </c>
      <c r="E12" s="939"/>
      <c r="F12" s="570" t="s">
        <v>183</v>
      </c>
      <c r="G12" s="946" t="s">
        <v>184</v>
      </c>
      <c r="H12" s="946"/>
      <c r="I12" s="571" t="s">
        <v>38</v>
      </c>
      <c r="J12" s="572" t="s">
        <v>185</v>
      </c>
    </row>
    <row r="13" spans="2:10" ht="27.75" customHeight="1" thickBot="1">
      <c r="B13" s="58"/>
      <c r="C13" s="77"/>
      <c r="D13" s="940"/>
      <c r="E13" s="941"/>
      <c r="F13" s="43">
        <f>HELPER!G22</f>
        <v>3</v>
      </c>
      <c r="G13" s="947" t="str">
        <f>IFERROR(IF(F13&lt;&gt;0,HELPER!G23,""),"")</f>
        <v>1ST, 2ND, 3RD</v>
      </c>
      <c r="H13" s="947"/>
      <c r="I13" s="15">
        <f>HELPER!G27</f>
        <v>2</v>
      </c>
      <c r="J13" s="14">
        <f>IFERROR(HELPER!G28,"")</f>
        <v>6</v>
      </c>
    </row>
    <row r="14" spans="2:10">
      <c r="B14" s="921" t="s">
        <v>43</v>
      </c>
      <c r="C14" s="922"/>
      <c r="D14" s="934"/>
      <c r="E14" s="921" t="s">
        <v>186</v>
      </c>
      <c r="F14" s="922"/>
      <c r="G14" s="923"/>
      <c r="H14" s="924" t="s">
        <v>187</v>
      </c>
      <c r="I14" s="944" t="s">
        <v>188</v>
      </c>
      <c r="J14" s="926" t="s">
        <v>189</v>
      </c>
    </row>
    <row r="15" spans="2:10" ht="15" customHeight="1" thickBot="1">
      <c r="B15" s="935"/>
      <c r="C15" s="936"/>
      <c r="D15" s="937"/>
      <c r="E15" s="43" t="s">
        <v>190</v>
      </c>
      <c r="F15" s="15" t="s">
        <v>191</v>
      </c>
      <c r="G15" s="14" t="s">
        <v>192</v>
      </c>
      <c r="H15" s="925"/>
      <c r="I15" s="945"/>
      <c r="J15" s="927"/>
    </row>
    <row r="16" spans="2:10">
      <c r="B16" s="57" t="s">
        <v>193</v>
      </c>
      <c r="C16" s="60"/>
      <c r="D16" s="61"/>
      <c r="E16" s="574">
        <f>IF(COUNTIF('FINAL GRADES'!$G$13,"*1ST*"),1,0)</f>
        <v>1</v>
      </c>
      <c r="F16" s="575">
        <f>IF(COUNTIF('FINAL GRADES'!$G$13,"*2ND*"),1,0)</f>
        <v>1</v>
      </c>
      <c r="G16" s="576">
        <f>IF(COUNTIF('FINAL GRADES'!$G$13,"*3RD*"),1,0)</f>
        <v>1</v>
      </c>
      <c r="H16" s="70"/>
      <c r="I16" s="67"/>
      <c r="J16" s="67"/>
    </row>
    <row r="17" spans="2:12" ht="15.5">
      <c r="B17" s="12">
        <v>1</v>
      </c>
      <c r="C17" s="62" t="str">
        <f>UPPER(IF('INPUT DATA'!N11="","",'INPUT DATA'!N11))</f>
        <v/>
      </c>
      <c r="D17" s="578" t="str">
        <f>UPPER(IF('INPUT DATA'!O11="","",'INPUT DATA'!O11))</f>
        <v/>
      </c>
      <c r="E17" s="64" t="str">
        <f>IF(E$16=1,IF(AND($C17&lt;&gt;"",'Term 1'!$AM17&lt;&gt;""),'Term 1'!$AM17,""),"")</f>
        <v/>
      </c>
      <c r="F17" s="64" t="str">
        <f>IF(F$16=1,IF(AND($C17&lt;&gt;"",'Term 2'!$AM17&lt;&gt;""),'Term 2'!$AM17,""),"")</f>
        <v/>
      </c>
      <c r="G17" s="64" t="str">
        <f>IF(G$16=1,IF(AND($C17&lt;&gt;"",'Term 3'!$AM17&lt;&gt;""),'Term 3'!$AM17,""),"")</f>
        <v/>
      </c>
      <c r="H17" s="573" t="str">
        <f>IF(OR(C17="",COUNT(E17:G17)&lt;&gt;$F$13),"",ROUND((SUM(E17:G17)*$I$13)/$J$13,0))</f>
        <v/>
      </c>
      <c r="I17" s="568" t="str">
        <f>IF(H17="","",_xlfn.XLOOKUP(H17,HELPER!$AG$7:$AG$47,HELPER!$AH$7:$AH$47))</f>
        <v/>
      </c>
      <c r="J17" s="68" t="str">
        <f>IF(H17="","",IF(H17&gt;=75,"PASSED","FAILED"))</f>
        <v/>
      </c>
      <c r="L17" s="17"/>
    </row>
    <row r="18" spans="2:12" ht="15.5">
      <c r="B18" s="12">
        <v>2</v>
      </c>
      <c r="C18" s="62" t="str">
        <f>UPPER(IF('INPUT DATA'!N12="","",'INPUT DATA'!N12))</f>
        <v/>
      </c>
      <c r="D18" s="578" t="str">
        <f>UPPER(IF('INPUT DATA'!O12="","",'INPUT DATA'!O12))</f>
        <v/>
      </c>
      <c r="E18" s="64" t="str">
        <f>IF(E$16=1,IF(AND($C18&lt;&gt;"",'Term 1'!$AM18&lt;&gt;""),'Term 1'!$AM18,""),"")</f>
        <v/>
      </c>
      <c r="F18" s="64" t="str">
        <f>IF(F$16=1,IF(AND($C18&lt;&gt;"",'Term 2'!$AM18&lt;&gt;""),'Term 2'!$AM18,""),"")</f>
        <v/>
      </c>
      <c r="G18" s="64" t="str">
        <f>IF(G$16=1,IF(AND($C18&lt;&gt;"",'Term 3'!$AM18&lt;&gt;""),'Term 3'!$AM18,""),"")</f>
        <v/>
      </c>
      <c r="H18" s="573" t="str">
        <f t="shared" ref="H18:H66" si="0">IF(OR(C18="",COUNT(E18:G18)&lt;&gt;$F$13),"",ROUND((SUM(E18:G18)*$I$13)/$J$13,0))</f>
        <v/>
      </c>
      <c r="I18" s="568" t="str">
        <f>IF(H18="","",_xlfn.XLOOKUP(H18,HELPER!$AG$7:$AG$47,HELPER!$AH$7:$AH$47))</f>
        <v/>
      </c>
      <c r="J18" s="68" t="str">
        <f t="shared" ref="J18:J66" si="1">IF(H18="","",IF(H18&gt;=75,"PASSED","FAILED"))</f>
        <v/>
      </c>
    </row>
    <row r="19" spans="2:12" ht="15.5">
      <c r="B19" s="12">
        <v>3</v>
      </c>
      <c r="C19" s="62" t="str">
        <f>UPPER(IF('INPUT DATA'!N13="","",'INPUT DATA'!N13))</f>
        <v/>
      </c>
      <c r="D19" s="578" t="str">
        <f>UPPER(IF('INPUT DATA'!O13="","",'INPUT DATA'!O13))</f>
        <v/>
      </c>
      <c r="E19" s="64" t="str">
        <f>IF(E$16=1,IF(AND($C19&lt;&gt;"",'Term 1'!$AM19&lt;&gt;""),'Term 1'!$AM19,""),"")</f>
        <v/>
      </c>
      <c r="F19" s="64" t="str">
        <f>IF(F$16=1,IF(AND($C19&lt;&gt;"",'Term 2'!$AM19&lt;&gt;""),'Term 2'!$AM19,""),"")</f>
        <v/>
      </c>
      <c r="G19" s="64" t="str">
        <f>IF(G$16=1,IF(AND($C19&lt;&gt;"",'Term 3'!$AM19&lt;&gt;""),'Term 3'!$AM19,""),"")</f>
        <v/>
      </c>
      <c r="H19" s="573" t="str">
        <f t="shared" si="0"/>
        <v/>
      </c>
      <c r="I19" s="568" t="str">
        <f>IF(H19="","",_xlfn.XLOOKUP(H19,HELPER!$AG$7:$AG$47,HELPER!$AH$7:$AH$47))</f>
        <v/>
      </c>
      <c r="J19" s="68" t="str">
        <f t="shared" si="1"/>
        <v/>
      </c>
    </row>
    <row r="20" spans="2:12" ht="15.5">
      <c r="B20" s="12">
        <v>4</v>
      </c>
      <c r="C20" s="62" t="str">
        <f>UPPER(IF('INPUT DATA'!N14="","",'INPUT DATA'!N14))</f>
        <v/>
      </c>
      <c r="D20" s="578" t="str">
        <f>UPPER(IF('INPUT DATA'!O14="","",'INPUT DATA'!O14))</f>
        <v/>
      </c>
      <c r="E20" s="64" t="str">
        <f>IF(E$16=1,IF(AND($C20&lt;&gt;"",'Term 1'!$AM20&lt;&gt;""),'Term 1'!$AM20,""),"")</f>
        <v/>
      </c>
      <c r="F20" s="64" t="str">
        <f>IF(F$16=1,IF(AND($C20&lt;&gt;"",'Term 2'!$AM20&lt;&gt;""),'Term 2'!$AM20,""),"")</f>
        <v/>
      </c>
      <c r="G20" s="64" t="str">
        <f>IF(G$16=1,IF(AND($C20&lt;&gt;"",'Term 3'!$AM20&lt;&gt;""),'Term 3'!$AM20,""),"")</f>
        <v/>
      </c>
      <c r="H20" s="573" t="str">
        <f t="shared" si="0"/>
        <v/>
      </c>
      <c r="I20" s="568" t="str">
        <f>IF(H20="","",_xlfn.XLOOKUP(H20,HELPER!$AG$7:$AG$47,HELPER!$AH$7:$AH$47))</f>
        <v/>
      </c>
      <c r="J20" s="68" t="str">
        <f t="shared" si="1"/>
        <v/>
      </c>
    </row>
    <row r="21" spans="2:12" ht="15.5">
      <c r="B21" s="12">
        <v>5</v>
      </c>
      <c r="C21" s="62" t="str">
        <f>UPPER(IF('INPUT DATA'!N15="","",'INPUT DATA'!N15))</f>
        <v/>
      </c>
      <c r="D21" s="578" t="str">
        <f>UPPER(IF('INPUT DATA'!O15="","",'INPUT DATA'!O15))</f>
        <v/>
      </c>
      <c r="E21" s="64" t="str">
        <f>IF(E$16=1,IF(AND($C21&lt;&gt;"",'Term 1'!$AM21&lt;&gt;""),'Term 1'!$AM21,""),"")</f>
        <v/>
      </c>
      <c r="F21" s="64" t="str">
        <f>IF(F$16=1,IF(AND($C21&lt;&gt;"",'Term 2'!$AM21&lt;&gt;""),'Term 2'!$AM21,""),"")</f>
        <v/>
      </c>
      <c r="G21" s="64" t="str">
        <f>IF(G$16=1,IF(AND($C21&lt;&gt;"",'Term 3'!$AM21&lt;&gt;""),'Term 3'!$AM21,""),"")</f>
        <v/>
      </c>
      <c r="H21" s="573" t="str">
        <f t="shared" si="0"/>
        <v/>
      </c>
      <c r="I21" s="568" t="str">
        <f>IF(H21="","",_xlfn.XLOOKUP(H21,HELPER!$AG$7:$AG$47,HELPER!$AH$7:$AH$47))</f>
        <v/>
      </c>
      <c r="J21" s="68" t="str">
        <f t="shared" si="1"/>
        <v/>
      </c>
    </row>
    <row r="22" spans="2:12" ht="15.5">
      <c r="B22" s="12">
        <v>6</v>
      </c>
      <c r="C22" s="62" t="str">
        <f>UPPER(IF('INPUT DATA'!N16="","",'INPUT DATA'!N16))</f>
        <v/>
      </c>
      <c r="D22" s="578" t="str">
        <f>UPPER(IF('INPUT DATA'!O16="","",'INPUT DATA'!O16))</f>
        <v/>
      </c>
      <c r="E22" s="64" t="str">
        <f>IF(E$16=1,IF(AND($C22&lt;&gt;"",'Term 1'!$AM22&lt;&gt;""),'Term 1'!$AM22,""),"")</f>
        <v/>
      </c>
      <c r="F22" s="64" t="str">
        <f>IF(F$16=1,IF(AND($C22&lt;&gt;"",'Term 2'!$AM22&lt;&gt;""),'Term 2'!$AM22,""),"")</f>
        <v/>
      </c>
      <c r="G22" s="64" t="str">
        <f>IF(G$16=1,IF(AND($C22&lt;&gt;"",'Term 3'!$AM22&lt;&gt;""),'Term 3'!$AM22,""),"")</f>
        <v/>
      </c>
      <c r="H22" s="573" t="str">
        <f t="shared" si="0"/>
        <v/>
      </c>
      <c r="I22" s="568" t="str">
        <f>IF(H22="","",_xlfn.XLOOKUP(H22,HELPER!$AG$7:$AG$47,HELPER!$AH$7:$AH$47))</f>
        <v/>
      </c>
      <c r="J22" s="68" t="str">
        <f t="shared" si="1"/>
        <v/>
      </c>
    </row>
    <row r="23" spans="2:12" ht="15.5">
      <c r="B23" s="12">
        <v>7</v>
      </c>
      <c r="C23" s="62" t="str">
        <f>UPPER(IF('INPUT DATA'!N17="","",'INPUT DATA'!N17))</f>
        <v/>
      </c>
      <c r="D23" s="578" t="str">
        <f>UPPER(IF('INPUT DATA'!O17="","",'INPUT DATA'!O17))</f>
        <v/>
      </c>
      <c r="E23" s="64" t="str">
        <f>IF(E$16=1,IF(AND($C23&lt;&gt;"",'Term 1'!$AM23&lt;&gt;""),'Term 1'!$AM23,""),"")</f>
        <v/>
      </c>
      <c r="F23" s="64" t="str">
        <f>IF(F$16=1,IF(AND($C23&lt;&gt;"",'Term 2'!$AM23&lt;&gt;""),'Term 2'!$AM23,""),"")</f>
        <v/>
      </c>
      <c r="G23" s="64" t="str">
        <f>IF(G$16=1,IF(AND($C23&lt;&gt;"",'Term 3'!$AM23&lt;&gt;""),'Term 3'!$AM23,""),"")</f>
        <v/>
      </c>
      <c r="H23" s="573" t="str">
        <f t="shared" si="0"/>
        <v/>
      </c>
      <c r="I23" s="568" t="str">
        <f>IF(H23="","",_xlfn.XLOOKUP(H23,HELPER!$AG$7:$AG$47,HELPER!$AH$7:$AH$47))</f>
        <v/>
      </c>
      <c r="J23" s="68" t="str">
        <f t="shared" si="1"/>
        <v/>
      </c>
    </row>
    <row r="24" spans="2:12" ht="15.5">
      <c r="B24" s="12">
        <v>8</v>
      </c>
      <c r="C24" s="62" t="str">
        <f>UPPER(IF('INPUT DATA'!N18="","",'INPUT DATA'!N18))</f>
        <v/>
      </c>
      <c r="D24" s="578" t="str">
        <f>UPPER(IF('INPUT DATA'!O18="","",'INPUT DATA'!O18))</f>
        <v/>
      </c>
      <c r="E24" s="64" t="str">
        <f>IF(E$16=1,IF(AND($C24&lt;&gt;"",'Term 1'!$AM24&lt;&gt;""),'Term 1'!$AM24,""),"")</f>
        <v/>
      </c>
      <c r="F24" s="64" t="str">
        <f>IF(F$16=1,IF(AND($C24&lt;&gt;"",'Term 2'!$AM24&lt;&gt;""),'Term 2'!$AM24,""),"")</f>
        <v/>
      </c>
      <c r="G24" s="64" t="str">
        <f>IF(G$16=1,IF(AND($C24&lt;&gt;"",'Term 3'!$AM24&lt;&gt;""),'Term 3'!$AM24,""),"")</f>
        <v/>
      </c>
      <c r="H24" s="573" t="str">
        <f t="shared" si="0"/>
        <v/>
      </c>
      <c r="I24" s="568" t="str">
        <f>IF(H24="","",_xlfn.XLOOKUP(H24,HELPER!$AG$7:$AG$47,HELPER!$AH$7:$AH$47))</f>
        <v/>
      </c>
      <c r="J24" s="68" t="str">
        <f t="shared" si="1"/>
        <v/>
      </c>
    </row>
    <row r="25" spans="2:12" ht="15.5">
      <c r="B25" s="12">
        <v>9</v>
      </c>
      <c r="C25" s="62" t="str">
        <f>UPPER(IF('INPUT DATA'!N19="","",'INPUT DATA'!N19))</f>
        <v/>
      </c>
      <c r="D25" s="578" t="str">
        <f>UPPER(IF('INPUT DATA'!O19="","",'INPUT DATA'!O19))</f>
        <v/>
      </c>
      <c r="E25" s="64" t="str">
        <f>IF(E$16=1,IF(AND($C25&lt;&gt;"",'Term 1'!$AM25&lt;&gt;""),'Term 1'!$AM25,""),"")</f>
        <v/>
      </c>
      <c r="F25" s="64" t="str">
        <f>IF(F$16=1,IF(AND($C25&lt;&gt;"",'Term 2'!$AM25&lt;&gt;""),'Term 2'!$AM25,""),"")</f>
        <v/>
      </c>
      <c r="G25" s="64" t="str">
        <f>IF(G$16=1,IF(AND($C25&lt;&gt;"",'Term 3'!$AM25&lt;&gt;""),'Term 3'!$AM25,""),"")</f>
        <v/>
      </c>
      <c r="H25" s="573" t="str">
        <f t="shared" si="0"/>
        <v/>
      </c>
      <c r="I25" s="568" t="str">
        <f>IF(H25="","",_xlfn.XLOOKUP(H25,HELPER!$AG$7:$AG$47,HELPER!$AH$7:$AH$47))</f>
        <v/>
      </c>
      <c r="J25" s="68" t="str">
        <f t="shared" si="1"/>
        <v/>
      </c>
    </row>
    <row r="26" spans="2:12" ht="15.5" hidden="1">
      <c r="B26" s="12">
        <v>10</v>
      </c>
      <c r="C26" s="62" t="str">
        <f>UPPER(IF('INPUT DATA'!N20="","",'INPUT DATA'!N20))</f>
        <v/>
      </c>
      <c r="D26" s="578" t="str">
        <f>UPPER(IF('INPUT DATA'!O20="","",'INPUT DATA'!O20))</f>
        <v/>
      </c>
      <c r="E26" s="64" t="str">
        <f>IF(E$16=1,IF(AND($C26&lt;&gt;"",'Term 1'!$AM26&lt;&gt;""),'Term 1'!$AM26,""),"")</f>
        <v/>
      </c>
      <c r="F26" s="64" t="str">
        <f>IF(F$16=1,IF(AND($C26&lt;&gt;"",'Term 2'!$AM26&lt;&gt;""),'Term 2'!$AM26,""),"")</f>
        <v/>
      </c>
      <c r="G26" s="64" t="str">
        <f>IF(G$16=1,IF(AND($C26&lt;&gt;"",'Term 3'!$AM26&lt;&gt;""),'Term 3'!$AM26,""),"")</f>
        <v/>
      </c>
      <c r="H26" s="573" t="str">
        <f t="shared" si="0"/>
        <v/>
      </c>
      <c r="I26" s="568" t="str">
        <f>IF(H26="","",_xlfn.XLOOKUP(H26,HELPER!$AG$7:$AG$47,HELPER!$AH$7:$AH$47))</f>
        <v/>
      </c>
      <c r="J26" s="68" t="str">
        <f t="shared" si="1"/>
        <v/>
      </c>
    </row>
    <row r="27" spans="2:12" ht="15.5" hidden="1">
      <c r="B27" s="12">
        <v>11</v>
      </c>
      <c r="C27" s="62" t="str">
        <f>UPPER(IF('INPUT DATA'!N21="","",'INPUT DATA'!N21))</f>
        <v/>
      </c>
      <c r="D27" s="578" t="str">
        <f>UPPER(IF('INPUT DATA'!O21="","",'INPUT DATA'!O21))</f>
        <v/>
      </c>
      <c r="E27" s="64" t="str">
        <f>IF(E$16=1,IF(AND($C27&lt;&gt;"",'Term 1'!$AM27&lt;&gt;""),'Term 1'!$AM27,""),"")</f>
        <v/>
      </c>
      <c r="F27" s="64" t="str">
        <f>IF(F$16=1,IF(AND($C27&lt;&gt;"",'Term 2'!$AM27&lt;&gt;""),'Term 2'!$AM27,""),"")</f>
        <v/>
      </c>
      <c r="G27" s="64" t="str">
        <f>IF(G$16=1,IF(AND($C27&lt;&gt;"",'Term 3'!$AM27&lt;&gt;""),'Term 3'!$AM27,""),"")</f>
        <v/>
      </c>
      <c r="H27" s="573" t="str">
        <f t="shared" si="0"/>
        <v/>
      </c>
      <c r="I27" s="568" t="str">
        <f>IF(H27="","",_xlfn.XLOOKUP(H27,HELPER!$AG$7:$AG$47,HELPER!$AH$7:$AH$47))</f>
        <v/>
      </c>
      <c r="J27" s="68" t="str">
        <f t="shared" si="1"/>
        <v/>
      </c>
    </row>
    <row r="28" spans="2:12" ht="15.5" hidden="1">
      <c r="B28" s="12">
        <v>12</v>
      </c>
      <c r="C28" s="62" t="str">
        <f>UPPER(IF('INPUT DATA'!N22="","",'INPUT DATA'!N22))</f>
        <v/>
      </c>
      <c r="D28" s="578" t="str">
        <f>UPPER(IF('INPUT DATA'!O22="","",'INPUT DATA'!O22))</f>
        <v/>
      </c>
      <c r="E28" s="64" t="str">
        <f>IF(E$16=1,IF(AND($C28&lt;&gt;"",'Term 1'!$AM28&lt;&gt;""),'Term 1'!$AM28,""),"")</f>
        <v/>
      </c>
      <c r="F28" s="64" t="str">
        <f>IF(F$16=1,IF(AND($C28&lt;&gt;"",'Term 2'!$AM28&lt;&gt;""),'Term 2'!$AM28,""),"")</f>
        <v/>
      </c>
      <c r="G28" s="64" t="str">
        <f>IF(G$16=1,IF(AND($C28&lt;&gt;"",'Term 3'!$AM28&lt;&gt;""),'Term 3'!$AM28,""),"")</f>
        <v/>
      </c>
      <c r="H28" s="573" t="str">
        <f t="shared" si="0"/>
        <v/>
      </c>
      <c r="I28" s="568" t="str">
        <f>IF(H28="","",_xlfn.XLOOKUP(H28,HELPER!$AG$7:$AG$47,HELPER!$AH$7:$AH$47))</f>
        <v/>
      </c>
      <c r="J28" s="68" t="str">
        <f t="shared" si="1"/>
        <v/>
      </c>
    </row>
    <row r="29" spans="2:12" ht="15.5" hidden="1">
      <c r="B29" s="12">
        <v>13</v>
      </c>
      <c r="C29" s="62" t="str">
        <f>UPPER(IF('INPUT DATA'!N23="","",'INPUT DATA'!N23))</f>
        <v/>
      </c>
      <c r="D29" s="578" t="str">
        <f>UPPER(IF('INPUT DATA'!O23="","",'INPUT DATA'!O23))</f>
        <v/>
      </c>
      <c r="E29" s="64" t="str">
        <f>IF(E$16=1,IF(AND($C29&lt;&gt;"",'Term 1'!$AM29&lt;&gt;""),'Term 1'!$AM29,""),"")</f>
        <v/>
      </c>
      <c r="F29" s="64" t="str">
        <f>IF(F$16=1,IF(AND($C29&lt;&gt;"",'Term 2'!$AM29&lt;&gt;""),'Term 2'!$AM29,""),"")</f>
        <v/>
      </c>
      <c r="G29" s="64" t="str">
        <f>IF(G$16=1,IF(AND($C29&lt;&gt;"",'Term 3'!$AM29&lt;&gt;""),'Term 3'!$AM29,""),"")</f>
        <v/>
      </c>
      <c r="H29" s="573" t="str">
        <f t="shared" si="0"/>
        <v/>
      </c>
      <c r="I29" s="568" t="str">
        <f>IF(H29="","",_xlfn.XLOOKUP(H29,HELPER!$AG$7:$AG$47,HELPER!$AH$7:$AH$47))</f>
        <v/>
      </c>
      <c r="J29" s="68" t="str">
        <f t="shared" si="1"/>
        <v/>
      </c>
    </row>
    <row r="30" spans="2:12" ht="15.5" hidden="1">
      <c r="B30" s="12">
        <v>14</v>
      </c>
      <c r="C30" s="62" t="str">
        <f>UPPER(IF('INPUT DATA'!N24="","",'INPUT DATA'!N24))</f>
        <v/>
      </c>
      <c r="D30" s="578" t="str">
        <f>UPPER(IF('INPUT DATA'!O24="","",'INPUT DATA'!O24))</f>
        <v/>
      </c>
      <c r="E30" s="64" t="str">
        <f>IF(E$16=1,IF(AND($C30&lt;&gt;"",'Term 1'!$AM30&lt;&gt;""),'Term 1'!$AM30,""),"")</f>
        <v/>
      </c>
      <c r="F30" s="64" t="str">
        <f>IF(F$16=1,IF(AND($C30&lt;&gt;"",'Term 2'!$AM30&lt;&gt;""),'Term 2'!$AM30,""),"")</f>
        <v/>
      </c>
      <c r="G30" s="64" t="str">
        <f>IF(G$16=1,IF(AND($C30&lt;&gt;"",'Term 3'!$AM30&lt;&gt;""),'Term 3'!$AM30,""),"")</f>
        <v/>
      </c>
      <c r="H30" s="573" t="str">
        <f t="shared" si="0"/>
        <v/>
      </c>
      <c r="I30" s="568" t="str">
        <f>IF(H30="","",_xlfn.XLOOKUP(H30,HELPER!$AG$7:$AG$47,HELPER!$AH$7:$AH$47))</f>
        <v/>
      </c>
      <c r="J30" s="68" t="str">
        <f t="shared" si="1"/>
        <v/>
      </c>
    </row>
    <row r="31" spans="2:12" ht="15.5" hidden="1">
      <c r="B31" s="12">
        <v>15</v>
      </c>
      <c r="C31" s="62" t="str">
        <f>UPPER(IF('INPUT DATA'!N25="","",'INPUT DATA'!N25))</f>
        <v/>
      </c>
      <c r="D31" s="578" t="str">
        <f>UPPER(IF('INPUT DATA'!O25="","",'INPUT DATA'!O25))</f>
        <v/>
      </c>
      <c r="E31" s="64" t="str">
        <f>IF(E$16=1,IF(AND($C31&lt;&gt;"",'Term 1'!$AM31&lt;&gt;""),'Term 1'!$AM31,""),"")</f>
        <v/>
      </c>
      <c r="F31" s="64" t="str">
        <f>IF(F$16=1,IF(AND($C31&lt;&gt;"",'Term 2'!$AM31&lt;&gt;""),'Term 2'!$AM31,""),"")</f>
        <v/>
      </c>
      <c r="G31" s="64" t="str">
        <f>IF(G$16=1,IF(AND($C31&lt;&gt;"",'Term 3'!$AM31&lt;&gt;""),'Term 3'!$AM31,""),"")</f>
        <v/>
      </c>
      <c r="H31" s="573" t="str">
        <f t="shared" si="0"/>
        <v/>
      </c>
      <c r="I31" s="568" t="str">
        <f>IF(H31="","",_xlfn.XLOOKUP(H31,HELPER!$AG$7:$AG$47,HELPER!$AH$7:$AH$47))</f>
        <v/>
      </c>
      <c r="J31" s="68" t="str">
        <f t="shared" si="1"/>
        <v/>
      </c>
    </row>
    <row r="32" spans="2:12" ht="15.5" hidden="1">
      <c r="B32" s="12">
        <v>16</v>
      </c>
      <c r="C32" s="62" t="str">
        <f>UPPER(IF('INPUT DATA'!N26="","",'INPUT DATA'!N26))</f>
        <v/>
      </c>
      <c r="D32" s="578" t="str">
        <f>UPPER(IF('INPUT DATA'!O26="","",'INPUT DATA'!O26))</f>
        <v/>
      </c>
      <c r="E32" s="64" t="str">
        <f>IF(E$16=1,IF(AND($C32&lt;&gt;"",'Term 1'!$AM32&lt;&gt;""),'Term 1'!$AM32,""),"")</f>
        <v/>
      </c>
      <c r="F32" s="64" t="str">
        <f>IF(F$16=1,IF(AND($C32&lt;&gt;"",'Term 2'!$AM32&lt;&gt;""),'Term 2'!$AM32,""),"")</f>
        <v/>
      </c>
      <c r="G32" s="64" t="str">
        <f>IF(G$16=1,IF(AND($C32&lt;&gt;"",'Term 3'!$AM32&lt;&gt;""),'Term 3'!$AM32,""),"")</f>
        <v/>
      </c>
      <c r="H32" s="573" t="str">
        <f t="shared" si="0"/>
        <v/>
      </c>
      <c r="I32" s="568" t="str">
        <f>IF(H32="","",_xlfn.XLOOKUP(H32,HELPER!$AG$7:$AG$47,HELPER!$AH$7:$AH$47))</f>
        <v/>
      </c>
      <c r="J32" s="68" t="str">
        <f t="shared" si="1"/>
        <v/>
      </c>
    </row>
    <row r="33" spans="2:10" ht="15.5" hidden="1">
      <c r="B33" s="12">
        <v>17</v>
      </c>
      <c r="C33" s="62" t="str">
        <f>UPPER(IF('INPUT DATA'!N27="","",'INPUT DATA'!N27))</f>
        <v/>
      </c>
      <c r="D33" s="578" t="str">
        <f>UPPER(IF('INPUT DATA'!O27="","",'INPUT DATA'!O27))</f>
        <v/>
      </c>
      <c r="E33" s="64" t="str">
        <f>IF(E$16=1,IF(AND($C33&lt;&gt;"",'Term 1'!$AM33&lt;&gt;""),'Term 1'!$AM33,""),"")</f>
        <v/>
      </c>
      <c r="F33" s="64" t="str">
        <f>IF(F$16=1,IF(AND($C33&lt;&gt;"",'Term 2'!$AM33&lt;&gt;""),'Term 2'!$AM33,""),"")</f>
        <v/>
      </c>
      <c r="G33" s="64" t="str">
        <f>IF(G$16=1,IF(AND($C33&lt;&gt;"",'Term 3'!$AM33&lt;&gt;""),'Term 3'!$AM33,""),"")</f>
        <v/>
      </c>
      <c r="H33" s="573" t="str">
        <f t="shared" si="0"/>
        <v/>
      </c>
      <c r="I33" s="568" t="str">
        <f>IF(H33="","",_xlfn.XLOOKUP(H33,HELPER!$AG$7:$AG$47,HELPER!$AH$7:$AH$47))</f>
        <v/>
      </c>
      <c r="J33" s="68" t="str">
        <f t="shared" si="1"/>
        <v/>
      </c>
    </row>
    <row r="34" spans="2:10" ht="15.5" hidden="1">
      <c r="B34" s="12">
        <v>18</v>
      </c>
      <c r="C34" s="62" t="str">
        <f>UPPER(IF('INPUT DATA'!N28="","",'INPUT DATA'!N28))</f>
        <v/>
      </c>
      <c r="D34" s="578" t="str">
        <f>UPPER(IF('INPUT DATA'!O28="","",'INPUT DATA'!O28))</f>
        <v/>
      </c>
      <c r="E34" s="64" t="str">
        <f>IF(E$16=1,IF(AND($C34&lt;&gt;"",'Term 1'!$AM34&lt;&gt;""),'Term 1'!$AM34,""),"")</f>
        <v/>
      </c>
      <c r="F34" s="64" t="str">
        <f>IF(F$16=1,IF(AND($C34&lt;&gt;"",'Term 2'!$AM34&lt;&gt;""),'Term 2'!$AM34,""),"")</f>
        <v/>
      </c>
      <c r="G34" s="64" t="str">
        <f>IF(G$16=1,IF(AND($C34&lt;&gt;"",'Term 3'!$AM34&lt;&gt;""),'Term 3'!$AM34,""),"")</f>
        <v/>
      </c>
      <c r="H34" s="573" t="str">
        <f t="shared" si="0"/>
        <v/>
      </c>
      <c r="I34" s="568" t="str">
        <f>IF(H34="","",_xlfn.XLOOKUP(H34,HELPER!$AG$7:$AG$47,HELPER!$AH$7:$AH$47))</f>
        <v/>
      </c>
      <c r="J34" s="68" t="str">
        <f t="shared" si="1"/>
        <v/>
      </c>
    </row>
    <row r="35" spans="2:10" ht="15.5" hidden="1">
      <c r="B35" s="12">
        <v>19</v>
      </c>
      <c r="C35" s="62" t="str">
        <f>UPPER(IF('INPUT DATA'!N29="","",'INPUT DATA'!N29))</f>
        <v/>
      </c>
      <c r="D35" s="578" t="str">
        <f>UPPER(IF('INPUT DATA'!O29="","",'INPUT DATA'!O29))</f>
        <v/>
      </c>
      <c r="E35" s="64" t="str">
        <f>IF(E$16=1,IF(AND($C35&lt;&gt;"",'Term 1'!$AM35&lt;&gt;""),'Term 1'!$AM35,""),"")</f>
        <v/>
      </c>
      <c r="F35" s="64" t="str">
        <f>IF(F$16=1,IF(AND($C35&lt;&gt;"",'Term 2'!$AM35&lt;&gt;""),'Term 2'!$AM35,""),"")</f>
        <v/>
      </c>
      <c r="G35" s="64" t="str">
        <f>IF(G$16=1,IF(AND($C35&lt;&gt;"",'Term 3'!$AM35&lt;&gt;""),'Term 3'!$AM35,""),"")</f>
        <v/>
      </c>
      <c r="H35" s="573" t="str">
        <f t="shared" si="0"/>
        <v/>
      </c>
      <c r="I35" s="568" t="str">
        <f>IF(H35="","",_xlfn.XLOOKUP(H35,HELPER!$AG$7:$AG$47,HELPER!$AH$7:$AH$47))</f>
        <v/>
      </c>
      <c r="J35" s="68" t="str">
        <f t="shared" si="1"/>
        <v/>
      </c>
    </row>
    <row r="36" spans="2:10" ht="15.5" hidden="1">
      <c r="B36" s="12">
        <v>20</v>
      </c>
      <c r="C36" s="62" t="str">
        <f>UPPER(IF('INPUT DATA'!N30="","",'INPUT DATA'!N30))</f>
        <v/>
      </c>
      <c r="D36" s="578" t="str">
        <f>UPPER(IF('INPUT DATA'!O30="","",'INPUT DATA'!O30))</f>
        <v/>
      </c>
      <c r="E36" s="64" t="str">
        <f>IF(E$16=1,IF(AND($C36&lt;&gt;"",'Term 1'!$AM36&lt;&gt;""),'Term 1'!$AM36,""),"")</f>
        <v/>
      </c>
      <c r="F36" s="64" t="str">
        <f>IF(F$16=1,IF(AND($C36&lt;&gt;"",'Term 2'!$AM36&lt;&gt;""),'Term 2'!$AM36,""),"")</f>
        <v/>
      </c>
      <c r="G36" s="64" t="str">
        <f>IF(G$16=1,IF(AND($C36&lt;&gt;"",'Term 3'!$AM36&lt;&gt;""),'Term 3'!$AM36,""),"")</f>
        <v/>
      </c>
      <c r="H36" s="573" t="str">
        <f t="shared" si="0"/>
        <v/>
      </c>
      <c r="I36" s="568" t="str">
        <f>IF(H36="","",_xlfn.XLOOKUP(H36,HELPER!$AG$7:$AG$47,HELPER!$AH$7:$AH$47))</f>
        <v/>
      </c>
      <c r="J36" s="68" t="str">
        <f t="shared" si="1"/>
        <v/>
      </c>
    </row>
    <row r="37" spans="2:10" ht="15.5" hidden="1">
      <c r="B37" s="12">
        <v>21</v>
      </c>
      <c r="C37" s="62" t="str">
        <f>UPPER(IF('INPUT DATA'!N31="","",'INPUT DATA'!N31))</f>
        <v/>
      </c>
      <c r="D37" s="578" t="str">
        <f>UPPER(IF('INPUT DATA'!O31="","",'INPUT DATA'!O31))</f>
        <v/>
      </c>
      <c r="E37" s="64" t="str">
        <f>IF(E$16=1,IF(AND($C37&lt;&gt;"",'Term 1'!$AM37&lt;&gt;""),'Term 1'!$AM37,""),"")</f>
        <v/>
      </c>
      <c r="F37" s="64" t="str">
        <f>IF(F$16=1,IF(AND($C37&lt;&gt;"",'Term 2'!$AM37&lt;&gt;""),'Term 2'!$AM37,""),"")</f>
        <v/>
      </c>
      <c r="G37" s="64" t="str">
        <f>IF(G$16=1,IF(AND($C37&lt;&gt;"",'Term 3'!$AM37&lt;&gt;""),'Term 3'!$AM37,""),"")</f>
        <v/>
      </c>
      <c r="H37" s="573" t="str">
        <f t="shared" si="0"/>
        <v/>
      </c>
      <c r="I37" s="568" t="str">
        <f>IF(H37="","",_xlfn.XLOOKUP(H37,HELPER!$AG$7:$AG$47,HELPER!$AH$7:$AH$47))</f>
        <v/>
      </c>
      <c r="J37" s="68" t="str">
        <f t="shared" si="1"/>
        <v/>
      </c>
    </row>
    <row r="38" spans="2:10" ht="15.5" hidden="1">
      <c r="B38" s="12">
        <v>22</v>
      </c>
      <c r="C38" s="62" t="str">
        <f>UPPER(IF('INPUT DATA'!N32="","",'INPUT DATA'!N32))</f>
        <v/>
      </c>
      <c r="D38" s="578" t="str">
        <f>UPPER(IF('INPUT DATA'!O32="","",'INPUT DATA'!O32))</f>
        <v/>
      </c>
      <c r="E38" s="64" t="str">
        <f>IF(E$16=1,IF(AND($C38&lt;&gt;"",'Term 1'!$AM38&lt;&gt;""),'Term 1'!$AM38,""),"")</f>
        <v/>
      </c>
      <c r="F38" s="64" t="str">
        <f>IF(F$16=1,IF(AND($C38&lt;&gt;"",'Term 2'!$AM38&lt;&gt;""),'Term 2'!$AM38,""),"")</f>
        <v/>
      </c>
      <c r="G38" s="64" t="str">
        <f>IF(G$16=1,IF(AND($C38&lt;&gt;"",'Term 3'!$AM38&lt;&gt;""),'Term 3'!$AM38,""),"")</f>
        <v/>
      </c>
      <c r="H38" s="573" t="str">
        <f t="shared" si="0"/>
        <v/>
      </c>
      <c r="I38" s="568" t="str">
        <f>IF(H38="","",_xlfn.XLOOKUP(H38,HELPER!$AG$7:$AG$47,HELPER!$AH$7:$AH$47))</f>
        <v/>
      </c>
      <c r="J38" s="68" t="str">
        <f t="shared" si="1"/>
        <v/>
      </c>
    </row>
    <row r="39" spans="2:10" ht="15.5" hidden="1">
      <c r="B39" s="12">
        <v>23</v>
      </c>
      <c r="C39" s="62" t="str">
        <f>UPPER(IF('INPUT DATA'!N33="","",'INPUT DATA'!N33))</f>
        <v/>
      </c>
      <c r="D39" s="578" t="str">
        <f>UPPER(IF('INPUT DATA'!O33="","",'INPUT DATA'!O33))</f>
        <v/>
      </c>
      <c r="E39" s="64" t="str">
        <f>IF(E$16=1,IF(AND($C39&lt;&gt;"",'Term 1'!$AM39&lt;&gt;""),'Term 1'!$AM39,""),"")</f>
        <v/>
      </c>
      <c r="F39" s="64" t="str">
        <f>IF(F$16=1,IF(AND($C39&lt;&gt;"",'Term 2'!$AM39&lt;&gt;""),'Term 2'!$AM39,""),"")</f>
        <v/>
      </c>
      <c r="G39" s="64" t="str">
        <f>IF(G$16=1,IF(AND($C39&lt;&gt;"",'Term 3'!$AM39&lt;&gt;""),'Term 3'!$AM39,""),"")</f>
        <v/>
      </c>
      <c r="H39" s="573" t="str">
        <f t="shared" si="0"/>
        <v/>
      </c>
      <c r="I39" s="568" t="str">
        <f>IF(H39="","",_xlfn.XLOOKUP(H39,HELPER!$AG$7:$AG$47,HELPER!$AH$7:$AH$47))</f>
        <v/>
      </c>
      <c r="J39" s="68" t="str">
        <f t="shared" si="1"/>
        <v/>
      </c>
    </row>
    <row r="40" spans="2:10" ht="15.5" hidden="1">
      <c r="B40" s="12">
        <v>24</v>
      </c>
      <c r="C40" s="62" t="str">
        <f>UPPER(IF('INPUT DATA'!N34="","",'INPUT DATA'!N34))</f>
        <v/>
      </c>
      <c r="D40" s="578" t="str">
        <f>UPPER(IF('INPUT DATA'!O34="","",'INPUT DATA'!O34))</f>
        <v/>
      </c>
      <c r="E40" s="64" t="str">
        <f>IF(E$16=1,IF(AND($C40&lt;&gt;"",'Term 1'!$AM40&lt;&gt;""),'Term 1'!$AM40,""),"")</f>
        <v/>
      </c>
      <c r="F40" s="64" t="str">
        <f>IF(F$16=1,IF(AND($C40&lt;&gt;"",'Term 2'!$AM40&lt;&gt;""),'Term 2'!$AM40,""),"")</f>
        <v/>
      </c>
      <c r="G40" s="64" t="str">
        <f>IF(G$16=1,IF(AND($C40&lt;&gt;"",'Term 3'!$AM40&lt;&gt;""),'Term 3'!$AM40,""),"")</f>
        <v/>
      </c>
      <c r="H40" s="573" t="str">
        <f t="shared" si="0"/>
        <v/>
      </c>
      <c r="I40" s="568" t="str">
        <f>IF(H40="","",_xlfn.XLOOKUP(H40,HELPER!$AG$7:$AG$47,HELPER!$AH$7:$AH$47))</f>
        <v/>
      </c>
      <c r="J40" s="68" t="str">
        <f t="shared" si="1"/>
        <v/>
      </c>
    </row>
    <row r="41" spans="2:10" ht="15.5" hidden="1">
      <c r="B41" s="12">
        <v>25</v>
      </c>
      <c r="C41" s="62" t="str">
        <f>UPPER(IF('INPUT DATA'!N35="","",'INPUT DATA'!N35))</f>
        <v/>
      </c>
      <c r="D41" s="578" t="str">
        <f>UPPER(IF('INPUT DATA'!O35="","",'INPUT DATA'!O35))</f>
        <v/>
      </c>
      <c r="E41" s="64" t="str">
        <f>IF(E$16=1,IF(AND($C41&lt;&gt;"",'Term 1'!$AM41&lt;&gt;""),'Term 1'!$AM41,""),"")</f>
        <v/>
      </c>
      <c r="F41" s="64" t="str">
        <f>IF(F$16=1,IF(AND($C41&lt;&gt;"",'Term 2'!$AM41&lt;&gt;""),'Term 2'!$AM41,""),"")</f>
        <v/>
      </c>
      <c r="G41" s="64" t="str">
        <f>IF(G$16=1,IF(AND($C41&lt;&gt;"",'Term 3'!$AM41&lt;&gt;""),'Term 3'!$AM41,""),"")</f>
        <v/>
      </c>
      <c r="H41" s="573" t="str">
        <f t="shared" si="0"/>
        <v/>
      </c>
      <c r="I41" s="568" t="str">
        <f>IF(H41="","",_xlfn.XLOOKUP(H41,HELPER!$AG$7:$AG$47,HELPER!$AH$7:$AH$47))</f>
        <v/>
      </c>
      <c r="J41" s="68" t="str">
        <f t="shared" si="1"/>
        <v/>
      </c>
    </row>
    <row r="42" spans="2:10" ht="15.5" hidden="1">
      <c r="B42" s="12">
        <v>26</v>
      </c>
      <c r="C42" s="62" t="str">
        <f>UPPER(IF('INPUT DATA'!N36="","",'INPUT DATA'!N36))</f>
        <v/>
      </c>
      <c r="D42" s="578" t="str">
        <f>UPPER(IF('INPUT DATA'!O36="","",'INPUT DATA'!O36))</f>
        <v/>
      </c>
      <c r="E42" s="64" t="str">
        <f>IF(E$16=1,IF(AND($C42&lt;&gt;"",'Term 1'!$AM42&lt;&gt;""),'Term 1'!$AM42,""),"")</f>
        <v/>
      </c>
      <c r="F42" s="64" t="str">
        <f>IF(F$16=1,IF(AND($C42&lt;&gt;"",'Term 2'!$AM42&lt;&gt;""),'Term 2'!$AM42,""),"")</f>
        <v/>
      </c>
      <c r="G42" s="64" t="str">
        <f>IF(G$16=1,IF(AND($C42&lt;&gt;"",'Term 3'!$AM42&lt;&gt;""),'Term 3'!$AM42,""),"")</f>
        <v/>
      </c>
      <c r="H42" s="573" t="str">
        <f t="shared" si="0"/>
        <v/>
      </c>
      <c r="I42" s="568" t="str">
        <f>IF(H42="","",_xlfn.XLOOKUP(H42,HELPER!$AG$7:$AG$47,HELPER!$AH$7:$AH$47))</f>
        <v/>
      </c>
      <c r="J42" s="68" t="str">
        <f t="shared" si="1"/>
        <v/>
      </c>
    </row>
    <row r="43" spans="2:10" ht="15.5" hidden="1">
      <c r="B43" s="12">
        <v>27</v>
      </c>
      <c r="C43" s="62" t="str">
        <f>UPPER(IF('INPUT DATA'!N37="","",'INPUT DATA'!N37))</f>
        <v/>
      </c>
      <c r="D43" s="578" t="str">
        <f>UPPER(IF('INPUT DATA'!O37="","",'INPUT DATA'!O37))</f>
        <v/>
      </c>
      <c r="E43" s="64" t="str">
        <f>IF(E$16=1,IF(AND($C43&lt;&gt;"",'Term 1'!$AM43&lt;&gt;""),'Term 1'!$AM43,""),"")</f>
        <v/>
      </c>
      <c r="F43" s="64" t="str">
        <f>IF(F$16=1,IF(AND($C43&lt;&gt;"",'Term 2'!$AM43&lt;&gt;""),'Term 2'!$AM43,""),"")</f>
        <v/>
      </c>
      <c r="G43" s="64" t="str">
        <f>IF(G$16=1,IF(AND($C43&lt;&gt;"",'Term 3'!$AM43&lt;&gt;""),'Term 3'!$AM43,""),"")</f>
        <v/>
      </c>
      <c r="H43" s="573" t="str">
        <f t="shared" si="0"/>
        <v/>
      </c>
      <c r="I43" s="568" t="str">
        <f>IF(H43="","",_xlfn.XLOOKUP(H43,HELPER!$AG$7:$AG$47,HELPER!$AH$7:$AH$47))</f>
        <v/>
      </c>
      <c r="J43" s="68" t="str">
        <f t="shared" si="1"/>
        <v/>
      </c>
    </row>
    <row r="44" spans="2:10" ht="15.5" hidden="1">
      <c r="B44" s="12">
        <v>28</v>
      </c>
      <c r="C44" s="62" t="str">
        <f>UPPER(IF('INPUT DATA'!N38="","",'INPUT DATA'!N38))</f>
        <v/>
      </c>
      <c r="D44" s="578" t="str">
        <f>UPPER(IF('INPUT DATA'!O38="","",'INPUT DATA'!O38))</f>
        <v/>
      </c>
      <c r="E44" s="64" t="str">
        <f>IF(E$16=1,IF(AND($C44&lt;&gt;"",'Term 1'!$AM44&lt;&gt;""),'Term 1'!$AM44,""),"")</f>
        <v/>
      </c>
      <c r="F44" s="64" t="str">
        <f>IF(F$16=1,IF(AND($C44&lt;&gt;"",'Term 2'!$AM44&lt;&gt;""),'Term 2'!$AM44,""),"")</f>
        <v/>
      </c>
      <c r="G44" s="64" t="str">
        <f>IF(G$16=1,IF(AND($C44&lt;&gt;"",'Term 3'!$AM44&lt;&gt;""),'Term 3'!$AM44,""),"")</f>
        <v/>
      </c>
      <c r="H44" s="573" t="str">
        <f t="shared" si="0"/>
        <v/>
      </c>
      <c r="I44" s="568" t="str">
        <f>IF(H44="","",_xlfn.XLOOKUP(H44,HELPER!$AG$7:$AG$47,HELPER!$AH$7:$AH$47))</f>
        <v/>
      </c>
      <c r="J44" s="68" t="str">
        <f t="shared" si="1"/>
        <v/>
      </c>
    </row>
    <row r="45" spans="2:10" ht="15.5" hidden="1">
      <c r="B45" s="12">
        <v>29</v>
      </c>
      <c r="C45" s="62" t="str">
        <f>UPPER(IF('INPUT DATA'!N39="","",'INPUT DATA'!N39))</f>
        <v/>
      </c>
      <c r="D45" s="578" t="str">
        <f>UPPER(IF('INPUT DATA'!O39="","",'INPUT DATA'!O39))</f>
        <v/>
      </c>
      <c r="E45" s="64" t="str">
        <f>IF(E$16=1,IF(AND($C45&lt;&gt;"",'Term 1'!$AM45&lt;&gt;""),'Term 1'!$AM45,""),"")</f>
        <v/>
      </c>
      <c r="F45" s="64" t="str">
        <f>IF(F$16=1,IF(AND($C45&lt;&gt;"",'Term 2'!$AM45&lt;&gt;""),'Term 2'!$AM45,""),"")</f>
        <v/>
      </c>
      <c r="G45" s="64" t="str">
        <f>IF(G$16=1,IF(AND($C45&lt;&gt;"",'Term 3'!$AM45&lt;&gt;""),'Term 3'!$AM45,""),"")</f>
        <v/>
      </c>
      <c r="H45" s="573" t="str">
        <f t="shared" si="0"/>
        <v/>
      </c>
      <c r="I45" s="568" t="str">
        <f>IF(H45="","",_xlfn.XLOOKUP(H45,HELPER!$AG$7:$AG$47,HELPER!$AH$7:$AH$47))</f>
        <v/>
      </c>
      <c r="J45" s="68" t="str">
        <f t="shared" si="1"/>
        <v/>
      </c>
    </row>
    <row r="46" spans="2:10" ht="15.5" hidden="1">
      <c r="B46" s="12">
        <v>30</v>
      </c>
      <c r="C46" s="62" t="str">
        <f>UPPER(IF('INPUT DATA'!N40="","",'INPUT DATA'!N40))</f>
        <v/>
      </c>
      <c r="D46" s="578" t="str">
        <f>UPPER(IF('INPUT DATA'!O40="","",'INPUT DATA'!O40))</f>
        <v/>
      </c>
      <c r="E46" s="64" t="str">
        <f>IF(E$16=1,IF(AND($C46&lt;&gt;"",'Term 1'!$AM46&lt;&gt;""),'Term 1'!$AM46,""),"")</f>
        <v/>
      </c>
      <c r="F46" s="64" t="str">
        <f>IF(F$16=1,IF(AND($C46&lt;&gt;"",'Term 2'!$AM46&lt;&gt;""),'Term 2'!$AM46,""),"")</f>
        <v/>
      </c>
      <c r="G46" s="64" t="str">
        <f>IF(G$16=1,IF(AND($C46&lt;&gt;"",'Term 3'!$AM46&lt;&gt;""),'Term 3'!$AM46,""),"")</f>
        <v/>
      </c>
      <c r="H46" s="573" t="str">
        <f t="shared" si="0"/>
        <v/>
      </c>
      <c r="I46" s="568" t="str">
        <f>IF(H46="","",_xlfn.XLOOKUP(H46,HELPER!$AG$7:$AG$47,HELPER!$AH$7:$AH$47))</f>
        <v/>
      </c>
      <c r="J46" s="68" t="str">
        <f t="shared" si="1"/>
        <v/>
      </c>
    </row>
    <row r="47" spans="2:10" ht="15.5" hidden="1">
      <c r="B47" s="12">
        <v>31</v>
      </c>
      <c r="C47" s="62" t="str">
        <f>UPPER(IF('INPUT DATA'!N41="","",'INPUT DATA'!N41))</f>
        <v/>
      </c>
      <c r="D47" s="578" t="str">
        <f>UPPER(IF('INPUT DATA'!O41="","",'INPUT DATA'!O41))</f>
        <v/>
      </c>
      <c r="E47" s="64" t="str">
        <f>IF(E$16=1,IF(AND($C47&lt;&gt;"",'Term 1'!$AM47&lt;&gt;""),'Term 1'!$AM47,""),"")</f>
        <v/>
      </c>
      <c r="F47" s="64" t="str">
        <f>IF(F$16=1,IF(AND($C47&lt;&gt;"",'Term 2'!$AM47&lt;&gt;""),'Term 2'!$AM47,""),"")</f>
        <v/>
      </c>
      <c r="G47" s="64" t="str">
        <f>IF(G$16=1,IF(AND($C47&lt;&gt;"",'Term 3'!$AM47&lt;&gt;""),'Term 3'!$AM47,""),"")</f>
        <v/>
      </c>
      <c r="H47" s="573" t="str">
        <f t="shared" si="0"/>
        <v/>
      </c>
      <c r="I47" s="568" t="str">
        <f>IF(H47="","",_xlfn.XLOOKUP(H47,HELPER!$AG$7:$AG$47,HELPER!$AH$7:$AH$47))</f>
        <v/>
      </c>
      <c r="J47" s="68" t="str">
        <f t="shared" si="1"/>
        <v/>
      </c>
    </row>
    <row r="48" spans="2:10" ht="15.5" hidden="1">
      <c r="B48" s="12">
        <v>32</v>
      </c>
      <c r="C48" s="62" t="str">
        <f>UPPER(IF('INPUT DATA'!N42="","",'INPUT DATA'!N42))</f>
        <v/>
      </c>
      <c r="D48" s="578" t="str">
        <f>UPPER(IF('INPUT DATA'!O42="","",'INPUT DATA'!O42))</f>
        <v/>
      </c>
      <c r="E48" s="64" t="str">
        <f>IF(E$16=1,IF(AND($C48&lt;&gt;"",'Term 1'!$AM48&lt;&gt;""),'Term 1'!$AM48,""),"")</f>
        <v/>
      </c>
      <c r="F48" s="64" t="str">
        <f>IF(F$16=1,IF(AND($C48&lt;&gt;"",'Term 2'!$AM48&lt;&gt;""),'Term 2'!$AM48,""),"")</f>
        <v/>
      </c>
      <c r="G48" s="64" t="str">
        <f>IF(G$16=1,IF(AND($C48&lt;&gt;"",'Term 3'!$AM48&lt;&gt;""),'Term 3'!$AM48,""),"")</f>
        <v/>
      </c>
      <c r="H48" s="573" t="str">
        <f t="shared" si="0"/>
        <v/>
      </c>
      <c r="I48" s="568" t="str">
        <f>IF(H48="","",_xlfn.XLOOKUP(H48,HELPER!$AG$7:$AG$47,HELPER!$AH$7:$AH$47))</f>
        <v/>
      </c>
      <c r="J48" s="68" t="str">
        <f t="shared" si="1"/>
        <v/>
      </c>
    </row>
    <row r="49" spans="2:10" ht="15.5" hidden="1">
      <c r="B49" s="12">
        <v>33</v>
      </c>
      <c r="C49" s="62" t="str">
        <f>UPPER(IF('INPUT DATA'!N43="","",'INPUT DATA'!N43))</f>
        <v/>
      </c>
      <c r="D49" s="578" t="str">
        <f>UPPER(IF('INPUT DATA'!O43="","",'INPUT DATA'!O43))</f>
        <v/>
      </c>
      <c r="E49" s="64" t="str">
        <f>IF(E$16=1,IF(AND($C49&lt;&gt;"",'Term 1'!$AM49&lt;&gt;""),'Term 1'!$AM49,""),"")</f>
        <v/>
      </c>
      <c r="F49" s="64" t="str">
        <f>IF(F$16=1,IF(AND($C49&lt;&gt;"",'Term 2'!$AM49&lt;&gt;""),'Term 2'!$AM49,""),"")</f>
        <v/>
      </c>
      <c r="G49" s="64" t="str">
        <f>IF(G$16=1,IF(AND($C49&lt;&gt;"",'Term 3'!$AM49&lt;&gt;""),'Term 3'!$AM49,""),"")</f>
        <v/>
      </c>
      <c r="H49" s="573" t="str">
        <f t="shared" si="0"/>
        <v/>
      </c>
      <c r="I49" s="568" t="str">
        <f>IF(H49="","",_xlfn.XLOOKUP(H49,HELPER!$AG$7:$AG$47,HELPER!$AH$7:$AH$47))</f>
        <v/>
      </c>
      <c r="J49" s="68" t="str">
        <f t="shared" si="1"/>
        <v/>
      </c>
    </row>
    <row r="50" spans="2:10" ht="15.5" hidden="1">
      <c r="B50" s="12">
        <v>34</v>
      </c>
      <c r="C50" s="62" t="str">
        <f>UPPER(IF('INPUT DATA'!N44="","",'INPUT DATA'!N44))</f>
        <v/>
      </c>
      <c r="D50" s="578" t="str">
        <f>UPPER(IF('INPUT DATA'!O44="","",'INPUT DATA'!O44))</f>
        <v/>
      </c>
      <c r="E50" s="64" t="str">
        <f>IF(E$16=1,IF(AND($C50&lt;&gt;"",'Term 1'!$AM50&lt;&gt;""),'Term 1'!$AM50,""),"")</f>
        <v/>
      </c>
      <c r="F50" s="64" t="str">
        <f>IF(F$16=1,IF(AND($C50&lt;&gt;"",'Term 2'!$AM50&lt;&gt;""),'Term 2'!$AM50,""),"")</f>
        <v/>
      </c>
      <c r="G50" s="64" t="str">
        <f>IF(G$16=1,IF(AND($C50&lt;&gt;"",'Term 3'!$AM50&lt;&gt;""),'Term 3'!$AM50,""),"")</f>
        <v/>
      </c>
      <c r="H50" s="573" t="str">
        <f t="shared" si="0"/>
        <v/>
      </c>
      <c r="I50" s="568" t="str">
        <f>IF(H50="","",_xlfn.XLOOKUP(H50,HELPER!$AG$7:$AG$47,HELPER!$AH$7:$AH$47))</f>
        <v/>
      </c>
      <c r="J50" s="68" t="str">
        <f t="shared" si="1"/>
        <v/>
      </c>
    </row>
    <row r="51" spans="2:10" ht="15.5" hidden="1">
      <c r="B51" s="12">
        <v>35</v>
      </c>
      <c r="C51" s="62" t="str">
        <f>UPPER(IF('INPUT DATA'!N45="","",'INPUT DATA'!N45))</f>
        <v/>
      </c>
      <c r="D51" s="578" t="str">
        <f>UPPER(IF('INPUT DATA'!O45="","",'INPUT DATA'!O45))</f>
        <v/>
      </c>
      <c r="E51" s="64" t="str">
        <f>IF(E$16=1,IF(AND($C51&lt;&gt;"",'Term 1'!$AM51&lt;&gt;""),'Term 1'!$AM51,""),"")</f>
        <v/>
      </c>
      <c r="F51" s="64" t="str">
        <f>IF(F$16=1,IF(AND($C51&lt;&gt;"",'Term 2'!$AM51&lt;&gt;""),'Term 2'!$AM51,""),"")</f>
        <v/>
      </c>
      <c r="G51" s="64" t="str">
        <f>IF(G$16=1,IF(AND($C51&lt;&gt;"",'Term 3'!$AM51&lt;&gt;""),'Term 3'!$AM51,""),"")</f>
        <v/>
      </c>
      <c r="H51" s="573" t="str">
        <f t="shared" si="0"/>
        <v/>
      </c>
      <c r="I51" s="568" t="str">
        <f>IF(H51="","",_xlfn.XLOOKUP(H51,HELPER!$AG$7:$AG$47,HELPER!$AH$7:$AH$47))</f>
        <v/>
      </c>
      <c r="J51" s="68" t="str">
        <f t="shared" si="1"/>
        <v/>
      </c>
    </row>
    <row r="52" spans="2:10" ht="15.5" hidden="1">
      <c r="B52" s="12">
        <v>36</v>
      </c>
      <c r="C52" s="62" t="str">
        <f>UPPER(IF('INPUT DATA'!N46="","",'INPUT DATA'!N46))</f>
        <v/>
      </c>
      <c r="D52" s="578" t="str">
        <f>UPPER(IF('INPUT DATA'!O46="","",'INPUT DATA'!O46))</f>
        <v/>
      </c>
      <c r="E52" s="64" t="str">
        <f>IF(E$16=1,IF(AND($C52&lt;&gt;"",'Term 1'!$AM52&lt;&gt;""),'Term 1'!$AM52,""),"")</f>
        <v/>
      </c>
      <c r="F52" s="64" t="str">
        <f>IF(F$16=1,IF(AND($C52&lt;&gt;"",'Term 2'!$AM52&lt;&gt;""),'Term 2'!$AM52,""),"")</f>
        <v/>
      </c>
      <c r="G52" s="64" t="str">
        <f>IF(G$16=1,IF(AND($C52&lt;&gt;"",'Term 3'!$AM52&lt;&gt;""),'Term 3'!$AM52,""),"")</f>
        <v/>
      </c>
      <c r="H52" s="573" t="str">
        <f t="shared" si="0"/>
        <v/>
      </c>
      <c r="I52" s="568" t="str">
        <f>IF(H52="","",_xlfn.XLOOKUP(H52,HELPER!$AG$7:$AG$47,HELPER!$AH$7:$AH$47))</f>
        <v/>
      </c>
      <c r="J52" s="68" t="str">
        <f t="shared" si="1"/>
        <v/>
      </c>
    </row>
    <row r="53" spans="2:10" ht="15.5" hidden="1">
      <c r="B53" s="12">
        <v>37</v>
      </c>
      <c r="C53" s="62" t="str">
        <f>UPPER(IF('INPUT DATA'!N47="","",'INPUT DATA'!N47))</f>
        <v/>
      </c>
      <c r="D53" s="578" t="str">
        <f>UPPER(IF('INPUT DATA'!O47="","",'INPUT DATA'!O47))</f>
        <v/>
      </c>
      <c r="E53" s="64" t="str">
        <f>IF(E$16=1,IF(AND($C53&lt;&gt;"",'Term 1'!$AM53&lt;&gt;""),'Term 1'!$AM53,""),"")</f>
        <v/>
      </c>
      <c r="F53" s="64" t="str">
        <f>IF(F$16=1,IF(AND($C53&lt;&gt;"",'Term 2'!$AM53&lt;&gt;""),'Term 2'!$AM53,""),"")</f>
        <v/>
      </c>
      <c r="G53" s="64" t="str">
        <f>IF(G$16=1,IF(AND($C53&lt;&gt;"",'Term 3'!$AM53&lt;&gt;""),'Term 3'!$AM53,""),"")</f>
        <v/>
      </c>
      <c r="H53" s="573" t="str">
        <f t="shared" si="0"/>
        <v/>
      </c>
      <c r="I53" s="568" t="str">
        <f>IF(H53="","",_xlfn.XLOOKUP(H53,HELPER!$AG$7:$AG$47,HELPER!$AH$7:$AH$47))</f>
        <v/>
      </c>
      <c r="J53" s="68" t="str">
        <f t="shared" si="1"/>
        <v/>
      </c>
    </row>
    <row r="54" spans="2:10" ht="15.5" hidden="1">
      <c r="B54" s="12">
        <v>38</v>
      </c>
      <c r="C54" s="62" t="str">
        <f>UPPER(IF('INPUT DATA'!N48="","",'INPUT DATA'!N48))</f>
        <v/>
      </c>
      <c r="D54" s="578" t="str">
        <f>UPPER(IF('INPUT DATA'!O48="","",'INPUT DATA'!O48))</f>
        <v/>
      </c>
      <c r="E54" s="64" t="str">
        <f>IF(E$16=1,IF(AND($C54&lt;&gt;"",'Term 1'!$AM54&lt;&gt;""),'Term 1'!$AM54,""),"")</f>
        <v/>
      </c>
      <c r="F54" s="64" t="str">
        <f>IF(F$16=1,IF(AND($C54&lt;&gt;"",'Term 2'!$AM54&lt;&gt;""),'Term 2'!$AM54,""),"")</f>
        <v/>
      </c>
      <c r="G54" s="64" t="str">
        <f>IF(G$16=1,IF(AND($C54&lt;&gt;"",'Term 3'!$AM54&lt;&gt;""),'Term 3'!$AM54,""),"")</f>
        <v/>
      </c>
      <c r="H54" s="573" t="str">
        <f t="shared" si="0"/>
        <v/>
      </c>
      <c r="I54" s="568" t="str">
        <f>IF(H54="","",_xlfn.XLOOKUP(H54,HELPER!$AG$7:$AG$47,HELPER!$AH$7:$AH$47))</f>
        <v/>
      </c>
      <c r="J54" s="68" t="str">
        <f t="shared" si="1"/>
        <v/>
      </c>
    </row>
    <row r="55" spans="2:10" ht="15.5" hidden="1">
      <c r="B55" s="12">
        <v>39</v>
      </c>
      <c r="C55" s="62" t="str">
        <f>UPPER(IF('INPUT DATA'!N49="","",'INPUT DATA'!N49))</f>
        <v/>
      </c>
      <c r="D55" s="578" t="str">
        <f>UPPER(IF('INPUT DATA'!O49="","",'INPUT DATA'!O49))</f>
        <v/>
      </c>
      <c r="E55" s="64" t="str">
        <f>IF(E$16=1,IF(AND($C55&lt;&gt;"",'Term 1'!$AM55&lt;&gt;""),'Term 1'!$AM55,""),"")</f>
        <v/>
      </c>
      <c r="F55" s="64" t="str">
        <f>IF(F$16=1,IF(AND($C55&lt;&gt;"",'Term 2'!$AM55&lt;&gt;""),'Term 2'!$AM55,""),"")</f>
        <v/>
      </c>
      <c r="G55" s="64" t="str">
        <f>IF(G$16=1,IF(AND($C55&lt;&gt;"",'Term 3'!$AM55&lt;&gt;""),'Term 3'!$AM55,""),"")</f>
        <v/>
      </c>
      <c r="H55" s="573" t="str">
        <f t="shared" si="0"/>
        <v/>
      </c>
      <c r="I55" s="568" t="str">
        <f>IF(H55="","",_xlfn.XLOOKUP(H55,HELPER!$AG$7:$AG$47,HELPER!$AH$7:$AH$47))</f>
        <v/>
      </c>
      <c r="J55" s="68" t="str">
        <f t="shared" si="1"/>
        <v/>
      </c>
    </row>
    <row r="56" spans="2:10" ht="15.5" hidden="1">
      <c r="B56" s="12">
        <v>40</v>
      </c>
      <c r="C56" s="62" t="str">
        <f>UPPER(IF('INPUT DATA'!N50="","",'INPUT DATA'!N50))</f>
        <v/>
      </c>
      <c r="D56" s="578" t="str">
        <f>UPPER(IF('INPUT DATA'!O50="","",'INPUT DATA'!O50))</f>
        <v/>
      </c>
      <c r="E56" s="64" t="str">
        <f>IF(E$16=1,IF(AND($C56&lt;&gt;"",'Term 1'!$AM56&lt;&gt;""),'Term 1'!$AM56,""),"")</f>
        <v/>
      </c>
      <c r="F56" s="64" t="str">
        <f>IF(F$16=1,IF(AND($C56&lt;&gt;"",'Term 2'!$AM56&lt;&gt;""),'Term 2'!$AM56,""),"")</f>
        <v/>
      </c>
      <c r="G56" s="64" t="str">
        <f>IF(G$16=1,IF(AND($C56&lt;&gt;"",'Term 3'!$AM56&lt;&gt;""),'Term 3'!$AM56,""),"")</f>
        <v/>
      </c>
      <c r="H56" s="573" t="str">
        <f t="shared" si="0"/>
        <v/>
      </c>
      <c r="I56" s="568" t="str">
        <f>IF(H56="","",_xlfn.XLOOKUP(H56,HELPER!$AG$7:$AG$47,HELPER!$AH$7:$AH$47))</f>
        <v/>
      </c>
      <c r="J56" s="68" t="str">
        <f t="shared" si="1"/>
        <v/>
      </c>
    </row>
    <row r="57" spans="2:10" ht="15.5" hidden="1">
      <c r="B57" s="12">
        <v>41</v>
      </c>
      <c r="C57" s="62" t="str">
        <f>UPPER(IF('INPUT DATA'!N51="","",'INPUT DATA'!N51))</f>
        <v/>
      </c>
      <c r="D57" s="578" t="str">
        <f>UPPER(IF('INPUT DATA'!O51="","",'INPUT DATA'!O51))</f>
        <v/>
      </c>
      <c r="E57" s="64" t="str">
        <f>IF(E$16=1,IF(AND($C57&lt;&gt;"",'Term 1'!$AM57&lt;&gt;""),'Term 1'!$AM57,""),"")</f>
        <v/>
      </c>
      <c r="F57" s="64" t="str">
        <f>IF(F$16=1,IF(AND($C57&lt;&gt;"",'Term 2'!$AM57&lt;&gt;""),'Term 2'!$AM57,""),"")</f>
        <v/>
      </c>
      <c r="G57" s="64" t="str">
        <f>IF(G$16=1,IF(AND($C57&lt;&gt;"",'Term 3'!$AM57&lt;&gt;""),'Term 3'!$AM57,""),"")</f>
        <v/>
      </c>
      <c r="H57" s="573" t="str">
        <f t="shared" si="0"/>
        <v/>
      </c>
      <c r="I57" s="568" t="str">
        <f>IF(H57="","",_xlfn.XLOOKUP(H57,HELPER!$AG$7:$AG$47,HELPER!$AH$7:$AH$47))</f>
        <v/>
      </c>
      <c r="J57" s="68" t="str">
        <f t="shared" si="1"/>
        <v/>
      </c>
    </row>
    <row r="58" spans="2:10" ht="15.5" hidden="1">
      <c r="B58" s="12">
        <v>42</v>
      </c>
      <c r="C58" s="62" t="str">
        <f>UPPER(IF('INPUT DATA'!N52="","",'INPUT DATA'!N52))</f>
        <v/>
      </c>
      <c r="D58" s="578" t="str">
        <f>UPPER(IF('INPUT DATA'!O52="","",'INPUT DATA'!O52))</f>
        <v/>
      </c>
      <c r="E58" s="64" t="str">
        <f>IF(E$16=1,IF(AND($C58&lt;&gt;"",'Term 1'!$AM58&lt;&gt;""),'Term 1'!$AM58,""),"")</f>
        <v/>
      </c>
      <c r="F58" s="64" t="str">
        <f>IF(F$16=1,IF(AND($C58&lt;&gt;"",'Term 2'!$AM58&lt;&gt;""),'Term 2'!$AM58,""),"")</f>
        <v/>
      </c>
      <c r="G58" s="64" t="str">
        <f>IF(G$16=1,IF(AND($C58&lt;&gt;"",'Term 3'!$AM58&lt;&gt;""),'Term 3'!$AM58,""),"")</f>
        <v/>
      </c>
      <c r="H58" s="573" t="str">
        <f t="shared" si="0"/>
        <v/>
      </c>
      <c r="I58" s="568" t="str">
        <f>IF(H58="","",_xlfn.XLOOKUP(H58,HELPER!$AG$7:$AG$47,HELPER!$AH$7:$AH$47))</f>
        <v/>
      </c>
      <c r="J58" s="68" t="str">
        <f t="shared" si="1"/>
        <v/>
      </c>
    </row>
    <row r="59" spans="2:10" ht="15.5" hidden="1">
      <c r="B59" s="12">
        <v>43</v>
      </c>
      <c r="C59" s="62" t="str">
        <f>UPPER(IF('INPUT DATA'!N53="","",'INPUT DATA'!N53))</f>
        <v/>
      </c>
      <c r="D59" s="578" t="str">
        <f>UPPER(IF('INPUT DATA'!O53="","",'INPUT DATA'!O53))</f>
        <v/>
      </c>
      <c r="E59" s="64" t="str">
        <f>IF(E$16=1,IF(AND($C59&lt;&gt;"",'Term 1'!$AM59&lt;&gt;""),'Term 1'!$AM59,""),"")</f>
        <v/>
      </c>
      <c r="F59" s="64" t="str">
        <f>IF(F$16=1,IF(AND($C59&lt;&gt;"",'Term 2'!$AM59&lt;&gt;""),'Term 2'!$AM59,""),"")</f>
        <v/>
      </c>
      <c r="G59" s="64" t="str">
        <f>IF(G$16=1,IF(AND($C59&lt;&gt;"",'Term 3'!$AM59&lt;&gt;""),'Term 3'!$AM59,""),"")</f>
        <v/>
      </c>
      <c r="H59" s="573" t="str">
        <f t="shared" si="0"/>
        <v/>
      </c>
      <c r="I59" s="568" t="str">
        <f>IF(H59="","",_xlfn.XLOOKUP(H59,HELPER!$AG$7:$AG$47,HELPER!$AH$7:$AH$47))</f>
        <v/>
      </c>
      <c r="J59" s="68" t="str">
        <f t="shared" si="1"/>
        <v/>
      </c>
    </row>
    <row r="60" spans="2:10" ht="15.5" hidden="1">
      <c r="B60" s="12">
        <v>44</v>
      </c>
      <c r="C60" s="62" t="str">
        <f>UPPER(IF('INPUT DATA'!N54="","",'INPUT DATA'!N54))</f>
        <v/>
      </c>
      <c r="D60" s="578" t="str">
        <f>UPPER(IF('INPUT DATA'!O54="","",'INPUT DATA'!O54))</f>
        <v/>
      </c>
      <c r="E60" s="64" t="str">
        <f>IF(E$16=1,IF(AND($C60&lt;&gt;"",'Term 1'!$AM60&lt;&gt;""),'Term 1'!$AM60,""),"")</f>
        <v/>
      </c>
      <c r="F60" s="64" t="str">
        <f>IF(F$16=1,IF(AND($C60&lt;&gt;"",'Term 2'!$AM60&lt;&gt;""),'Term 2'!$AM60,""),"")</f>
        <v/>
      </c>
      <c r="G60" s="64" t="str">
        <f>IF(G$16=1,IF(AND($C60&lt;&gt;"",'Term 3'!$AM60&lt;&gt;""),'Term 3'!$AM60,""),"")</f>
        <v/>
      </c>
      <c r="H60" s="573" t="str">
        <f t="shared" si="0"/>
        <v/>
      </c>
      <c r="I60" s="568" t="str">
        <f>IF(H60="","",_xlfn.XLOOKUP(H60,HELPER!$AG$7:$AG$47,HELPER!$AH$7:$AH$47))</f>
        <v/>
      </c>
      <c r="J60" s="68" t="str">
        <f t="shared" si="1"/>
        <v/>
      </c>
    </row>
    <row r="61" spans="2:10" ht="15.5" hidden="1">
      <c r="B61" s="12">
        <v>45</v>
      </c>
      <c r="C61" s="62" t="str">
        <f>UPPER(IF('INPUT DATA'!N55="","",'INPUT DATA'!N55))</f>
        <v/>
      </c>
      <c r="D61" s="578" t="str">
        <f>UPPER(IF('INPUT DATA'!O55="","",'INPUT DATA'!O55))</f>
        <v/>
      </c>
      <c r="E61" s="64" t="str">
        <f>IF(E$16=1,IF(AND($C61&lt;&gt;"",'Term 1'!$AM61&lt;&gt;""),'Term 1'!$AM61,""),"")</f>
        <v/>
      </c>
      <c r="F61" s="64" t="str">
        <f>IF(F$16=1,IF(AND($C61&lt;&gt;"",'Term 2'!$AM61&lt;&gt;""),'Term 2'!$AM61,""),"")</f>
        <v/>
      </c>
      <c r="G61" s="64" t="str">
        <f>IF(G$16=1,IF(AND($C61&lt;&gt;"",'Term 3'!$AM61&lt;&gt;""),'Term 3'!$AM61,""),"")</f>
        <v/>
      </c>
      <c r="H61" s="573" t="str">
        <f t="shared" si="0"/>
        <v/>
      </c>
      <c r="I61" s="568" t="str">
        <f>IF(H61="","",_xlfn.XLOOKUP(H61,HELPER!$AG$7:$AG$47,HELPER!$AH$7:$AH$47))</f>
        <v/>
      </c>
      <c r="J61" s="68" t="str">
        <f t="shared" si="1"/>
        <v/>
      </c>
    </row>
    <row r="62" spans="2:10" ht="15.5" hidden="1">
      <c r="B62" s="12">
        <v>46</v>
      </c>
      <c r="C62" s="62" t="str">
        <f>UPPER(IF('INPUT DATA'!N56="","",'INPUT DATA'!N56))</f>
        <v/>
      </c>
      <c r="D62" s="578" t="str">
        <f>UPPER(IF('INPUT DATA'!O56="","",'INPUT DATA'!O56))</f>
        <v/>
      </c>
      <c r="E62" s="64" t="str">
        <f>IF(E$16=1,IF(AND($C62&lt;&gt;"",'Term 1'!$AM62&lt;&gt;""),'Term 1'!$AM62,""),"")</f>
        <v/>
      </c>
      <c r="F62" s="64" t="str">
        <f>IF(F$16=1,IF(AND($C62&lt;&gt;"",'Term 2'!$AM62&lt;&gt;""),'Term 2'!$AM62,""),"")</f>
        <v/>
      </c>
      <c r="G62" s="64" t="str">
        <f>IF(G$16=1,IF(AND($C62&lt;&gt;"",'Term 3'!$AM62&lt;&gt;""),'Term 3'!$AM62,""),"")</f>
        <v/>
      </c>
      <c r="H62" s="573" t="str">
        <f t="shared" si="0"/>
        <v/>
      </c>
      <c r="I62" s="568" t="str">
        <f>IF(H62="","",_xlfn.XLOOKUP(H62,HELPER!$AG$7:$AG$47,HELPER!$AH$7:$AH$47))</f>
        <v/>
      </c>
      <c r="J62" s="68" t="str">
        <f t="shared" si="1"/>
        <v/>
      </c>
    </row>
    <row r="63" spans="2:10" ht="15.5" hidden="1">
      <c r="B63" s="12">
        <v>47</v>
      </c>
      <c r="C63" s="62" t="str">
        <f>UPPER(IF('INPUT DATA'!N57="","",'INPUT DATA'!N57))</f>
        <v/>
      </c>
      <c r="D63" s="578" t="str">
        <f>UPPER(IF('INPUT DATA'!O57="","",'INPUT DATA'!O57))</f>
        <v/>
      </c>
      <c r="E63" s="64" t="str">
        <f>IF(E$16=1,IF(AND($C63&lt;&gt;"",'Term 1'!$AM63&lt;&gt;""),'Term 1'!$AM63,""),"")</f>
        <v/>
      </c>
      <c r="F63" s="64" t="str">
        <f>IF(F$16=1,IF(AND($C63&lt;&gt;"",'Term 2'!$AM63&lt;&gt;""),'Term 2'!$AM63,""),"")</f>
        <v/>
      </c>
      <c r="G63" s="64" t="str">
        <f>IF(G$16=1,IF(AND($C63&lt;&gt;"",'Term 3'!$AM63&lt;&gt;""),'Term 3'!$AM63,""),"")</f>
        <v/>
      </c>
      <c r="H63" s="573" t="str">
        <f t="shared" si="0"/>
        <v/>
      </c>
      <c r="I63" s="568" t="str">
        <f>IF(H63="","",_xlfn.XLOOKUP(H63,HELPER!$AG$7:$AG$47,HELPER!$AH$7:$AH$47))</f>
        <v/>
      </c>
      <c r="J63" s="68" t="str">
        <f t="shared" si="1"/>
        <v/>
      </c>
    </row>
    <row r="64" spans="2:10" ht="15.5" hidden="1">
      <c r="B64" s="12">
        <v>48</v>
      </c>
      <c r="C64" s="62" t="str">
        <f>UPPER(IF('INPUT DATA'!N58="","",'INPUT DATA'!N58))</f>
        <v/>
      </c>
      <c r="D64" s="578" t="str">
        <f>UPPER(IF('INPUT DATA'!O58="","",'INPUT DATA'!O58))</f>
        <v/>
      </c>
      <c r="E64" s="64" t="str">
        <f>IF(E$16=1,IF(AND($C64&lt;&gt;"",'Term 1'!$AM64&lt;&gt;""),'Term 1'!$AM64,""),"")</f>
        <v/>
      </c>
      <c r="F64" s="64" t="str">
        <f>IF(F$16=1,IF(AND($C64&lt;&gt;"",'Term 2'!$AM64&lt;&gt;""),'Term 2'!$AM64,""),"")</f>
        <v/>
      </c>
      <c r="G64" s="64" t="str">
        <f>IF(G$16=1,IF(AND($C64&lt;&gt;"",'Term 3'!$AM64&lt;&gt;""),'Term 3'!$AM64,""),"")</f>
        <v/>
      </c>
      <c r="H64" s="573" t="str">
        <f t="shared" si="0"/>
        <v/>
      </c>
      <c r="I64" s="568" t="str">
        <f>IF(H64="","",_xlfn.XLOOKUP(H64,HELPER!$AG$7:$AG$47,HELPER!$AH$7:$AH$47))</f>
        <v/>
      </c>
      <c r="J64" s="68" t="str">
        <f t="shared" si="1"/>
        <v/>
      </c>
    </row>
    <row r="65" spans="2:10" ht="15.5" hidden="1">
      <c r="B65" s="12">
        <v>49</v>
      </c>
      <c r="C65" s="62" t="str">
        <f>UPPER(IF('INPUT DATA'!N59="","",'INPUT DATA'!N59))</f>
        <v/>
      </c>
      <c r="D65" s="578" t="str">
        <f>UPPER(IF('INPUT DATA'!O59="","",'INPUT DATA'!O59))</f>
        <v/>
      </c>
      <c r="E65" s="64" t="str">
        <f>IF(E$16=1,IF(AND($C65&lt;&gt;"",'Term 1'!$AM65&lt;&gt;""),'Term 1'!$AM65,""),"")</f>
        <v/>
      </c>
      <c r="F65" s="64" t="str">
        <f>IF(F$16=1,IF(AND($C65&lt;&gt;"",'Term 2'!$AM65&lt;&gt;""),'Term 2'!$AM65,""),"")</f>
        <v/>
      </c>
      <c r="G65" s="64" t="str">
        <f>IF(G$16=1,IF(AND($C65&lt;&gt;"",'Term 3'!$AM65&lt;&gt;""),'Term 3'!$AM65,""),"")</f>
        <v/>
      </c>
      <c r="H65" s="573" t="str">
        <f t="shared" si="0"/>
        <v/>
      </c>
      <c r="I65" s="568" t="str">
        <f>IF(H65="","",_xlfn.XLOOKUP(H65,HELPER!$AG$7:$AG$47,HELPER!$AH$7:$AH$47))</f>
        <v/>
      </c>
      <c r="J65" s="68" t="str">
        <f t="shared" si="1"/>
        <v/>
      </c>
    </row>
    <row r="66" spans="2:10" ht="15.5" hidden="1">
      <c r="B66" s="12">
        <v>50</v>
      </c>
      <c r="C66" s="62" t="str">
        <f>UPPER(IF('INPUT DATA'!N60="","",'INPUT DATA'!N60))</f>
        <v/>
      </c>
      <c r="D66" s="578" t="str">
        <f>UPPER(IF('INPUT DATA'!O60="","",'INPUT DATA'!O60))</f>
        <v/>
      </c>
      <c r="E66" s="64" t="str">
        <f>IF(E$16=1,IF(AND($C66&lt;&gt;"",'Term 1'!$AM66&lt;&gt;""),'Term 1'!$AM66,""),"")</f>
        <v/>
      </c>
      <c r="F66" s="64" t="str">
        <f>IF(F$16=1,IF(AND($C66&lt;&gt;"",'Term 2'!$AM66&lt;&gt;""),'Term 2'!$AM66,""),"")</f>
        <v/>
      </c>
      <c r="G66" s="64" t="str">
        <f>IF(G$16=1,IF(AND($C66&lt;&gt;"",'Term 3'!$AM66&lt;&gt;""),'Term 3'!$AM66,""),"")</f>
        <v/>
      </c>
      <c r="H66" s="573" t="str">
        <f t="shared" si="0"/>
        <v/>
      </c>
      <c r="I66" s="568" t="str">
        <f>IF(H66="","",_xlfn.XLOOKUP(H66,HELPER!$AG$7:$AG$47,HELPER!$AH$7:$AH$47))</f>
        <v/>
      </c>
      <c r="J66" s="68" t="str">
        <f t="shared" si="1"/>
        <v/>
      </c>
    </row>
    <row r="67" spans="2:10" ht="15.5">
      <c r="B67" s="53" t="s">
        <v>194</v>
      </c>
      <c r="C67" s="63"/>
      <c r="D67" s="73"/>
      <c r="E67" s="65"/>
      <c r="F67" s="56"/>
      <c r="G67" s="66"/>
      <c r="H67" s="71"/>
      <c r="I67" s="569"/>
      <c r="J67" s="69"/>
    </row>
    <row r="68" spans="2:10" ht="15.5">
      <c r="B68" s="12">
        <v>1</v>
      </c>
      <c r="C68" s="62" t="str">
        <f>UPPER(IF('INPUT DATA'!R11="","",'INPUT DATA'!R11))</f>
        <v/>
      </c>
      <c r="D68" s="72" t="str">
        <f>UPPER(IF('INPUT DATA'!S11="","",'INPUT DATA'!S11))</f>
        <v/>
      </c>
      <c r="E68" s="64" t="str">
        <f>IF(E$16=1,IF(AND($C68&lt;&gt;"",'Term 1'!$AM68&lt;&gt;""),'Term 1'!$AM68,""),"")</f>
        <v/>
      </c>
      <c r="F68" s="64" t="str">
        <f>IF(F$16=1,IF(AND($C68&lt;&gt;"",'Term 2'!$AM68&lt;&gt;""),'Term 2'!$AM68,""),"")</f>
        <v/>
      </c>
      <c r="G68" s="64" t="str">
        <f>IF(G$16=1,IF(AND($C68&lt;&gt;"",'Term 3'!$AM68&lt;&gt;""),'Term 3'!$AM68,""),"")</f>
        <v/>
      </c>
      <c r="H68" s="573" t="str">
        <f>IF(OR(C68="",COUNT(E68:G68)&lt;&gt;$F$13),"",ROUND((SUM(E68:G68)*$I$13)/$J$13,0))</f>
        <v/>
      </c>
      <c r="I68" s="568" t="str">
        <f>IF(H68="","",_xlfn.XLOOKUP(H68,HELPER!$AG$7:$AG$47,HELPER!$AH$7:$AH$47))</f>
        <v/>
      </c>
      <c r="J68" s="68" t="str">
        <f>IF(H68="","",IF(H68&gt;=75,"PASSED","FAILED"))</f>
        <v/>
      </c>
    </row>
    <row r="69" spans="2:10" ht="15.5">
      <c r="B69" s="12">
        <v>2</v>
      </c>
      <c r="C69" s="62" t="str">
        <f>UPPER(IF('INPUT DATA'!R12="","",'INPUT DATA'!R12))</f>
        <v/>
      </c>
      <c r="D69" s="72" t="str">
        <f>UPPER(IF('INPUT DATA'!S12="","",'INPUT DATA'!S12))</f>
        <v/>
      </c>
      <c r="E69" s="64" t="str">
        <f>IF(E$16=1,IF(AND($C69&lt;&gt;"",'Term 1'!$AM69&lt;&gt;""),'Term 1'!$AM69,""),"")</f>
        <v/>
      </c>
      <c r="F69" s="64" t="str">
        <f>IF(F$16=1,IF(AND($C69&lt;&gt;"",'Term 2'!$AM69&lt;&gt;""),'Term 2'!$AM69,""),"")</f>
        <v/>
      </c>
      <c r="G69" s="64" t="str">
        <f>IF(G$16=1,IF(AND($C69&lt;&gt;"",'Term 3'!$AM69&lt;&gt;""),'Term 3'!$AM69,""),"")</f>
        <v/>
      </c>
      <c r="H69" s="573" t="str">
        <f t="shared" ref="H69:H117" si="2">IF(OR(C69="",COUNT(E69:G69)&lt;&gt;$F$13),"",ROUND((SUM(E69:G69)*$I$13)/$J$13,0))</f>
        <v/>
      </c>
      <c r="I69" s="568" t="str">
        <f>IF(H69="","",_xlfn.XLOOKUP(H69,HELPER!$AG$7:$AG$47,HELPER!$AH$7:$AH$47))</f>
        <v/>
      </c>
      <c r="J69" s="68" t="str">
        <f t="shared" ref="J69:J117" si="3">IF(H69="","",IF(H69&gt;=75,"PASSED","FAILED"))</f>
        <v/>
      </c>
    </row>
    <row r="70" spans="2:10" ht="15.5">
      <c r="B70" s="12">
        <v>3</v>
      </c>
      <c r="C70" s="62" t="str">
        <f>UPPER(IF('INPUT DATA'!R13="","",'INPUT DATA'!R13))</f>
        <v/>
      </c>
      <c r="D70" s="72" t="str">
        <f>UPPER(IF('INPUT DATA'!S13="","",'INPUT DATA'!S13))</f>
        <v/>
      </c>
      <c r="E70" s="64" t="str">
        <f>IF(E$16=1,IF(AND($C70&lt;&gt;"",'Term 1'!$AM70&lt;&gt;""),'Term 1'!$AM70,""),"")</f>
        <v/>
      </c>
      <c r="F70" s="64" t="str">
        <f>IF(F$16=1,IF(AND($C70&lt;&gt;"",'Term 2'!$AM70&lt;&gt;""),'Term 2'!$AM70,""),"")</f>
        <v/>
      </c>
      <c r="G70" s="64" t="str">
        <f>IF(G$16=1,IF(AND($C70&lt;&gt;"",'Term 3'!$AM70&lt;&gt;""),'Term 3'!$AM70,""),"")</f>
        <v/>
      </c>
      <c r="H70" s="573" t="str">
        <f t="shared" si="2"/>
        <v/>
      </c>
      <c r="I70" s="568" t="str">
        <f>IF(H70="","",_xlfn.XLOOKUP(H70,HELPER!$AG$7:$AG$47,HELPER!$AH$7:$AH$47))</f>
        <v/>
      </c>
      <c r="J70" s="68" t="str">
        <f t="shared" si="3"/>
        <v/>
      </c>
    </row>
    <row r="71" spans="2:10" ht="15.5">
      <c r="B71" s="12">
        <v>4</v>
      </c>
      <c r="C71" s="62" t="str">
        <f>UPPER(IF('INPUT DATA'!R14="","",'INPUT DATA'!R14))</f>
        <v/>
      </c>
      <c r="D71" s="72" t="str">
        <f>UPPER(IF('INPUT DATA'!S14="","",'INPUT DATA'!S14))</f>
        <v/>
      </c>
      <c r="E71" s="64" t="str">
        <f>IF(E$16=1,IF(AND($C71&lt;&gt;"",'Term 1'!$AM71&lt;&gt;""),'Term 1'!$AM71,""),"")</f>
        <v/>
      </c>
      <c r="F71" s="64" t="str">
        <f>IF(F$16=1,IF(AND($C71&lt;&gt;"",'Term 2'!$AM71&lt;&gt;""),'Term 2'!$AM71,""),"")</f>
        <v/>
      </c>
      <c r="G71" s="64" t="str">
        <f>IF(G$16=1,IF(AND($C71&lt;&gt;"",'Term 3'!$AM71&lt;&gt;""),'Term 3'!$AM71,""),"")</f>
        <v/>
      </c>
      <c r="H71" s="573" t="str">
        <f t="shared" si="2"/>
        <v/>
      </c>
      <c r="I71" s="568" t="str">
        <f>IF(H71="","",_xlfn.XLOOKUP(H71,HELPER!$AG$7:$AG$47,HELPER!$AH$7:$AH$47))</f>
        <v/>
      </c>
      <c r="J71" s="68" t="str">
        <f t="shared" si="3"/>
        <v/>
      </c>
    </row>
    <row r="72" spans="2:10" ht="15.5">
      <c r="B72" s="12">
        <v>5</v>
      </c>
      <c r="C72" s="62" t="str">
        <f>UPPER(IF('INPUT DATA'!R15="","",'INPUT DATA'!R15))</f>
        <v/>
      </c>
      <c r="D72" s="72" t="str">
        <f>UPPER(IF('INPUT DATA'!S15="","",'INPUT DATA'!S15))</f>
        <v/>
      </c>
      <c r="E72" s="64" t="str">
        <f>IF(E$16=1,IF(AND($C72&lt;&gt;"",'Term 1'!$AM72&lt;&gt;""),'Term 1'!$AM72,""),"")</f>
        <v/>
      </c>
      <c r="F72" s="64" t="str">
        <f>IF(F$16=1,IF(AND($C72&lt;&gt;"",'Term 2'!$AM72&lt;&gt;""),'Term 2'!$AM72,""),"")</f>
        <v/>
      </c>
      <c r="G72" s="64" t="str">
        <f>IF(G$16=1,IF(AND($C72&lt;&gt;"",'Term 3'!$AM72&lt;&gt;""),'Term 3'!$AM72,""),"")</f>
        <v/>
      </c>
      <c r="H72" s="573" t="str">
        <f t="shared" si="2"/>
        <v/>
      </c>
      <c r="I72" s="568" t="str">
        <f>IF(H72="","",_xlfn.XLOOKUP(H72,HELPER!$AG$7:$AG$47,HELPER!$AH$7:$AH$47))</f>
        <v/>
      </c>
      <c r="J72" s="68" t="str">
        <f t="shared" si="3"/>
        <v/>
      </c>
    </row>
    <row r="73" spans="2:10" ht="15.5">
      <c r="B73" s="12">
        <v>6</v>
      </c>
      <c r="C73" s="62" t="str">
        <f>UPPER(IF('INPUT DATA'!R16="","",'INPUT DATA'!R16))</f>
        <v/>
      </c>
      <c r="D73" s="72" t="str">
        <f>UPPER(IF('INPUT DATA'!S16="","",'INPUT DATA'!S16))</f>
        <v/>
      </c>
      <c r="E73" s="64" t="str">
        <f>IF(E$16=1,IF(AND($C73&lt;&gt;"",'Term 1'!$AM73&lt;&gt;""),'Term 1'!$AM73,""),"")</f>
        <v/>
      </c>
      <c r="F73" s="64" t="str">
        <f>IF(F$16=1,IF(AND($C73&lt;&gt;"",'Term 2'!$AM73&lt;&gt;""),'Term 2'!$AM73,""),"")</f>
        <v/>
      </c>
      <c r="G73" s="64" t="str">
        <f>IF(G$16=1,IF(AND($C73&lt;&gt;"",'Term 3'!$AM73&lt;&gt;""),'Term 3'!$AM73,""),"")</f>
        <v/>
      </c>
      <c r="H73" s="573" t="str">
        <f t="shared" si="2"/>
        <v/>
      </c>
      <c r="I73" s="568" t="str">
        <f>IF(H73="","",_xlfn.XLOOKUP(H73,HELPER!$AG$7:$AG$47,HELPER!$AH$7:$AH$47))</f>
        <v/>
      </c>
      <c r="J73" s="68" t="str">
        <f t="shared" si="3"/>
        <v/>
      </c>
    </row>
    <row r="74" spans="2:10" ht="15.5">
      <c r="B74" s="12">
        <v>7</v>
      </c>
      <c r="C74" s="62" t="str">
        <f>UPPER(IF('INPUT DATA'!R17="","",'INPUT DATA'!R17))</f>
        <v/>
      </c>
      <c r="D74" s="72" t="str">
        <f>UPPER(IF('INPUT DATA'!S17="","",'INPUT DATA'!S17))</f>
        <v/>
      </c>
      <c r="E74" s="64" t="str">
        <f>IF(E$16=1,IF(AND($C74&lt;&gt;"",'Term 1'!$AM74&lt;&gt;""),'Term 1'!$AM74,""),"")</f>
        <v/>
      </c>
      <c r="F74" s="64" t="str">
        <f>IF(F$16=1,IF(AND($C74&lt;&gt;"",'Term 2'!$AM74&lt;&gt;""),'Term 2'!$AM74,""),"")</f>
        <v/>
      </c>
      <c r="G74" s="64" t="str">
        <f>IF(G$16=1,IF(AND($C74&lt;&gt;"",'Term 3'!$AM74&lt;&gt;""),'Term 3'!$AM74,""),"")</f>
        <v/>
      </c>
      <c r="H74" s="573" t="str">
        <f t="shared" si="2"/>
        <v/>
      </c>
      <c r="I74" s="568" t="str">
        <f>IF(H74="","",_xlfn.XLOOKUP(H74,HELPER!$AG$7:$AG$47,HELPER!$AH$7:$AH$47))</f>
        <v/>
      </c>
      <c r="J74" s="68" t="str">
        <f t="shared" si="3"/>
        <v/>
      </c>
    </row>
    <row r="75" spans="2:10" ht="15.5">
      <c r="B75" s="12">
        <v>8</v>
      </c>
      <c r="C75" s="62" t="str">
        <f>UPPER(IF('INPUT DATA'!R18="","",'INPUT DATA'!R18))</f>
        <v/>
      </c>
      <c r="D75" s="72" t="str">
        <f>UPPER(IF('INPUT DATA'!S18="","",'INPUT DATA'!S18))</f>
        <v/>
      </c>
      <c r="E75" s="64" t="str">
        <f>IF(E$16=1,IF(AND($C75&lt;&gt;"",'Term 1'!$AM75&lt;&gt;""),'Term 1'!$AM75,""),"")</f>
        <v/>
      </c>
      <c r="F75" s="64" t="str">
        <f>IF(F$16=1,IF(AND($C75&lt;&gt;"",'Term 2'!$AM75&lt;&gt;""),'Term 2'!$AM75,""),"")</f>
        <v/>
      </c>
      <c r="G75" s="64" t="str">
        <f>IF(G$16=1,IF(AND($C75&lt;&gt;"",'Term 3'!$AM75&lt;&gt;""),'Term 3'!$AM75,""),"")</f>
        <v/>
      </c>
      <c r="H75" s="573" t="str">
        <f t="shared" si="2"/>
        <v/>
      </c>
      <c r="I75" s="568" t="str">
        <f>IF(H75="","",_xlfn.XLOOKUP(H75,HELPER!$AG$7:$AG$47,HELPER!$AH$7:$AH$47))</f>
        <v/>
      </c>
      <c r="J75" s="68" t="str">
        <f t="shared" si="3"/>
        <v/>
      </c>
    </row>
    <row r="76" spans="2:10" ht="15.5">
      <c r="B76" s="12">
        <v>9</v>
      </c>
      <c r="C76" s="62" t="str">
        <f>UPPER(IF('INPUT DATA'!R19="","",'INPUT DATA'!R19))</f>
        <v/>
      </c>
      <c r="D76" s="72" t="str">
        <f>UPPER(IF('INPUT DATA'!S19="","",'INPUT DATA'!S19))</f>
        <v/>
      </c>
      <c r="E76" s="64" t="str">
        <f>IF(E$16=1,IF(AND($C76&lt;&gt;"",'Term 1'!$AM76&lt;&gt;""),'Term 1'!$AM76,""),"")</f>
        <v/>
      </c>
      <c r="F76" s="64" t="str">
        <f>IF(F$16=1,IF(AND($C76&lt;&gt;"",'Term 2'!$AM76&lt;&gt;""),'Term 2'!$AM76,""),"")</f>
        <v/>
      </c>
      <c r="G76" s="64" t="str">
        <f>IF(G$16=1,IF(AND($C76&lt;&gt;"",'Term 3'!$AM76&lt;&gt;""),'Term 3'!$AM76,""),"")</f>
        <v/>
      </c>
      <c r="H76" s="573" t="str">
        <f t="shared" si="2"/>
        <v/>
      </c>
      <c r="I76" s="568" t="str">
        <f>IF(H76="","",_xlfn.XLOOKUP(H76,HELPER!$AG$7:$AG$47,HELPER!$AH$7:$AH$47))</f>
        <v/>
      </c>
      <c r="J76" s="68" t="str">
        <f t="shared" si="3"/>
        <v/>
      </c>
    </row>
    <row r="77" spans="2:10" ht="15.5">
      <c r="B77" s="12">
        <v>10</v>
      </c>
      <c r="C77" s="62" t="str">
        <f>UPPER(IF('INPUT DATA'!R20="","",'INPUT DATA'!R20))</f>
        <v/>
      </c>
      <c r="D77" s="72" t="str">
        <f>UPPER(IF('INPUT DATA'!S20="","",'INPUT DATA'!S20))</f>
        <v/>
      </c>
      <c r="E77" s="64" t="str">
        <f>IF(E$16=1,IF(AND($C77&lt;&gt;"",'Term 1'!$AM77&lt;&gt;""),'Term 1'!$AM77,""),"")</f>
        <v/>
      </c>
      <c r="F77" s="64" t="str">
        <f>IF(F$16=1,IF(AND($C77&lt;&gt;"",'Term 2'!$AM77&lt;&gt;""),'Term 2'!$AM77,""),"")</f>
        <v/>
      </c>
      <c r="G77" s="64" t="str">
        <f>IF(G$16=1,IF(AND($C77&lt;&gt;"",'Term 3'!$AM77&lt;&gt;""),'Term 3'!$AM77,""),"")</f>
        <v/>
      </c>
      <c r="H77" s="573" t="str">
        <f t="shared" si="2"/>
        <v/>
      </c>
      <c r="I77" s="568" t="str">
        <f>IF(H77="","",_xlfn.XLOOKUP(H77,HELPER!$AG$7:$AG$47,HELPER!$AH$7:$AH$47))</f>
        <v/>
      </c>
      <c r="J77" s="68" t="str">
        <f t="shared" si="3"/>
        <v/>
      </c>
    </row>
    <row r="78" spans="2:10" ht="15.5">
      <c r="B78" s="12">
        <v>11</v>
      </c>
      <c r="C78" s="62" t="str">
        <f>UPPER(IF('INPUT DATA'!R21="","",'INPUT DATA'!R21))</f>
        <v/>
      </c>
      <c r="D78" s="72" t="str">
        <f>UPPER(IF('INPUT DATA'!S21="","",'INPUT DATA'!S21))</f>
        <v/>
      </c>
      <c r="E78" s="64" t="str">
        <f>IF(E$16=1,IF(AND($C78&lt;&gt;"",'Term 1'!$AM78&lt;&gt;""),'Term 1'!$AM78,""),"")</f>
        <v/>
      </c>
      <c r="F78" s="64" t="str">
        <f>IF(F$16=1,IF(AND($C78&lt;&gt;"",'Term 2'!$AM78&lt;&gt;""),'Term 2'!$AM78,""),"")</f>
        <v/>
      </c>
      <c r="G78" s="64" t="str">
        <f>IF(G$16=1,IF(AND($C78&lt;&gt;"",'Term 3'!$AM78&lt;&gt;""),'Term 3'!$AM78,""),"")</f>
        <v/>
      </c>
      <c r="H78" s="573" t="str">
        <f t="shared" si="2"/>
        <v/>
      </c>
      <c r="I78" s="568" t="str">
        <f>IF(H78="","",_xlfn.XLOOKUP(H78,HELPER!$AG$7:$AG$47,HELPER!$AH$7:$AH$47))</f>
        <v/>
      </c>
      <c r="J78" s="68" t="str">
        <f t="shared" si="3"/>
        <v/>
      </c>
    </row>
    <row r="79" spans="2:10" ht="15.5">
      <c r="B79" s="12">
        <v>12</v>
      </c>
      <c r="C79" s="62" t="str">
        <f>UPPER(IF('INPUT DATA'!R22="","",'INPUT DATA'!R22))</f>
        <v/>
      </c>
      <c r="D79" s="72" t="str">
        <f>UPPER(IF('INPUT DATA'!S22="","",'INPUT DATA'!S22))</f>
        <v/>
      </c>
      <c r="E79" s="64" t="str">
        <f>IF(E$16=1,IF(AND($C79&lt;&gt;"",'Term 1'!$AM79&lt;&gt;""),'Term 1'!$AM79,""),"")</f>
        <v/>
      </c>
      <c r="F79" s="64" t="str">
        <f>IF(F$16=1,IF(AND($C79&lt;&gt;"",'Term 2'!$AM79&lt;&gt;""),'Term 2'!$AM79,""),"")</f>
        <v/>
      </c>
      <c r="G79" s="64" t="str">
        <f>IF(G$16=1,IF(AND($C79&lt;&gt;"",'Term 3'!$AM79&lt;&gt;""),'Term 3'!$AM79,""),"")</f>
        <v/>
      </c>
      <c r="H79" s="573" t="str">
        <f t="shared" si="2"/>
        <v/>
      </c>
      <c r="I79" s="568" t="str">
        <f>IF(H79="","",_xlfn.XLOOKUP(H79,HELPER!$AG$7:$AG$47,HELPER!$AH$7:$AH$47))</f>
        <v/>
      </c>
      <c r="J79" s="68" t="str">
        <f t="shared" si="3"/>
        <v/>
      </c>
    </row>
    <row r="80" spans="2:10" ht="15.5">
      <c r="B80" s="12">
        <v>13</v>
      </c>
      <c r="C80" s="62" t="str">
        <f>UPPER(IF('INPUT DATA'!R23="","",'INPUT DATA'!R23))</f>
        <v/>
      </c>
      <c r="D80" s="72" t="str">
        <f>UPPER(IF('INPUT DATA'!S23="","",'INPUT DATA'!S23))</f>
        <v/>
      </c>
      <c r="E80" s="64" t="str">
        <f>IF(E$16=1,IF(AND($C80&lt;&gt;"",'Term 1'!$AM80&lt;&gt;""),'Term 1'!$AM80,""),"")</f>
        <v/>
      </c>
      <c r="F80" s="64" t="str">
        <f>IF(F$16=1,IF(AND($C80&lt;&gt;"",'Term 2'!$AM80&lt;&gt;""),'Term 2'!$AM80,""),"")</f>
        <v/>
      </c>
      <c r="G80" s="64" t="str">
        <f>IF(G$16=1,IF(AND($C80&lt;&gt;"",'Term 3'!$AM80&lt;&gt;""),'Term 3'!$AM80,""),"")</f>
        <v/>
      </c>
      <c r="H80" s="573" t="str">
        <f t="shared" si="2"/>
        <v/>
      </c>
      <c r="I80" s="568" t="str">
        <f>IF(H80="","",_xlfn.XLOOKUP(H80,HELPER!$AG$7:$AG$47,HELPER!$AH$7:$AH$47))</f>
        <v/>
      </c>
      <c r="J80" s="68" t="str">
        <f t="shared" si="3"/>
        <v/>
      </c>
    </row>
    <row r="81" spans="2:10" ht="15.5">
      <c r="B81" s="12">
        <v>14</v>
      </c>
      <c r="C81" s="62" t="str">
        <f>UPPER(IF('INPUT DATA'!R24="","",'INPUT DATA'!R24))</f>
        <v/>
      </c>
      <c r="D81" s="72" t="str">
        <f>UPPER(IF('INPUT DATA'!S24="","",'INPUT DATA'!S24))</f>
        <v/>
      </c>
      <c r="E81" s="64" t="str">
        <f>IF(E$16=1,IF(AND($C81&lt;&gt;"",'Term 1'!$AM81&lt;&gt;""),'Term 1'!$AM81,""),"")</f>
        <v/>
      </c>
      <c r="F81" s="64" t="str">
        <f>IF(F$16=1,IF(AND($C81&lt;&gt;"",'Term 2'!$AM81&lt;&gt;""),'Term 2'!$AM81,""),"")</f>
        <v/>
      </c>
      <c r="G81" s="64" t="str">
        <f>IF(G$16=1,IF(AND($C81&lt;&gt;"",'Term 3'!$AM81&lt;&gt;""),'Term 3'!$AM81,""),"")</f>
        <v/>
      </c>
      <c r="H81" s="573" t="str">
        <f t="shared" si="2"/>
        <v/>
      </c>
      <c r="I81" s="568" t="str">
        <f>IF(H81="","",_xlfn.XLOOKUP(H81,HELPER!$AG$7:$AG$47,HELPER!$AH$7:$AH$47))</f>
        <v/>
      </c>
      <c r="J81" s="68" t="str">
        <f t="shared" si="3"/>
        <v/>
      </c>
    </row>
    <row r="82" spans="2:10" ht="15.5">
      <c r="B82" s="12">
        <v>15</v>
      </c>
      <c r="C82" s="62" t="str">
        <f>UPPER(IF('INPUT DATA'!R25="","",'INPUT DATA'!R25))</f>
        <v/>
      </c>
      <c r="D82" s="72" t="str">
        <f>UPPER(IF('INPUT DATA'!S25="","",'INPUT DATA'!S25))</f>
        <v/>
      </c>
      <c r="E82" s="64" t="str">
        <f>IF(E$16=1,IF(AND($C82&lt;&gt;"",'Term 1'!$AM82&lt;&gt;""),'Term 1'!$AM82,""),"")</f>
        <v/>
      </c>
      <c r="F82" s="64" t="str">
        <f>IF(F$16=1,IF(AND($C82&lt;&gt;"",'Term 2'!$AM82&lt;&gt;""),'Term 2'!$AM82,""),"")</f>
        <v/>
      </c>
      <c r="G82" s="64" t="str">
        <f>IF(G$16=1,IF(AND($C82&lt;&gt;"",'Term 3'!$AM82&lt;&gt;""),'Term 3'!$AM82,""),"")</f>
        <v/>
      </c>
      <c r="H82" s="573" t="str">
        <f t="shared" si="2"/>
        <v/>
      </c>
      <c r="I82" s="568" t="str">
        <f>IF(H82="","",_xlfn.XLOOKUP(H82,HELPER!$AG$7:$AG$47,HELPER!$AH$7:$AH$47))</f>
        <v/>
      </c>
      <c r="J82" s="68" t="str">
        <f t="shared" si="3"/>
        <v/>
      </c>
    </row>
    <row r="83" spans="2:10" ht="15.5" hidden="1">
      <c r="B83" s="12">
        <v>16</v>
      </c>
      <c r="C83" s="62" t="str">
        <f>UPPER(IF('INPUT DATA'!R26="","",'INPUT DATA'!R26))</f>
        <v/>
      </c>
      <c r="D83" s="72" t="str">
        <f>UPPER(IF('INPUT DATA'!S26="","",'INPUT DATA'!S26))</f>
        <v/>
      </c>
      <c r="E83" s="64" t="str">
        <f>IF(E$16=1,IF(AND($C83&lt;&gt;"",'Term 1'!$AM83&lt;&gt;""),'Term 1'!$AM83,""),"")</f>
        <v/>
      </c>
      <c r="F83" s="64" t="str">
        <f>IF(F$16=1,IF(AND($C83&lt;&gt;"",'Term 2'!$AM83&lt;&gt;""),'Term 2'!$AM83,""),"")</f>
        <v/>
      </c>
      <c r="G83" s="64" t="str">
        <f>IF(G$16=1,IF(AND($C83&lt;&gt;"",'Term 3'!$AM83&lt;&gt;""),'Term 3'!$AM83,""),"")</f>
        <v/>
      </c>
      <c r="H83" s="573" t="str">
        <f t="shared" si="2"/>
        <v/>
      </c>
      <c r="I83" s="568" t="str">
        <f>IF(H83="","",_xlfn.XLOOKUP(H83,HELPER!$AG$7:$AG$47,HELPER!$AH$7:$AH$47))</f>
        <v/>
      </c>
      <c r="J83" s="68" t="str">
        <f t="shared" si="3"/>
        <v/>
      </c>
    </row>
    <row r="84" spans="2:10" ht="15.5" hidden="1">
      <c r="B84" s="12">
        <v>17</v>
      </c>
      <c r="C84" s="62" t="str">
        <f>UPPER(IF('INPUT DATA'!R27="","",'INPUT DATA'!R27))</f>
        <v/>
      </c>
      <c r="D84" s="72" t="str">
        <f>UPPER(IF('INPUT DATA'!S27="","",'INPUT DATA'!S27))</f>
        <v/>
      </c>
      <c r="E84" s="64" t="str">
        <f>IF(E$16=1,IF(AND($C84&lt;&gt;"",'Term 1'!$AM84&lt;&gt;""),'Term 1'!$AM84,""),"")</f>
        <v/>
      </c>
      <c r="F84" s="64" t="str">
        <f>IF(F$16=1,IF(AND($C84&lt;&gt;"",'Term 2'!$AM84&lt;&gt;""),'Term 2'!$AM84,""),"")</f>
        <v/>
      </c>
      <c r="G84" s="64" t="str">
        <f>IF(G$16=1,IF(AND($C84&lt;&gt;"",'Term 3'!$AM84&lt;&gt;""),'Term 3'!$AM84,""),"")</f>
        <v/>
      </c>
      <c r="H84" s="573" t="str">
        <f t="shared" si="2"/>
        <v/>
      </c>
      <c r="I84" s="568" t="str">
        <f>IF(H84="","",_xlfn.XLOOKUP(H84,HELPER!$AG$7:$AG$47,HELPER!$AH$7:$AH$47))</f>
        <v/>
      </c>
      <c r="J84" s="68" t="str">
        <f t="shared" si="3"/>
        <v/>
      </c>
    </row>
    <row r="85" spans="2:10" ht="15.5" hidden="1">
      <c r="B85" s="12">
        <v>18</v>
      </c>
      <c r="C85" s="62" t="str">
        <f>UPPER(IF('INPUT DATA'!R28="","",'INPUT DATA'!R28))</f>
        <v/>
      </c>
      <c r="D85" s="72" t="str">
        <f>UPPER(IF('INPUT DATA'!S28="","",'INPUT DATA'!S28))</f>
        <v/>
      </c>
      <c r="E85" s="64" t="str">
        <f>IF(E$16=1,IF(AND($C85&lt;&gt;"",'Term 1'!$AM85&lt;&gt;""),'Term 1'!$AM85,""),"")</f>
        <v/>
      </c>
      <c r="F85" s="64" t="str">
        <f>IF(F$16=1,IF(AND($C85&lt;&gt;"",'Term 2'!$AM85&lt;&gt;""),'Term 2'!$AM85,""),"")</f>
        <v/>
      </c>
      <c r="G85" s="64" t="str">
        <f>IF(G$16=1,IF(AND($C85&lt;&gt;"",'Term 3'!$AM85&lt;&gt;""),'Term 3'!$AM85,""),"")</f>
        <v/>
      </c>
      <c r="H85" s="573" t="str">
        <f t="shared" si="2"/>
        <v/>
      </c>
      <c r="I85" s="568" t="str">
        <f>IF(H85="","",_xlfn.XLOOKUP(H85,HELPER!$AG$7:$AG$47,HELPER!$AH$7:$AH$47))</f>
        <v/>
      </c>
      <c r="J85" s="68" t="str">
        <f t="shared" si="3"/>
        <v/>
      </c>
    </row>
    <row r="86" spans="2:10" ht="15.5" hidden="1">
      <c r="B86" s="12">
        <v>19</v>
      </c>
      <c r="C86" s="62" t="str">
        <f>UPPER(IF('INPUT DATA'!R29="","",'INPUT DATA'!R29))</f>
        <v/>
      </c>
      <c r="D86" s="72" t="str">
        <f>UPPER(IF('INPUT DATA'!S29="","",'INPUT DATA'!S29))</f>
        <v/>
      </c>
      <c r="E86" s="64" t="str">
        <f>IF(E$16=1,IF(AND($C86&lt;&gt;"",'Term 1'!$AM86&lt;&gt;""),'Term 1'!$AM86,""),"")</f>
        <v/>
      </c>
      <c r="F86" s="64" t="str">
        <f>IF(F$16=1,IF(AND($C86&lt;&gt;"",'Term 2'!$AM86&lt;&gt;""),'Term 2'!$AM86,""),"")</f>
        <v/>
      </c>
      <c r="G86" s="64" t="str">
        <f>IF(G$16=1,IF(AND($C86&lt;&gt;"",'Term 3'!$AM86&lt;&gt;""),'Term 3'!$AM86,""),"")</f>
        <v/>
      </c>
      <c r="H86" s="573" t="str">
        <f t="shared" si="2"/>
        <v/>
      </c>
      <c r="I86" s="568" t="str">
        <f>IF(H86="","",_xlfn.XLOOKUP(H86,HELPER!$AG$7:$AG$47,HELPER!$AH$7:$AH$47))</f>
        <v/>
      </c>
      <c r="J86" s="68" t="str">
        <f t="shared" si="3"/>
        <v/>
      </c>
    </row>
    <row r="87" spans="2:10" ht="15.5" hidden="1">
      <c r="B87" s="12">
        <v>20</v>
      </c>
      <c r="C87" s="62" t="str">
        <f>UPPER(IF('INPUT DATA'!R30="","",'INPUT DATA'!R30))</f>
        <v/>
      </c>
      <c r="D87" s="72" t="str">
        <f>UPPER(IF('INPUT DATA'!S30="","",'INPUT DATA'!S30))</f>
        <v/>
      </c>
      <c r="E87" s="64" t="str">
        <f>IF(E$16=1,IF(AND($C87&lt;&gt;"",'Term 1'!$AM87&lt;&gt;""),'Term 1'!$AM87,""),"")</f>
        <v/>
      </c>
      <c r="F87" s="64" t="str">
        <f>IF(F$16=1,IF(AND($C87&lt;&gt;"",'Term 2'!$AM87&lt;&gt;""),'Term 2'!$AM87,""),"")</f>
        <v/>
      </c>
      <c r="G87" s="64" t="str">
        <f>IF(G$16=1,IF(AND($C87&lt;&gt;"",'Term 3'!$AM87&lt;&gt;""),'Term 3'!$AM87,""),"")</f>
        <v/>
      </c>
      <c r="H87" s="573" t="str">
        <f t="shared" si="2"/>
        <v/>
      </c>
      <c r="I87" s="568" t="str">
        <f>IF(H87="","",_xlfn.XLOOKUP(H87,HELPER!$AG$7:$AG$47,HELPER!$AH$7:$AH$47))</f>
        <v/>
      </c>
      <c r="J87" s="68" t="str">
        <f t="shared" si="3"/>
        <v/>
      </c>
    </row>
    <row r="88" spans="2:10" ht="15.5" hidden="1">
      <c r="B88" s="12">
        <v>21</v>
      </c>
      <c r="C88" s="62" t="str">
        <f>UPPER(IF('INPUT DATA'!R31="","",'INPUT DATA'!R31))</f>
        <v/>
      </c>
      <c r="D88" s="72" t="str">
        <f>UPPER(IF('INPUT DATA'!S31="","",'INPUT DATA'!S31))</f>
        <v/>
      </c>
      <c r="E88" s="64" t="str">
        <f>IF(E$16=1,IF(AND($C88&lt;&gt;"",'Term 1'!$AM88&lt;&gt;""),'Term 1'!$AM88,""),"")</f>
        <v/>
      </c>
      <c r="F88" s="64" t="str">
        <f>IF(F$16=1,IF(AND($C88&lt;&gt;"",'Term 2'!$AM88&lt;&gt;""),'Term 2'!$AM88,""),"")</f>
        <v/>
      </c>
      <c r="G88" s="64" t="str">
        <f>IF(G$16=1,IF(AND($C88&lt;&gt;"",'Term 3'!$AM88&lt;&gt;""),'Term 3'!$AM88,""),"")</f>
        <v/>
      </c>
      <c r="H88" s="573" t="str">
        <f t="shared" si="2"/>
        <v/>
      </c>
      <c r="I88" s="568" t="str">
        <f>IF(H88="","",_xlfn.XLOOKUP(H88,HELPER!$AG$7:$AG$47,HELPER!$AH$7:$AH$47))</f>
        <v/>
      </c>
      <c r="J88" s="68" t="str">
        <f t="shared" si="3"/>
        <v/>
      </c>
    </row>
    <row r="89" spans="2:10" ht="15.5" hidden="1">
      <c r="B89" s="12">
        <v>22</v>
      </c>
      <c r="C89" s="62" t="str">
        <f>UPPER(IF('INPUT DATA'!R32="","",'INPUT DATA'!R32))</f>
        <v/>
      </c>
      <c r="D89" s="72" t="str">
        <f>UPPER(IF('INPUT DATA'!S32="","",'INPUT DATA'!S32))</f>
        <v/>
      </c>
      <c r="E89" s="64" t="str">
        <f>IF(E$16=1,IF(AND($C89&lt;&gt;"",'Term 1'!$AM89&lt;&gt;""),'Term 1'!$AM89,""),"")</f>
        <v/>
      </c>
      <c r="F89" s="64" t="str">
        <f>IF(F$16=1,IF(AND($C89&lt;&gt;"",'Term 2'!$AM89&lt;&gt;""),'Term 2'!$AM89,""),"")</f>
        <v/>
      </c>
      <c r="G89" s="64" t="str">
        <f>IF(G$16=1,IF(AND($C89&lt;&gt;"",'Term 3'!$AM89&lt;&gt;""),'Term 3'!$AM89,""),"")</f>
        <v/>
      </c>
      <c r="H89" s="573" t="str">
        <f t="shared" si="2"/>
        <v/>
      </c>
      <c r="I89" s="568" t="str">
        <f>IF(H89="","",_xlfn.XLOOKUP(H89,HELPER!$AG$7:$AG$47,HELPER!$AH$7:$AH$47))</f>
        <v/>
      </c>
      <c r="J89" s="68" t="str">
        <f t="shared" si="3"/>
        <v/>
      </c>
    </row>
    <row r="90" spans="2:10" ht="15.5" hidden="1">
      <c r="B90" s="12">
        <v>23</v>
      </c>
      <c r="C90" s="62" t="str">
        <f>UPPER(IF('INPUT DATA'!R33="","",'INPUT DATA'!R33))</f>
        <v/>
      </c>
      <c r="D90" s="72" t="str">
        <f>UPPER(IF('INPUT DATA'!S33="","",'INPUT DATA'!S33))</f>
        <v/>
      </c>
      <c r="E90" s="64" t="str">
        <f>IF(E$16=1,IF(AND($C90&lt;&gt;"",'Term 1'!$AM90&lt;&gt;""),'Term 1'!$AM90,""),"")</f>
        <v/>
      </c>
      <c r="F90" s="64" t="str">
        <f>IF(F$16=1,IF(AND($C90&lt;&gt;"",'Term 2'!$AM90&lt;&gt;""),'Term 2'!$AM90,""),"")</f>
        <v/>
      </c>
      <c r="G90" s="64" t="str">
        <f>IF(G$16=1,IF(AND($C90&lt;&gt;"",'Term 3'!$AM90&lt;&gt;""),'Term 3'!$AM90,""),"")</f>
        <v/>
      </c>
      <c r="H90" s="573" t="str">
        <f t="shared" si="2"/>
        <v/>
      </c>
      <c r="I90" s="568" t="str">
        <f>IF(H90="","",_xlfn.XLOOKUP(H90,HELPER!$AG$7:$AG$47,HELPER!$AH$7:$AH$47))</f>
        <v/>
      </c>
      <c r="J90" s="68" t="str">
        <f t="shared" si="3"/>
        <v/>
      </c>
    </row>
    <row r="91" spans="2:10" ht="15.5" hidden="1">
      <c r="B91" s="12">
        <v>24</v>
      </c>
      <c r="C91" s="62" t="str">
        <f>UPPER(IF('INPUT DATA'!R34="","",'INPUT DATA'!R34))</f>
        <v/>
      </c>
      <c r="D91" s="72" t="str">
        <f>UPPER(IF('INPUT DATA'!S34="","",'INPUT DATA'!S34))</f>
        <v/>
      </c>
      <c r="E91" s="64" t="str">
        <f>IF(E$16=1,IF(AND($C91&lt;&gt;"",'Term 1'!$AM91&lt;&gt;""),'Term 1'!$AM91,""),"")</f>
        <v/>
      </c>
      <c r="F91" s="64" t="str">
        <f>IF(F$16=1,IF(AND($C91&lt;&gt;"",'Term 2'!$AM91&lt;&gt;""),'Term 2'!$AM91,""),"")</f>
        <v/>
      </c>
      <c r="G91" s="64" t="str">
        <f>IF(G$16=1,IF(AND($C91&lt;&gt;"",'Term 3'!$AM91&lt;&gt;""),'Term 3'!$AM91,""),"")</f>
        <v/>
      </c>
      <c r="H91" s="573" t="str">
        <f t="shared" si="2"/>
        <v/>
      </c>
      <c r="I91" s="568" t="str">
        <f>IF(H91="","",_xlfn.XLOOKUP(H91,HELPER!$AG$7:$AG$47,HELPER!$AH$7:$AH$47))</f>
        <v/>
      </c>
      <c r="J91" s="68" t="str">
        <f t="shared" si="3"/>
        <v/>
      </c>
    </row>
    <row r="92" spans="2:10" ht="15.5" hidden="1">
      <c r="B92" s="12">
        <v>25</v>
      </c>
      <c r="C92" s="62" t="str">
        <f>UPPER(IF('INPUT DATA'!R35="","",'INPUT DATA'!R35))</f>
        <v/>
      </c>
      <c r="D92" s="72" t="str">
        <f>UPPER(IF('INPUT DATA'!S35="","",'INPUT DATA'!S35))</f>
        <v/>
      </c>
      <c r="E92" s="64" t="str">
        <f>IF(E$16=1,IF(AND($C92&lt;&gt;"",'Term 1'!$AM92&lt;&gt;""),'Term 1'!$AM92,""),"")</f>
        <v/>
      </c>
      <c r="F92" s="64" t="str">
        <f>IF(F$16=1,IF(AND($C92&lt;&gt;"",'Term 2'!$AM92&lt;&gt;""),'Term 2'!$AM92,""),"")</f>
        <v/>
      </c>
      <c r="G92" s="64" t="str">
        <f>IF(G$16=1,IF(AND($C92&lt;&gt;"",'Term 3'!$AM92&lt;&gt;""),'Term 3'!$AM92,""),"")</f>
        <v/>
      </c>
      <c r="H92" s="573" t="str">
        <f t="shared" si="2"/>
        <v/>
      </c>
      <c r="I92" s="568" t="str">
        <f>IF(H92="","",_xlfn.XLOOKUP(H92,HELPER!$AG$7:$AG$47,HELPER!$AH$7:$AH$47))</f>
        <v/>
      </c>
      <c r="J92" s="68" t="str">
        <f t="shared" si="3"/>
        <v/>
      </c>
    </row>
    <row r="93" spans="2:10" ht="15.5" hidden="1">
      <c r="B93" s="12">
        <v>26</v>
      </c>
      <c r="C93" s="62" t="str">
        <f>UPPER(IF('INPUT DATA'!R36="","",'INPUT DATA'!R36))</f>
        <v/>
      </c>
      <c r="D93" s="72" t="str">
        <f>UPPER(IF('INPUT DATA'!S36="","",'INPUT DATA'!S36))</f>
        <v/>
      </c>
      <c r="E93" s="64" t="str">
        <f>IF(E$16=1,IF(AND($C93&lt;&gt;"",'Term 1'!$AM93&lt;&gt;""),'Term 1'!$AM93,""),"")</f>
        <v/>
      </c>
      <c r="F93" s="64" t="str">
        <f>IF(F$16=1,IF(AND($C93&lt;&gt;"",'Term 2'!$AM93&lt;&gt;""),'Term 2'!$AM93,""),"")</f>
        <v/>
      </c>
      <c r="G93" s="64" t="str">
        <f>IF(G$16=1,IF(AND($C93&lt;&gt;"",'Term 3'!$AM93&lt;&gt;""),'Term 3'!$AM93,""),"")</f>
        <v/>
      </c>
      <c r="H93" s="573" t="str">
        <f t="shared" si="2"/>
        <v/>
      </c>
      <c r="I93" s="568" t="str">
        <f>IF(H93="","",_xlfn.XLOOKUP(H93,HELPER!$AG$7:$AG$47,HELPER!$AH$7:$AH$47))</f>
        <v/>
      </c>
      <c r="J93" s="68" t="str">
        <f t="shared" si="3"/>
        <v/>
      </c>
    </row>
    <row r="94" spans="2:10" ht="15.5" hidden="1">
      <c r="B94" s="12">
        <v>27</v>
      </c>
      <c r="C94" s="62" t="str">
        <f>UPPER(IF('INPUT DATA'!R37="","",'INPUT DATA'!R37))</f>
        <v/>
      </c>
      <c r="D94" s="72" t="str">
        <f>UPPER(IF('INPUT DATA'!S37="","",'INPUT DATA'!S37))</f>
        <v/>
      </c>
      <c r="E94" s="64" t="str">
        <f>IF(E$16=1,IF(AND($C94&lt;&gt;"",'Term 1'!$AM94&lt;&gt;""),'Term 1'!$AM94,""),"")</f>
        <v/>
      </c>
      <c r="F94" s="64" t="str">
        <f>IF(F$16=1,IF(AND($C94&lt;&gt;"",'Term 2'!$AM94&lt;&gt;""),'Term 2'!$AM94,""),"")</f>
        <v/>
      </c>
      <c r="G94" s="64" t="str">
        <f>IF(G$16=1,IF(AND($C94&lt;&gt;"",'Term 3'!$AM94&lt;&gt;""),'Term 3'!$AM94,""),"")</f>
        <v/>
      </c>
      <c r="H94" s="573" t="str">
        <f t="shared" si="2"/>
        <v/>
      </c>
      <c r="I94" s="568" t="str">
        <f>IF(H94="","",_xlfn.XLOOKUP(H94,HELPER!$AG$7:$AG$47,HELPER!$AH$7:$AH$47))</f>
        <v/>
      </c>
      <c r="J94" s="68" t="str">
        <f t="shared" si="3"/>
        <v/>
      </c>
    </row>
    <row r="95" spans="2:10" ht="15.5" hidden="1">
      <c r="B95" s="12">
        <v>28</v>
      </c>
      <c r="C95" s="62" t="str">
        <f>UPPER(IF('INPUT DATA'!R38="","",'INPUT DATA'!R38))</f>
        <v/>
      </c>
      <c r="D95" s="72" t="str">
        <f>UPPER(IF('INPUT DATA'!S38="","",'INPUT DATA'!S38))</f>
        <v/>
      </c>
      <c r="E95" s="64" t="str">
        <f>IF(E$16=1,IF(AND($C95&lt;&gt;"",'Term 1'!$AM95&lt;&gt;""),'Term 1'!$AM95,""),"")</f>
        <v/>
      </c>
      <c r="F95" s="64" t="str">
        <f>IF(F$16=1,IF(AND($C95&lt;&gt;"",'Term 2'!$AM95&lt;&gt;""),'Term 2'!$AM95,""),"")</f>
        <v/>
      </c>
      <c r="G95" s="64" t="str">
        <f>IF(G$16=1,IF(AND($C95&lt;&gt;"",'Term 3'!$AM95&lt;&gt;""),'Term 3'!$AM95,""),"")</f>
        <v/>
      </c>
      <c r="H95" s="573" t="str">
        <f t="shared" si="2"/>
        <v/>
      </c>
      <c r="I95" s="568" t="str">
        <f>IF(H95="","",_xlfn.XLOOKUP(H95,HELPER!$AG$7:$AG$47,HELPER!$AH$7:$AH$47))</f>
        <v/>
      </c>
      <c r="J95" s="68" t="str">
        <f t="shared" si="3"/>
        <v/>
      </c>
    </row>
    <row r="96" spans="2:10" ht="15.5" hidden="1">
      <c r="B96" s="12">
        <v>29</v>
      </c>
      <c r="C96" s="62" t="str">
        <f>UPPER(IF('INPUT DATA'!R39="","",'INPUT DATA'!R39))</f>
        <v/>
      </c>
      <c r="D96" s="72" t="str">
        <f>UPPER(IF('INPUT DATA'!S39="","",'INPUT DATA'!S39))</f>
        <v/>
      </c>
      <c r="E96" s="64" t="str">
        <f>IF(E$16=1,IF(AND($C96&lt;&gt;"",'Term 1'!$AM96&lt;&gt;""),'Term 1'!$AM96,""),"")</f>
        <v/>
      </c>
      <c r="F96" s="64" t="str">
        <f>IF(F$16=1,IF(AND($C96&lt;&gt;"",'Term 2'!$AM96&lt;&gt;""),'Term 2'!$AM96,""),"")</f>
        <v/>
      </c>
      <c r="G96" s="64" t="str">
        <f>IF(G$16=1,IF(AND($C96&lt;&gt;"",'Term 3'!$AM96&lt;&gt;""),'Term 3'!$AM96,""),"")</f>
        <v/>
      </c>
      <c r="H96" s="573" t="str">
        <f t="shared" si="2"/>
        <v/>
      </c>
      <c r="I96" s="568" t="str">
        <f>IF(H96="","",_xlfn.XLOOKUP(H96,HELPER!$AG$7:$AG$47,HELPER!$AH$7:$AH$47))</f>
        <v/>
      </c>
      <c r="J96" s="68" t="str">
        <f t="shared" si="3"/>
        <v/>
      </c>
    </row>
    <row r="97" spans="2:10" ht="15.5" hidden="1">
      <c r="B97" s="12">
        <v>30</v>
      </c>
      <c r="C97" s="62" t="str">
        <f>UPPER(IF('INPUT DATA'!R40="","",'INPUT DATA'!R40))</f>
        <v/>
      </c>
      <c r="D97" s="72" t="str">
        <f>UPPER(IF('INPUT DATA'!S40="","",'INPUT DATA'!S40))</f>
        <v/>
      </c>
      <c r="E97" s="64" t="str">
        <f>IF(E$16=1,IF(AND($C97&lt;&gt;"",'Term 1'!$AM97&lt;&gt;""),'Term 1'!$AM97,""),"")</f>
        <v/>
      </c>
      <c r="F97" s="64" t="str">
        <f>IF(F$16=1,IF(AND($C97&lt;&gt;"",'Term 2'!$AM97&lt;&gt;""),'Term 2'!$AM97,""),"")</f>
        <v/>
      </c>
      <c r="G97" s="64" t="str">
        <f>IF(G$16=1,IF(AND($C97&lt;&gt;"",'Term 3'!$AM97&lt;&gt;""),'Term 3'!$AM97,""),"")</f>
        <v/>
      </c>
      <c r="H97" s="573" t="str">
        <f t="shared" si="2"/>
        <v/>
      </c>
      <c r="I97" s="568" t="str">
        <f>IF(H97="","",_xlfn.XLOOKUP(H97,HELPER!$AG$7:$AG$47,HELPER!$AH$7:$AH$47))</f>
        <v/>
      </c>
      <c r="J97" s="68" t="str">
        <f t="shared" si="3"/>
        <v/>
      </c>
    </row>
    <row r="98" spans="2:10" ht="15.5" hidden="1">
      <c r="B98" s="12">
        <v>31</v>
      </c>
      <c r="C98" s="62" t="str">
        <f>UPPER(IF('INPUT DATA'!R41="","",'INPUT DATA'!R41))</f>
        <v/>
      </c>
      <c r="D98" s="72" t="str">
        <f>UPPER(IF('INPUT DATA'!S41="","",'INPUT DATA'!S41))</f>
        <v/>
      </c>
      <c r="E98" s="64" t="str">
        <f>IF(E$16=1,IF(AND($C98&lt;&gt;"",'Term 1'!$AM98&lt;&gt;""),'Term 1'!$AM98,""),"")</f>
        <v/>
      </c>
      <c r="F98" s="64" t="str">
        <f>IF(F$16=1,IF(AND($C98&lt;&gt;"",'Term 2'!$AM98&lt;&gt;""),'Term 2'!$AM98,""),"")</f>
        <v/>
      </c>
      <c r="G98" s="64" t="str">
        <f>IF(G$16=1,IF(AND($C98&lt;&gt;"",'Term 3'!$AM98&lt;&gt;""),'Term 3'!$AM98,""),"")</f>
        <v/>
      </c>
      <c r="H98" s="573" t="str">
        <f t="shared" si="2"/>
        <v/>
      </c>
      <c r="I98" s="568" t="str">
        <f>IF(H98="","",_xlfn.XLOOKUP(H98,HELPER!$AG$7:$AG$47,HELPER!$AH$7:$AH$47))</f>
        <v/>
      </c>
      <c r="J98" s="68" t="str">
        <f t="shared" si="3"/>
        <v/>
      </c>
    </row>
    <row r="99" spans="2:10" ht="15.5" hidden="1">
      <c r="B99" s="12">
        <v>32</v>
      </c>
      <c r="C99" s="62" t="str">
        <f>UPPER(IF('INPUT DATA'!R42="","",'INPUT DATA'!R42))</f>
        <v/>
      </c>
      <c r="D99" s="72" t="str">
        <f>UPPER(IF('INPUT DATA'!S42="","",'INPUT DATA'!S42))</f>
        <v/>
      </c>
      <c r="E99" s="64" t="str">
        <f>IF(E$16=1,IF(AND($C99&lt;&gt;"",'Term 1'!$AM99&lt;&gt;""),'Term 1'!$AM99,""),"")</f>
        <v/>
      </c>
      <c r="F99" s="64" t="str">
        <f>IF(F$16=1,IF(AND($C99&lt;&gt;"",'Term 2'!$AM99&lt;&gt;""),'Term 2'!$AM99,""),"")</f>
        <v/>
      </c>
      <c r="G99" s="64" t="str">
        <f>IF(G$16=1,IF(AND($C99&lt;&gt;"",'Term 3'!$AM99&lt;&gt;""),'Term 3'!$AM99,""),"")</f>
        <v/>
      </c>
      <c r="H99" s="573" t="str">
        <f t="shared" si="2"/>
        <v/>
      </c>
      <c r="I99" s="568" t="str">
        <f>IF(H99="","",_xlfn.XLOOKUP(H99,HELPER!$AG$7:$AG$47,HELPER!$AH$7:$AH$47))</f>
        <v/>
      </c>
      <c r="J99" s="68" t="str">
        <f t="shared" si="3"/>
        <v/>
      </c>
    </row>
    <row r="100" spans="2:10" ht="15.5" hidden="1">
      <c r="B100" s="12">
        <v>33</v>
      </c>
      <c r="C100" s="62" t="str">
        <f>UPPER(IF('INPUT DATA'!R43="","",'INPUT DATA'!R43))</f>
        <v/>
      </c>
      <c r="D100" s="72" t="str">
        <f>UPPER(IF('INPUT DATA'!S43="","",'INPUT DATA'!S43))</f>
        <v/>
      </c>
      <c r="E100" s="64" t="str">
        <f>IF(E$16=1,IF(AND($C100&lt;&gt;"",'Term 1'!$AM100&lt;&gt;""),'Term 1'!$AM100,""),"")</f>
        <v/>
      </c>
      <c r="F100" s="64" t="str">
        <f>IF(F$16=1,IF(AND($C100&lt;&gt;"",'Term 2'!$AM100&lt;&gt;""),'Term 2'!$AM100,""),"")</f>
        <v/>
      </c>
      <c r="G100" s="64" t="str">
        <f>IF(G$16=1,IF(AND($C100&lt;&gt;"",'Term 3'!$AM100&lt;&gt;""),'Term 3'!$AM100,""),"")</f>
        <v/>
      </c>
      <c r="H100" s="573" t="str">
        <f t="shared" si="2"/>
        <v/>
      </c>
      <c r="I100" s="568" t="str">
        <f>IF(H100="","",_xlfn.XLOOKUP(H100,HELPER!$AG$7:$AG$47,HELPER!$AH$7:$AH$47))</f>
        <v/>
      </c>
      <c r="J100" s="68" t="str">
        <f t="shared" si="3"/>
        <v/>
      </c>
    </row>
    <row r="101" spans="2:10" ht="15.5" hidden="1">
      <c r="B101" s="12">
        <v>34</v>
      </c>
      <c r="C101" s="62" t="str">
        <f>UPPER(IF('INPUT DATA'!R44="","",'INPUT DATA'!R44))</f>
        <v/>
      </c>
      <c r="D101" s="72" t="str">
        <f>UPPER(IF('INPUT DATA'!S44="","",'INPUT DATA'!S44))</f>
        <v/>
      </c>
      <c r="E101" s="64" t="str">
        <f>IF(E$16=1,IF(AND($C101&lt;&gt;"",'Term 1'!$AM101&lt;&gt;""),'Term 1'!$AM101,""),"")</f>
        <v/>
      </c>
      <c r="F101" s="64" t="str">
        <f>IF(F$16=1,IF(AND($C101&lt;&gt;"",'Term 2'!$AM101&lt;&gt;""),'Term 2'!$AM101,""),"")</f>
        <v/>
      </c>
      <c r="G101" s="64" t="str">
        <f>IF(G$16=1,IF(AND($C101&lt;&gt;"",'Term 3'!$AM101&lt;&gt;""),'Term 3'!$AM101,""),"")</f>
        <v/>
      </c>
      <c r="H101" s="573" t="str">
        <f t="shared" si="2"/>
        <v/>
      </c>
      <c r="I101" s="568" t="str">
        <f>IF(H101="","",_xlfn.XLOOKUP(H101,HELPER!$AG$7:$AG$47,HELPER!$AH$7:$AH$47))</f>
        <v/>
      </c>
      <c r="J101" s="68" t="str">
        <f t="shared" si="3"/>
        <v/>
      </c>
    </row>
    <row r="102" spans="2:10" ht="15.5" hidden="1">
      <c r="B102" s="12">
        <v>35</v>
      </c>
      <c r="C102" s="62" t="str">
        <f>UPPER(IF('INPUT DATA'!R45="","",'INPUT DATA'!R45))</f>
        <v/>
      </c>
      <c r="D102" s="72" t="str">
        <f>UPPER(IF('INPUT DATA'!S45="","",'INPUT DATA'!S45))</f>
        <v/>
      </c>
      <c r="E102" s="64" t="str">
        <f>IF(E$16=1,IF(AND($C102&lt;&gt;"",'Term 1'!$AM102&lt;&gt;""),'Term 1'!$AM102,""),"")</f>
        <v/>
      </c>
      <c r="F102" s="64" t="str">
        <f>IF(F$16=1,IF(AND($C102&lt;&gt;"",'Term 2'!$AM102&lt;&gt;""),'Term 2'!$AM102,""),"")</f>
        <v/>
      </c>
      <c r="G102" s="64" t="str">
        <f>IF(G$16=1,IF(AND($C102&lt;&gt;"",'Term 3'!$AM102&lt;&gt;""),'Term 3'!$AM102,""),"")</f>
        <v/>
      </c>
      <c r="H102" s="573" t="str">
        <f t="shared" si="2"/>
        <v/>
      </c>
      <c r="I102" s="568" t="str">
        <f>IF(H102="","",_xlfn.XLOOKUP(H102,HELPER!$AG$7:$AG$47,HELPER!$AH$7:$AH$47))</f>
        <v/>
      </c>
      <c r="J102" s="68" t="str">
        <f t="shared" si="3"/>
        <v/>
      </c>
    </row>
    <row r="103" spans="2:10" ht="15.5" hidden="1">
      <c r="B103" s="12">
        <v>36</v>
      </c>
      <c r="C103" s="62" t="str">
        <f>UPPER(IF('INPUT DATA'!R46="","",'INPUT DATA'!R46))</f>
        <v/>
      </c>
      <c r="D103" s="72" t="str">
        <f>UPPER(IF('INPUT DATA'!S46="","",'INPUT DATA'!S46))</f>
        <v/>
      </c>
      <c r="E103" s="64" t="str">
        <f>IF(E$16=1,IF(AND($C103&lt;&gt;"",'Term 1'!$AM103&lt;&gt;""),'Term 1'!$AM103,""),"")</f>
        <v/>
      </c>
      <c r="F103" s="64" t="str">
        <f>IF(F$16=1,IF(AND($C103&lt;&gt;"",'Term 2'!$AM103&lt;&gt;""),'Term 2'!$AM103,""),"")</f>
        <v/>
      </c>
      <c r="G103" s="64" t="str">
        <f>IF(G$16=1,IF(AND($C103&lt;&gt;"",'Term 3'!$AM103&lt;&gt;""),'Term 3'!$AM103,""),"")</f>
        <v/>
      </c>
      <c r="H103" s="573" t="str">
        <f t="shared" si="2"/>
        <v/>
      </c>
      <c r="I103" s="568" t="str">
        <f>IF(H103="","",_xlfn.XLOOKUP(H103,HELPER!$AG$7:$AG$47,HELPER!$AH$7:$AH$47))</f>
        <v/>
      </c>
      <c r="J103" s="68" t="str">
        <f t="shared" si="3"/>
        <v/>
      </c>
    </row>
    <row r="104" spans="2:10" ht="15.5" hidden="1">
      <c r="B104" s="12">
        <v>37</v>
      </c>
      <c r="C104" s="62" t="str">
        <f>UPPER(IF('INPUT DATA'!R47="","",'INPUT DATA'!R47))</f>
        <v/>
      </c>
      <c r="D104" s="72" t="str">
        <f>UPPER(IF('INPUT DATA'!S47="","",'INPUT DATA'!S47))</f>
        <v/>
      </c>
      <c r="E104" s="64" t="str">
        <f>IF(E$16=1,IF(AND($C104&lt;&gt;"",'Term 1'!$AM104&lt;&gt;""),'Term 1'!$AM104,""),"")</f>
        <v/>
      </c>
      <c r="F104" s="64" t="str">
        <f>IF(F$16=1,IF(AND($C104&lt;&gt;"",'Term 2'!$AM104&lt;&gt;""),'Term 2'!$AM104,""),"")</f>
        <v/>
      </c>
      <c r="G104" s="64" t="str">
        <f>IF(G$16=1,IF(AND($C104&lt;&gt;"",'Term 3'!$AM104&lt;&gt;""),'Term 3'!$AM104,""),"")</f>
        <v/>
      </c>
      <c r="H104" s="573" t="str">
        <f t="shared" si="2"/>
        <v/>
      </c>
      <c r="I104" s="568" t="str">
        <f>IF(H104="","",_xlfn.XLOOKUP(H104,HELPER!$AG$7:$AG$47,HELPER!$AH$7:$AH$47))</f>
        <v/>
      </c>
      <c r="J104" s="68" t="str">
        <f t="shared" si="3"/>
        <v/>
      </c>
    </row>
    <row r="105" spans="2:10" ht="15.5" hidden="1">
      <c r="B105" s="12">
        <v>38</v>
      </c>
      <c r="C105" s="62" t="str">
        <f>UPPER(IF('INPUT DATA'!R48="","",'INPUT DATA'!R48))</f>
        <v/>
      </c>
      <c r="D105" s="72" t="str">
        <f>UPPER(IF('INPUT DATA'!S48="","",'INPUT DATA'!S48))</f>
        <v/>
      </c>
      <c r="E105" s="64" t="str">
        <f>IF(E$16=1,IF(AND($C105&lt;&gt;"",'Term 1'!$AM105&lt;&gt;""),'Term 1'!$AM105,""),"")</f>
        <v/>
      </c>
      <c r="F105" s="64" t="str">
        <f>IF(F$16=1,IF(AND($C105&lt;&gt;"",'Term 2'!$AM105&lt;&gt;""),'Term 2'!$AM105,""),"")</f>
        <v/>
      </c>
      <c r="G105" s="64" t="str">
        <f>IF(G$16=1,IF(AND($C105&lt;&gt;"",'Term 3'!$AM105&lt;&gt;""),'Term 3'!$AM105,""),"")</f>
        <v/>
      </c>
      <c r="H105" s="573" t="str">
        <f t="shared" si="2"/>
        <v/>
      </c>
      <c r="I105" s="568" t="str">
        <f>IF(H105="","",_xlfn.XLOOKUP(H105,HELPER!$AG$7:$AG$47,HELPER!$AH$7:$AH$47))</f>
        <v/>
      </c>
      <c r="J105" s="68" t="str">
        <f t="shared" si="3"/>
        <v/>
      </c>
    </row>
    <row r="106" spans="2:10" ht="15.5" hidden="1">
      <c r="B106" s="12">
        <v>39</v>
      </c>
      <c r="C106" s="62" t="str">
        <f>UPPER(IF('INPUT DATA'!R49="","",'INPUT DATA'!R49))</f>
        <v/>
      </c>
      <c r="D106" s="72" t="str">
        <f>UPPER(IF('INPUT DATA'!S49="","",'INPUT DATA'!S49))</f>
        <v/>
      </c>
      <c r="E106" s="64" t="str">
        <f>IF(E$16=1,IF(AND($C106&lt;&gt;"",'Term 1'!$AM106&lt;&gt;""),'Term 1'!$AM106,""),"")</f>
        <v/>
      </c>
      <c r="F106" s="64" t="str">
        <f>IF(F$16=1,IF(AND($C106&lt;&gt;"",'Term 2'!$AM106&lt;&gt;""),'Term 2'!$AM106,""),"")</f>
        <v/>
      </c>
      <c r="G106" s="64" t="str">
        <f>IF(G$16=1,IF(AND($C106&lt;&gt;"",'Term 3'!$AM106&lt;&gt;""),'Term 3'!$AM106,""),"")</f>
        <v/>
      </c>
      <c r="H106" s="573" t="str">
        <f t="shared" si="2"/>
        <v/>
      </c>
      <c r="I106" s="568" t="str">
        <f>IF(H106="","",_xlfn.XLOOKUP(H106,HELPER!$AG$7:$AG$47,HELPER!$AH$7:$AH$47))</f>
        <v/>
      </c>
      <c r="J106" s="68" t="str">
        <f t="shared" si="3"/>
        <v/>
      </c>
    </row>
    <row r="107" spans="2:10" ht="15.5" hidden="1">
      <c r="B107" s="12">
        <v>40</v>
      </c>
      <c r="C107" s="62" t="str">
        <f>UPPER(IF('INPUT DATA'!R50="","",'INPUT DATA'!R50))</f>
        <v/>
      </c>
      <c r="D107" s="72" t="str">
        <f>UPPER(IF('INPUT DATA'!S50="","",'INPUT DATA'!S50))</f>
        <v/>
      </c>
      <c r="E107" s="64" t="str">
        <f>IF(E$16=1,IF(AND($C107&lt;&gt;"",'Term 1'!$AM107&lt;&gt;""),'Term 1'!$AM107,""),"")</f>
        <v/>
      </c>
      <c r="F107" s="64" t="str">
        <f>IF(F$16=1,IF(AND($C107&lt;&gt;"",'Term 2'!$AM107&lt;&gt;""),'Term 2'!$AM107,""),"")</f>
        <v/>
      </c>
      <c r="G107" s="64" t="str">
        <f>IF(G$16=1,IF(AND($C107&lt;&gt;"",'Term 3'!$AM107&lt;&gt;""),'Term 3'!$AM107,""),"")</f>
        <v/>
      </c>
      <c r="H107" s="573" t="str">
        <f t="shared" si="2"/>
        <v/>
      </c>
      <c r="I107" s="568" t="str">
        <f>IF(H107="","",_xlfn.XLOOKUP(H107,HELPER!$AG$7:$AG$47,HELPER!$AH$7:$AH$47))</f>
        <v/>
      </c>
      <c r="J107" s="68" t="str">
        <f t="shared" si="3"/>
        <v/>
      </c>
    </row>
    <row r="108" spans="2:10" ht="15.5" hidden="1">
      <c r="B108" s="12">
        <v>41</v>
      </c>
      <c r="C108" s="62" t="str">
        <f>UPPER(IF('INPUT DATA'!R51="","",'INPUT DATA'!R51))</f>
        <v/>
      </c>
      <c r="D108" s="72" t="str">
        <f>UPPER(IF('INPUT DATA'!S51="","",'INPUT DATA'!S51))</f>
        <v/>
      </c>
      <c r="E108" s="64" t="str">
        <f>IF(E$16=1,IF(AND($C108&lt;&gt;"",'Term 1'!$AM108&lt;&gt;""),'Term 1'!$AM108,""),"")</f>
        <v/>
      </c>
      <c r="F108" s="64" t="str">
        <f>IF(F$16=1,IF(AND($C108&lt;&gt;"",'Term 2'!$AM108&lt;&gt;""),'Term 2'!$AM108,""),"")</f>
        <v/>
      </c>
      <c r="G108" s="64" t="str">
        <f>IF(G$16=1,IF(AND($C108&lt;&gt;"",'Term 3'!$AM108&lt;&gt;""),'Term 3'!$AM108,""),"")</f>
        <v/>
      </c>
      <c r="H108" s="573" t="str">
        <f t="shared" si="2"/>
        <v/>
      </c>
      <c r="I108" s="568" t="str">
        <f>IF(H108="","",_xlfn.XLOOKUP(H108,HELPER!$AG$7:$AG$47,HELPER!$AH$7:$AH$47))</f>
        <v/>
      </c>
      <c r="J108" s="68" t="str">
        <f t="shared" si="3"/>
        <v/>
      </c>
    </row>
    <row r="109" spans="2:10" ht="15.5" hidden="1">
      <c r="B109" s="12">
        <v>42</v>
      </c>
      <c r="C109" s="62" t="str">
        <f>UPPER(IF('INPUT DATA'!R52="","",'INPUT DATA'!R52))</f>
        <v/>
      </c>
      <c r="D109" s="72" t="str">
        <f>UPPER(IF('INPUT DATA'!S52="","",'INPUT DATA'!S52))</f>
        <v/>
      </c>
      <c r="E109" s="64" t="str">
        <f>IF(E$16=1,IF(AND($C109&lt;&gt;"",'Term 1'!$AM109&lt;&gt;""),'Term 1'!$AM109,""),"")</f>
        <v/>
      </c>
      <c r="F109" s="64" t="str">
        <f>IF(F$16=1,IF(AND($C109&lt;&gt;"",'Term 2'!$AM109&lt;&gt;""),'Term 2'!$AM109,""),"")</f>
        <v/>
      </c>
      <c r="G109" s="64" t="str">
        <f>IF(G$16=1,IF(AND($C109&lt;&gt;"",'Term 3'!$AM109&lt;&gt;""),'Term 3'!$AM109,""),"")</f>
        <v/>
      </c>
      <c r="H109" s="573" t="str">
        <f t="shared" si="2"/>
        <v/>
      </c>
      <c r="I109" s="568" t="str">
        <f>IF(H109="","",_xlfn.XLOOKUP(H109,HELPER!$AG$7:$AG$47,HELPER!$AH$7:$AH$47))</f>
        <v/>
      </c>
      <c r="J109" s="68" t="str">
        <f t="shared" si="3"/>
        <v/>
      </c>
    </row>
    <row r="110" spans="2:10" ht="15.5" hidden="1">
      <c r="B110" s="12">
        <v>43</v>
      </c>
      <c r="C110" s="62" t="str">
        <f>UPPER(IF('INPUT DATA'!R53="","",'INPUT DATA'!R53))</f>
        <v/>
      </c>
      <c r="D110" s="72" t="str">
        <f>UPPER(IF('INPUT DATA'!S53="","",'INPUT DATA'!S53))</f>
        <v/>
      </c>
      <c r="E110" s="64" t="str">
        <f>IF(E$16=1,IF(AND($C110&lt;&gt;"",'Term 1'!$AM110&lt;&gt;""),'Term 1'!$AM110,""),"")</f>
        <v/>
      </c>
      <c r="F110" s="64" t="str">
        <f>IF(F$16=1,IF(AND($C110&lt;&gt;"",'Term 2'!$AM110&lt;&gt;""),'Term 2'!$AM110,""),"")</f>
        <v/>
      </c>
      <c r="G110" s="64" t="str">
        <f>IF(G$16=1,IF(AND($C110&lt;&gt;"",'Term 3'!$AM110&lt;&gt;""),'Term 3'!$AM110,""),"")</f>
        <v/>
      </c>
      <c r="H110" s="573" t="str">
        <f t="shared" si="2"/>
        <v/>
      </c>
      <c r="I110" s="568" t="str">
        <f>IF(H110="","",_xlfn.XLOOKUP(H110,HELPER!$AG$7:$AG$47,HELPER!$AH$7:$AH$47))</f>
        <v/>
      </c>
      <c r="J110" s="68" t="str">
        <f t="shared" si="3"/>
        <v/>
      </c>
    </row>
    <row r="111" spans="2:10" ht="15.5" hidden="1">
      <c r="B111" s="12">
        <v>44</v>
      </c>
      <c r="C111" s="62" t="str">
        <f>UPPER(IF('INPUT DATA'!R54="","",'INPUT DATA'!R54))</f>
        <v/>
      </c>
      <c r="D111" s="72" t="str">
        <f>UPPER(IF('INPUT DATA'!S54="","",'INPUT DATA'!S54))</f>
        <v/>
      </c>
      <c r="E111" s="64" t="str">
        <f>IF(E$16=1,IF(AND($C111&lt;&gt;"",'Term 1'!$AM111&lt;&gt;""),'Term 1'!$AM111,""),"")</f>
        <v/>
      </c>
      <c r="F111" s="64" t="str">
        <f>IF(F$16=1,IF(AND($C111&lt;&gt;"",'Term 2'!$AM111&lt;&gt;""),'Term 2'!$AM111,""),"")</f>
        <v/>
      </c>
      <c r="G111" s="64" t="str">
        <f>IF(G$16=1,IF(AND($C111&lt;&gt;"",'Term 3'!$AM111&lt;&gt;""),'Term 3'!$AM111,""),"")</f>
        <v/>
      </c>
      <c r="H111" s="573" t="str">
        <f t="shared" si="2"/>
        <v/>
      </c>
      <c r="I111" s="568" t="str">
        <f>IF(H111="","",_xlfn.XLOOKUP(H111,HELPER!$AG$7:$AG$47,HELPER!$AH$7:$AH$47))</f>
        <v/>
      </c>
      <c r="J111" s="68" t="str">
        <f t="shared" si="3"/>
        <v/>
      </c>
    </row>
    <row r="112" spans="2:10" ht="15.5" hidden="1">
      <c r="B112" s="12">
        <v>45</v>
      </c>
      <c r="C112" s="62" t="str">
        <f>UPPER(IF('INPUT DATA'!R55="","",'INPUT DATA'!R55))</f>
        <v/>
      </c>
      <c r="D112" s="72" t="str">
        <f>UPPER(IF('INPUT DATA'!S55="","",'INPUT DATA'!S55))</f>
        <v/>
      </c>
      <c r="E112" s="64" t="str">
        <f>IF(E$16=1,IF(AND($C112&lt;&gt;"",'Term 1'!$AM112&lt;&gt;""),'Term 1'!$AM112,""),"")</f>
        <v/>
      </c>
      <c r="F112" s="64" t="str">
        <f>IF(F$16=1,IF(AND($C112&lt;&gt;"",'Term 2'!$AM112&lt;&gt;""),'Term 2'!$AM112,""),"")</f>
        <v/>
      </c>
      <c r="G112" s="64" t="str">
        <f>IF(G$16=1,IF(AND($C112&lt;&gt;"",'Term 3'!$AM112&lt;&gt;""),'Term 3'!$AM112,""),"")</f>
        <v/>
      </c>
      <c r="H112" s="573" t="str">
        <f t="shared" si="2"/>
        <v/>
      </c>
      <c r="I112" s="568" t="str">
        <f>IF(H112="","",_xlfn.XLOOKUP(H112,HELPER!$AG$7:$AG$47,HELPER!$AH$7:$AH$47))</f>
        <v/>
      </c>
      <c r="J112" s="68" t="str">
        <f t="shared" si="3"/>
        <v/>
      </c>
    </row>
    <row r="113" spans="2:10" ht="15.5" hidden="1">
      <c r="B113" s="12">
        <v>46</v>
      </c>
      <c r="C113" s="62" t="str">
        <f>UPPER(IF('INPUT DATA'!R56="","",'INPUT DATA'!R56))</f>
        <v/>
      </c>
      <c r="D113" s="72" t="str">
        <f>UPPER(IF('INPUT DATA'!S56="","",'INPUT DATA'!S56))</f>
        <v/>
      </c>
      <c r="E113" s="64" t="str">
        <f>IF(E$16=1,IF(AND($C113&lt;&gt;"",'Term 1'!$AM113&lt;&gt;""),'Term 1'!$AM113,""),"")</f>
        <v/>
      </c>
      <c r="F113" s="64" t="str">
        <f>IF(F$16=1,IF(AND($C113&lt;&gt;"",'Term 2'!$AM113&lt;&gt;""),'Term 2'!$AM113,""),"")</f>
        <v/>
      </c>
      <c r="G113" s="64" t="str">
        <f>IF(G$16=1,IF(AND($C113&lt;&gt;"",'Term 3'!$AM113&lt;&gt;""),'Term 3'!$AM113,""),"")</f>
        <v/>
      </c>
      <c r="H113" s="573" t="str">
        <f t="shared" si="2"/>
        <v/>
      </c>
      <c r="I113" s="568" t="str">
        <f>IF(H113="","",_xlfn.XLOOKUP(H113,HELPER!$AG$7:$AG$47,HELPER!$AH$7:$AH$47))</f>
        <v/>
      </c>
      <c r="J113" s="68" t="str">
        <f t="shared" si="3"/>
        <v/>
      </c>
    </row>
    <row r="114" spans="2:10" ht="15.5" hidden="1">
      <c r="B114" s="12">
        <v>47</v>
      </c>
      <c r="C114" s="62" t="str">
        <f>UPPER(IF('INPUT DATA'!R57="","",'INPUT DATA'!R57))</f>
        <v/>
      </c>
      <c r="D114" s="72" t="str">
        <f>UPPER(IF('INPUT DATA'!S57="","",'INPUT DATA'!S57))</f>
        <v/>
      </c>
      <c r="E114" s="64" t="str">
        <f>IF(E$16=1,IF(AND($C114&lt;&gt;"",'Term 1'!$AM114&lt;&gt;""),'Term 1'!$AM114,""),"")</f>
        <v/>
      </c>
      <c r="F114" s="64" t="str">
        <f>IF(F$16=1,IF(AND($C114&lt;&gt;"",'Term 2'!$AM114&lt;&gt;""),'Term 2'!$AM114,""),"")</f>
        <v/>
      </c>
      <c r="G114" s="64" t="str">
        <f>IF(G$16=1,IF(AND($C114&lt;&gt;"",'Term 3'!$AM114&lt;&gt;""),'Term 3'!$AM114,""),"")</f>
        <v/>
      </c>
      <c r="H114" s="573" t="str">
        <f t="shared" si="2"/>
        <v/>
      </c>
      <c r="I114" s="568" t="str">
        <f>IF(H114="","",_xlfn.XLOOKUP(H114,HELPER!$AG$7:$AG$47,HELPER!$AH$7:$AH$47))</f>
        <v/>
      </c>
      <c r="J114" s="68" t="str">
        <f t="shared" si="3"/>
        <v/>
      </c>
    </row>
    <row r="115" spans="2:10" ht="15.5" hidden="1">
      <c r="B115" s="12">
        <v>48</v>
      </c>
      <c r="C115" s="62" t="str">
        <f>UPPER(IF('INPUT DATA'!R58="","",'INPUT DATA'!R58))</f>
        <v/>
      </c>
      <c r="D115" s="72" t="str">
        <f>UPPER(IF('INPUT DATA'!S58="","",'INPUT DATA'!S58))</f>
        <v/>
      </c>
      <c r="E115" s="64" t="str">
        <f>IF(E$16=1,IF(AND($C115&lt;&gt;"",'Term 1'!$AM115&lt;&gt;""),'Term 1'!$AM115,""),"")</f>
        <v/>
      </c>
      <c r="F115" s="64" t="str">
        <f>IF(F$16=1,IF(AND($C115&lt;&gt;"",'Term 2'!$AM115&lt;&gt;""),'Term 2'!$AM115,""),"")</f>
        <v/>
      </c>
      <c r="G115" s="64" t="str">
        <f>IF(G$16=1,IF(AND($C115&lt;&gt;"",'Term 3'!$AM115&lt;&gt;""),'Term 3'!$AM115,""),"")</f>
        <v/>
      </c>
      <c r="H115" s="573" t="str">
        <f t="shared" si="2"/>
        <v/>
      </c>
      <c r="I115" s="568" t="str">
        <f>IF(H115="","",_xlfn.XLOOKUP(H115,HELPER!$AG$7:$AG$47,HELPER!$AH$7:$AH$47))</f>
        <v/>
      </c>
      <c r="J115" s="68" t="str">
        <f t="shared" si="3"/>
        <v/>
      </c>
    </row>
    <row r="116" spans="2:10" ht="15.5" hidden="1">
      <c r="B116" s="12">
        <v>49</v>
      </c>
      <c r="C116" s="62" t="str">
        <f>UPPER(IF('INPUT DATA'!R59="","",'INPUT DATA'!R59))</f>
        <v/>
      </c>
      <c r="D116" s="72" t="str">
        <f>UPPER(IF('INPUT DATA'!S59="","",'INPUT DATA'!S59))</f>
        <v/>
      </c>
      <c r="E116" s="64" t="str">
        <f>IF(E$16=1,IF(AND($C116&lt;&gt;"",'Term 1'!$AM116&lt;&gt;""),'Term 1'!$AM116,""),"")</f>
        <v/>
      </c>
      <c r="F116" s="64" t="str">
        <f>IF(F$16=1,IF(AND($C116&lt;&gt;"",'Term 2'!$AM116&lt;&gt;""),'Term 2'!$AM116,""),"")</f>
        <v/>
      </c>
      <c r="G116" s="64" t="str">
        <f>IF(G$16=1,IF(AND($C116&lt;&gt;"",'Term 3'!$AM116&lt;&gt;""),'Term 3'!$AM116,""),"")</f>
        <v/>
      </c>
      <c r="H116" s="573" t="str">
        <f t="shared" si="2"/>
        <v/>
      </c>
      <c r="I116" s="568" t="str">
        <f>IF(H116="","",_xlfn.XLOOKUP(H116,HELPER!$AG$7:$AG$47,HELPER!$AH$7:$AH$47))</f>
        <v/>
      </c>
      <c r="J116" s="68" t="str">
        <f t="shared" si="3"/>
        <v/>
      </c>
    </row>
    <row r="117" spans="2:10" ht="16" hidden="1" thickBot="1">
      <c r="B117" s="13">
        <v>50</v>
      </c>
      <c r="C117" s="62" t="str">
        <f>UPPER(IF('INPUT DATA'!R60="","",'INPUT DATA'!R60))</f>
        <v/>
      </c>
      <c r="D117" s="72" t="str">
        <f>UPPER(IF('INPUT DATA'!S60="","",'INPUT DATA'!S60))</f>
        <v/>
      </c>
      <c r="E117" s="64" t="str">
        <f>IF(E$16=1,IF(AND($C117&lt;&gt;"",'Term 1'!$AM117&lt;&gt;""),'Term 1'!$AM117,""),"")</f>
        <v/>
      </c>
      <c r="F117" s="64" t="str">
        <f>IF(F$16=1,IF(AND($C117&lt;&gt;"",'Term 2'!$AM117&lt;&gt;""),'Term 2'!$AM117,""),"")</f>
        <v/>
      </c>
      <c r="G117" s="64" t="str">
        <f>IF(G$16=1,IF(AND($C117&lt;&gt;"",'Term 3'!$AM117&lt;&gt;""),'Term 3'!$AM117,""),"")</f>
        <v/>
      </c>
      <c r="H117" s="573" t="str">
        <f t="shared" si="2"/>
        <v/>
      </c>
      <c r="I117" s="568" t="str">
        <f>IF(H117="","",_xlfn.XLOOKUP(H117,HELPER!$AG$7:$AG$47,HELPER!$AH$7:$AH$47))</f>
        <v/>
      </c>
      <c r="J117" s="68" t="str">
        <f t="shared" si="3"/>
        <v/>
      </c>
    </row>
    <row r="118" spans="2:10"/>
    <row r="119" spans="2:10">
      <c r="B119" s="648"/>
      <c r="C119" s="652" t="s">
        <v>195</v>
      </c>
      <c r="D119" s="649" t="s">
        <v>196</v>
      </c>
      <c r="E119" s="649" t="s">
        <v>197</v>
      </c>
      <c r="F119" s="649"/>
      <c r="G119" s="650"/>
      <c r="H119" s="650"/>
      <c r="I119" s="650"/>
      <c r="J119" s="651"/>
    </row>
    <row r="120" spans="2:10">
      <c r="B120" s="645"/>
      <c r="C120" s="6" t="s">
        <v>198</v>
      </c>
      <c r="D120" s="646" t="s">
        <v>199</v>
      </c>
      <c r="E120" s="646" t="s">
        <v>200</v>
      </c>
      <c r="F120" s="646"/>
      <c r="G120" s="646"/>
      <c r="H120" s="646"/>
      <c r="I120" s="646"/>
      <c r="J120" s="647"/>
    </row>
    <row r="121" spans="2:10">
      <c r="B121" s="645"/>
      <c r="C121" s="6" t="s">
        <v>201</v>
      </c>
      <c r="D121" s="646" t="s">
        <v>202</v>
      </c>
      <c r="E121" s="646" t="s">
        <v>203</v>
      </c>
      <c r="F121" s="646"/>
      <c r="G121" s="646"/>
      <c r="H121" s="646"/>
      <c r="I121" s="646"/>
      <c r="J121" s="647"/>
    </row>
    <row r="122" spans="2:10">
      <c r="B122" s="645"/>
      <c r="C122" s="6" t="s">
        <v>204</v>
      </c>
      <c r="D122" s="646" t="s">
        <v>205</v>
      </c>
      <c r="E122" s="646" t="s">
        <v>206</v>
      </c>
      <c r="F122" s="646"/>
      <c r="G122" s="646"/>
      <c r="H122" s="646"/>
      <c r="I122" s="646"/>
      <c r="J122" s="647"/>
    </row>
    <row r="123" spans="2:10">
      <c r="B123" s="653"/>
      <c r="C123" s="654" t="s">
        <v>207</v>
      </c>
      <c r="D123" s="655" t="s">
        <v>208</v>
      </c>
      <c r="E123" s="655" t="s">
        <v>209</v>
      </c>
      <c r="F123" s="655"/>
      <c r="G123" s="655"/>
      <c r="H123" s="655"/>
      <c r="I123" s="655"/>
      <c r="J123" s="656"/>
    </row>
    <row r="124" spans="2:10">
      <c r="B124" s="657"/>
      <c r="C124" s="658" t="s">
        <v>210</v>
      </c>
      <c r="D124" s="659" t="s">
        <v>211</v>
      </c>
      <c r="E124" s="659" t="s">
        <v>212</v>
      </c>
      <c r="F124" s="660"/>
      <c r="G124" s="660"/>
      <c r="H124" s="660"/>
      <c r="I124" s="660"/>
      <c r="J124" s="661"/>
    </row>
    <row r="125" spans="2:10" ht="74" customHeight="1"/>
  </sheetData>
  <sheetProtection algorithmName="SHA-512" hashValue="eu6AP0m+9CJOn6nLoiFUmX9Op6QdERSkAIHElZmu0bNiydQDUt30jM9IePvkgvAEiWNjsVL0c5h5AdvYbHby8w==" saltValue="HNtlKusu4yvA4NV1Q1ZM5w==" spinCount="100000" sheet="1" formatCells="0" formatColumns="0" formatRows="0" autoFilter="0"/>
  <mergeCells count="14">
    <mergeCell ref="E6:G6"/>
    <mergeCell ref="G11:J11"/>
    <mergeCell ref="E14:G14"/>
    <mergeCell ref="H14:H15"/>
    <mergeCell ref="J14:J15"/>
    <mergeCell ref="G9:J10"/>
    <mergeCell ref="D9:E9"/>
    <mergeCell ref="B14:D15"/>
    <mergeCell ref="D10:E11"/>
    <mergeCell ref="D12:E13"/>
    <mergeCell ref="F9:F10"/>
    <mergeCell ref="I14:I15"/>
    <mergeCell ref="G12:H12"/>
    <mergeCell ref="G13:H13"/>
  </mergeCells>
  <phoneticPr fontId="3" type="noConversion"/>
  <conditionalFormatting sqref="C17:D66 H17:J66 C68:D117 H68:J117">
    <cfRule type="expression" dxfId="0" priority="1">
      <formula>$H17&lt;75</formula>
    </cfRule>
  </conditionalFormatting>
  <dataValidations count="1">
    <dataValidation allowBlank="1" showErrorMessage="1" sqref="L17 J17:J117" xr:uid="{307B6514-ED81-42D5-B9AA-8302198E17D0}"/>
  </dataValidations>
  <pageMargins left="0.7" right="0.7" top="0.75" bottom="0.75" header="0.3" footer="0.3"/>
  <pageSetup paperSize="9" scale="55" fitToHeight="0" orientation="portrait" horizontalDpi="4294967292"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B72E-5D41-4FF7-97A5-87CBA8F536B6}">
  <sheetPr codeName="Sheet15">
    <tabColor theme="1"/>
  </sheetPr>
  <dimension ref="A1:XFC163"/>
  <sheetViews>
    <sheetView showGridLines="0" zoomScale="71" zoomScaleNormal="71" workbookViewId="0">
      <pane ySplit="6" topLeftCell="A7" activePane="bottomLeft" state="frozen"/>
      <selection pane="bottomLeft"/>
    </sheetView>
  </sheetViews>
  <sheetFormatPr defaultColWidth="9.1796875" defaultRowHeight="14"/>
  <cols>
    <col min="1" max="1" width="3.6328125" style="2" customWidth="1"/>
    <col min="2" max="4" width="9.1796875" style="3"/>
    <col min="5" max="5" width="9.1796875" style="2"/>
    <col min="6" max="6" width="22.1796875" style="2" customWidth="1"/>
    <col min="7" max="7" width="30.1796875" style="2" customWidth="1"/>
    <col min="8" max="8" width="9.1796875" style="6"/>
    <col min="9" max="9" width="9.1796875" style="3"/>
    <col min="10" max="11" width="20.6328125" style="349" customWidth="1"/>
    <col min="12" max="12" width="49.453125" style="349" bestFit="1" customWidth="1"/>
    <col min="13" max="29" width="9.1796875" style="351"/>
    <col min="30" max="30" width="9.1796875" style="349"/>
    <col min="31" max="31" width="9.1796875" style="358"/>
    <col min="32" max="32" width="9.1796875" style="349"/>
    <col min="33" max="33" width="13.453125" style="351" bestFit="1" customWidth="1"/>
    <col min="34" max="34" width="11.453125" style="349" bestFit="1" customWidth="1"/>
    <col min="35" max="16384" width="9.1796875" style="349"/>
  </cols>
  <sheetData>
    <row r="1" spans="1:37" ht="16.5" customHeight="1">
      <c r="B1" s="2"/>
      <c r="C1" s="2"/>
      <c r="D1" s="2"/>
      <c r="I1" s="361"/>
      <c r="J1" s="350"/>
      <c r="K1" s="350"/>
      <c r="L1" s="350"/>
      <c r="M1" s="350"/>
      <c r="N1" s="350"/>
      <c r="O1" s="350"/>
      <c r="P1" s="350"/>
    </row>
    <row r="2" spans="1:37" ht="27">
      <c r="A2" s="50"/>
      <c r="B2" s="362" t="s">
        <v>213</v>
      </c>
      <c r="C2" s="2"/>
      <c r="D2" s="2"/>
      <c r="I2" s="89"/>
      <c r="J2" s="350"/>
      <c r="K2" s="350"/>
      <c r="L2" s="350"/>
      <c r="M2" s="350"/>
      <c r="N2" s="350"/>
      <c r="O2" s="350"/>
      <c r="P2" s="350"/>
    </row>
    <row r="3" spans="1:37" ht="15.5">
      <c r="B3" s="363" t="s">
        <v>214</v>
      </c>
      <c r="C3" s="2"/>
      <c r="D3" s="2"/>
      <c r="I3" s="89"/>
      <c r="J3" s="350"/>
      <c r="K3" s="350"/>
      <c r="L3" s="350"/>
      <c r="M3" s="350"/>
      <c r="N3" s="350"/>
      <c r="O3" s="350"/>
      <c r="P3" s="350"/>
    </row>
    <row r="4" spans="1:37">
      <c r="B4" s="695" t="s">
        <v>215</v>
      </c>
      <c r="C4" s="695"/>
      <c r="D4" s="695"/>
    </row>
    <row r="5" spans="1:37" s="352" customFormat="1">
      <c r="A5" s="20"/>
      <c r="B5" s="20" t="s">
        <v>216</v>
      </c>
      <c r="C5" s="20"/>
      <c r="D5" s="20"/>
      <c r="E5" s="20"/>
      <c r="F5" s="20" t="s">
        <v>217</v>
      </c>
      <c r="G5" s="11"/>
      <c r="H5" s="20"/>
      <c r="I5" s="18"/>
      <c r="J5" s="352" t="s">
        <v>218</v>
      </c>
      <c r="N5" s="353"/>
      <c r="O5" s="353"/>
      <c r="P5" s="353"/>
      <c r="Q5" s="353"/>
      <c r="R5" s="353"/>
      <c r="S5" s="353"/>
      <c r="T5" s="353"/>
      <c r="U5" s="353"/>
      <c r="V5" s="353"/>
      <c r="W5" s="352" t="s">
        <v>149</v>
      </c>
      <c r="X5" s="353"/>
      <c r="Y5" s="353"/>
      <c r="Z5" s="353"/>
      <c r="AA5" s="352" t="s">
        <v>219</v>
      </c>
      <c r="AE5" s="354"/>
      <c r="AG5" s="948" t="s">
        <v>188</v>
      </c>
      <c r="AH5" s="949"/>
    </row>
    <row r="6" spans="1:37" ht="28">
      <c r="B6" s="398" t="s">
        <v>220</v>
      </c>
      <c r="C6" s="550" t="s">
        <v>221</v>
      </c>
      <c r="D6" s="551" t="s">
        <v>118</v>
      </c>
      <c r="F6" s="364" t="s">
        <v>222</v>
      </c>
      <c r="G6" s="42"/>
      <c r="I6" s="391" t="s">
        <v>223</v>
      </c>
      <c r="J6" s="392" t="s">
        <v>224</v>
      </c>
      <c r="K6" s="393" t="s">
        <v>30</v>
      </c>
      <c r="L6" s="393" t="s">
        <v>225</v>
      </c>
      <c r="M6" s="471" t="s">
        <v>226</v>
      </c>
      <c r="N6" s="474" t="s">
        <v>227</v>
      </c>
      <c r="O6" s="463" t="s">
        <v>228</v>
      </c>
      <c r="P6" s="393" t="s">
        <v>229</v>
      </c>
      <c r="Q6" s="393" t="s">
        <v>230</v>
      </c>
      <c r="R6" s="464" t="s">
        <v>231</v>
      </c>
      <c r="S6" s="463" t="s">
        <v>232</v>
      </c>
      <c r="T6" s="393" t="s">
        <v>233</v>
      </c>
      <c r="U6" s="393" t="s">
        <v>230</v>
      </c>
      <c r="V6" s="464" t="s">
        <v>231</v>
      </c>
      <c r="W6" s="452" t="s">
        <v>98</v>
      </c>
      <c r="X6" s="394" t="s">
        <v>100</v>
      </c>
      <c r="Y6" s="394" t="s">
        <v>234</v>
      </c>
      <c r="Z6" s="480" t="s">
        <v>235</v>
      </c>
      <c r="AA6" s="441" t="s">
        <v>173</v>
      </c>
      <c r="AB6" s="441" t="s">
        <v>174</v>
      </c>
      <c r="AC6" s="395" t="s">
        <v>175</v>
      </c>
      <c r="AF6" s="374"/>
      <c r="AG6" s="358" t="s">
        <v>195</v>
      </c>
      <c r="AH6" s="641" t="s">
        <v>236</v>
      </c>
    </row>
    <row r="7" spans="1:37">
      <c r="A7" s="401"/>
      <c r="B7" s="552">
        <v>99.5</v>
      </c>
      <c r="C7" s="390">
        <v>100</v>
      </c>
      <c r="D7" s="553">
        <v>100</v>
      </c>
      <c r="F7" s="365">
        <f>'INPUT DATA'!F24</f>
        <v>11</v>
      </c>
      <c r="G7" s="366" t="s">
        <v>237</v>
      </c>
      <c r="I7" s="4">
        <f t="shared" ref="I7:I38" si="0">IF(COUNTIF($N7,"*"&amp;$F$7&amp;"*")&gt;0,1,0)</f>
        <v>1</v>
      </c>
      <c r="J7" s="421" t="s">
        <v>238</v>
      </c>
      <c r="K7" s="421" t="s">
        <v>239</v>
      </c>
      <c r="L7" s="421" t="s">
        <v>240</v>
      </c>
      <c r="M7" s="453">
        <v>160</v>
      </c>
      <c r="N7" s="475" t="s">
        <v>241</v>
      </c>
      <c r="O7" s="455">
        <v>11</v>
      </c>
      <c r="P7" s="448">
        <v>3</v>
      </c>
      <c r="Q7" s="446">
        <v>2</v>
      </c>
      <c r="R7" s="465">
        <v>6</v>
      </c>
      <c r="S7" s="455" t="s">
        <v>242</v>
      </c>
      <c r="T7" s="448"/>
      <c r="U7" s="446"/>
      <c r="V7" s="465"/>
      <c r="W7" s="453">
        <v>20</v>
      </c>
      <c r="X7" s="446">
        <v>50</v>
      </c>
      <c r="Y7" s="351">
        <v>30</v>
      </c>
      <c r="Z7" s="442">
        <f t="shared" ref="Z7:Z38" si="1">SUM(W7:Y7)</f>
        <v>100</v>
      </c>
      <c r="AA7" s="442">
        <v>30</v>
      </c>
      <c r="AB7" s="442">
        <v>30</v>
      </c>
      <c r="AC7" s="396">
        <v>40</v>
      </c>
      <c r="AG7" s="642">
        <v>100</v>
      </c>
      <c r="AH7" s="641" t="s">
        <v>199</v>
      </c>
      <c r="AJ7" s="349" t="s">
        <v>199</v>
      </c>
      <c r="AK7" s="349" t="s">
        <v>200</v>
      </c>
    </row>
    <row r="8" spans="1:37" ht="15.5" customHeight="1">
      <c r="A8" s="401"/>
      <c r="B8" s="552">
        <v>98.32</v>
      </c>
      <c r="C8" s="18">
        <v>99.49</v>
      </c>
      <c r="D8" s="553">
        <v>99</v>
      </c>
      <c r="F8" s="44" t="str" cm="1">
        <f t="array" ref="F8">$B$2&amp;"!"&amp;
ADDRESS(MATCH(1,I:I,0),COLUMN(J:J),4)
&amp;":"&amp;
ADDRESS(LOOKUP(2,1/(I:I=1),ROW(J:J)),COLUMN(J:J),4)</f>
        <v>HELPER!J7:J147</v>
      </c>
      <c r="G8" s="367" t="str">
        <f>'INPUT DATA'!F28</f>
        <v>SSHS - CORE</v>
      </c>
      <c r="I8" s="4">
        <f t="shared" si="0"/>
        <v>1</v>
      </c>
      <c r="J8" s="421" t="s">
        <v>238</v>
      </c>
      <c r="K8" s="421" t="s">
        <v>239</v>
      </c>
      <c r="L8" s="421" t="s">
        <v>243</v>
      </c>
      <c r="M8" s="453">
        <v>160</v>
      </c>
      <c r="N8" s="475" t="s">
        <v>241</v>
      </c>
      <c r="O8" s="455">
        <v>11</v>
      </c>
      <c r="P8" s="448">
        <v>3</v>
      </c>
      <c r="Q8" s="446">
        <v>2</v>
      </c>
      <c r="R8" s="465">
        <v>6</v>
      </c>
      <c r="S8" s="455" t="s">
        <v>242</v>
      </c>
      <c r="T8" s="448"/>
      <c r="U8" s="446"/>
      <c r="V8" s="465"/>
      <c r="W8" s="453">
        <v>20</v>
      </c>
      <c r="X8" s="446">
        <v>50</v>
      </c>
      <c r="Y8" s="351">
        <v>30</v>
      </c>
      <c r="Z8" s="442">
        <f t="shared" si="1"/>
        <v>100</v>
      </c>
      <c r="AA8" s="442">
        <v>30</v>
      </c>
      <c r="AB8" s="442">
        <v>30</v>
      </c>
      <c r="AC8" s="396">
        <v>40</v>
      </c>
      <c r="AG8" s="642">
        <v>99</v>
      </c>
      <c r="AH8" s="641" t="s">
        <v>199</v>
      </c>
      <c r="AJ8" s="349" t="s">
        <v>202</v>
      </c>
      <c r="AK8" s="349" t="s">
        <v>203</v>
      </c>
    </row>
    <row r="9" spans="1:37">
      <c r="A9" s="401"/>
      <c r="B9" s="552">
        <v>97.14</v>
      </c>
      <c r="C9" s="390">
        <v>98.309999999999988</v>
      </c>
      <c r="D9" s="553">
        <v>98</v>
      </c>
      <c r="F9" s="44" t="str" cm="1">
        <f t="array" ref="F9">$B$2&amp;"!"&amp;ADDRESS(MATCH($G8,$J:$J,0),COLUMN($K:$K),4)&amp;":"&amp;ADDRESS(LOOKUP(2,1/($J:$J=G8),ROW($K:$K)),COLUMN($K:$K),4)</f>
        <v>HELPER!K7:K12</v>
      </c>
      <c r="G9" s="367" t="str">
        <f>'INPUT DATA'!F29</f>
        <v>CORE</v>
      </c>
      <c r="I9" s="4">
        <f t="shared" si="0"/>
        <v>1</v>
      </c>
      <c r="J9" s="421" t="s">
        <v>238</v>
      </c>
      <c r="K9" s="421" t="s">
        <v>239</v>
      </c>
      <c r="L9" s="421" t="s">
        <v>244</v>
      </c>
      <c r="M9" s="453">
        <v>160</v>
      </c>
      <c r="N9" s="475" t="s">
        <v>241</v>
      </c>
      <c r="O9" s="455">
        <v>11</v>
      </c>
      <c r="P9" s="448">
        <v>3</v>
      </c>
      <c r="Q9" s="446">
        <v>2</v>
      </c>
      <c r="R9" s="465">
        <v>6</v>
      </c>
      <c r="S9" s="455" t="s">
        <v>242</v>
      </c>
      <c r="T9" s="448"/>
      <c r="U9" s="446"/>
      <c r="V9" s="465"/>
      <c r="W9" s="453">
        <v>20</v>
      </c>
      <c r="X9" s="446">
        <v>50</v>
      </c>
      <c r="Y9" s="351">
        <v>30</v>
      </c>
      <c r="Z9" s="442">
        <f t="shared" si="1"/>
        <v>100</v>
      </c>
      <c r="AA9" s="442">
        <v>30</v>
      </c>
      <c r="AB9" s="442">
        <v>30</v>
      </c>
      <c r="AC9" s="396">
        <v>40</v>
      </c>
      <c r="AG9" s="642">
        <v>98</v>
      </c>
      <c r="AH9" s="641" t="s">
        <v>199</v>
      </c>
      <c r="AJ9" s="349" t="s">
        <v>205</v>
      </c>
      <c r="AK9" s="349" t="s">
        <v>206</v>
      </c>
    </row>
    <row r="10" spans="1:37">
      <c r="A10" s="401"/>
      <c r="B10" s="552">
        <v>95.96</v>
      </c>
      <c r="C10" s="390">
        <v>97.13</v>
      </c>
      <c r="D10" s="553">
        <v>97</v>
      </c>
      <c r="F10" s="368" t="str" cm="1">
        <f t="array" ref="F10">$B$2&amp;"!"&amp;ADDRESS(MATCH(1,(J:J=G8)*(K:K=G9)*(I:I=1),0),COLUMN(L:L),4)&amp;":"&amp;
ADDRESS(LOOKUP(2,1/((J:J=G8)*(K:K=G9)*(I:I=1)),ROW(L:L)),COLUMN(L:L),4)</f>
        <v>HELPER!L7:L12</v>
      </c>
      <c r="G10" s="369" t="str">
        <f>IF(G9="OTHER ELECTIVE / SPECIAL CURRICULAR PROGRAM",'INPUT DATA'!F39,'INPUT DATA'!F30)</f>
        <v>General Mathematics</v>
      </c>
      <c r="I10" s="4">
        <f t="shared" si="0"/>
        <v>1</v>
      </c>
      <c r="J10" s="421" t="s">
        <v>238</v>
      </c>
      <c r="K10" s="421" t="s">
        <v>239</v>
      </c>
      <c r="L10" s="421" t="s">
        <v>245</v>
      </c>
      <c r="M10" s="453">
        <v>160</v>
      </c>
      <c r="N10" s="475" t="s">
        <v>241</v>
      </c>
      <c r="O10" s="455">
        <v>11</v>
      </c>
      <c r="P10" s="448">
        <v>3</v>
      </c>
      <c r="Q10" s="446">
        <v>2</v>
      </c>
      <c r="R10" s="465">
        <v>6</v>
      </c>
      <c r="S10" s="455" t="s">
        <v>242</v>
      </c>
      <c r="T10" s="448"/>
      <c r="U10" s="446"/>
      <c r="V10" s="465"/>
      <c r="W10" s="453">
        <v>20</v>
      </c>
      <c r="X10" s="446">
        <v>50</v>
      </c>
      <c r="Y10" s="351">
        <v>30</v>
      </c>
      <c r="Z10" s="442">
        <f t="shared" si="1"/>
        <v>100</v>
      </c>
      <c r="AA10" s="442">
        <v>30</v>
      </c>
      <c r="AB10" s="442">
        <v>30</v>
      </c>
      <c r="AC10" s="396">
        <v>40</v>
      </c>
      <c r="AG10" s="642">
        <v>97</v>
      </c>
      <c r="AH10" s="641" t="s">
        <v>199</v>
      </c>
      <c r="AJ10" s="349" t="s">
        <v>208</v>
      </c>
      <c r="AK10" s="349" t="s">
        <v>209</v>
      </c>
    </row>
    <row r="11" spans="1:37">
      <c r="A11" s="401"/>
      <c r="B11" s="552">
        <v>94.78</v>
      </c>
      <c r="C11" s="390">
        <v>95.949999999999989</v>
      </c>
      <c r="D11" s="553">
        <v>96</v>
      </c>
      <c r="I11" s="4">
        <f t="shared" si="0"/>
        <v>1</v>
      </c>
      <c r="J11" s="421" t="s">
        <v>238</v>
      </c>
      <c r="K11" s="421" t="s">
        <v>239</v>
      </c>
      <c r="L11" s="421" t="s">
        <v>246</v>
      </c>
      <c r="M11" s="453">
        <v>160</v>
      </c>
      <c r="N11" s="475" t="s">
        <v>241</v>
      </c>
      <c r="O11" s="455">
        <v>11</v>
      </c>
      <c r="P11" s="448">
        <v>3</v>
      </c>
      <c r="Q11" s="446">
        <v>2</v>
      </c>
      <c r="R11" s="465">
        <v>6</v>
      </c>
      <c r="S11" s="455" t="s">
        <v>242</v>
      </c>
      <c r="T11" s="448"/>
      <c r="U11" s="446"/>
      <c r="V11" s="465"/>
      <c r="W11" s="453">
        <v>20</v>
      </c>
      <c r="X11" s="446">
        <v>50</v>
      </c>
      <c r="Y11" s="351">
        <v>30</v>
      </c>
      <c r="Z11" s="442">
        <f t="shared" si="1"/>
        <v>100</v>
      </c>
      <c r="AA11" s="442">
        <v>30</v>
      </c>
      <c r="AB11" s="442">
        <v>30</v>
      </c>
      <c r="AC11" s="396">
        <v>40</v>
      </c>
      <c r="AG11" s="642">
        <v>96</v>
      </c>
      <c r="AH11" s="641" t="s">
        <v>199</v>
      </c>
      <c r="AJ11" s="349" t="s">
        <v>211</v>
      </c>
      <c r="AK11" s="349" t="s">
        <v>212</v>
      </c>
    </row>
    <row r="12" spans="1:37">
      <c r="A12" s="401"/>
      <c r="B12" s="554">
        <v>93.6</v>
      </c>
      <c r="C12" s="555">
        <v>94.77</v>
      </c>
      <c r="D12" s="553">
        <v>95</v>
      </c>
      <c r="F12" s="11" t="s">
        <v>247</v>
      </c>
      <c r="I12" s="4">
        <f t="shared" si="0"/>
        <v>1</v>
      </c>
      <c r="J12" s="421" t="s">
        <v>238</v>
      </c>
      <c r="K12" s="421" t="s">
        <v>239</v>
      </c>
      <c r="L12" s="421" t="s">
        <v>248</v>
      </c>
      <c r="M12" s="453">
        <v>160</v>
      </c>
      <c r="N12" s="475" t="s">
        <v>241</v>
      </c>
      <c r="O12" s="455">
        <v>11</v>
      </c>
      <c r="P12" s="448">
        <v>3</v>
      </c>
      <c r="Q12" s="446">
        <v>2</v>
      </c>
      <c r="R12" s="465">
        <v>6</v>
      </c>
      <c r="S12" s="455" t="s">
        <v>242</v>
      </c>
      <c r="T12" s="448"/>
      <c r="U12" s="446"/>
      <c r="V12" s="465"/>
      <c r="W12" s="453">
        <v>20</v>
      </c>
      <c r="X12" s="446">
        <v>50</v>
      </c>
      <c r="Y12" s="351">
        <v>30</v>
      </c>
      <c r="Z12" s="442">
        <f t="shared" si="1"/>
        <v>100</v>
      </c>
      <c r="AA12" s="442">
        <v>30</v>
      </c>
      <c r="AB12" s="442">
        <v>30</v>
      </c>
      <c r="AC12" s="396">
        <v>40</v>
      </c>
      <c r="AG12" s="642">
        <v>95</v>
      </c>
      <c r="AH12" s="641" t="s">
        <v>199</v>
      </c>
    </row>
    <row r="13" spans="1:37">
      <c r="A13" s="401"/>
      <c r="B13" s="552">
        <v>92.42</v>
      </c>
      <c r="C13" s="390">
        <v>93.589999999999989</v>
      </c>
      <c r="D13" s="553">
        <v>94</v>
      </c>
      <c r="F13" s="46" t="s">
        <v>93</v>
      </c>
      <c r="G13" s="370" cm="1">
        <f t="array" ref="G13">_xlfn.IFNA(_xlfn.XLOOKUP(1,(HELPER!$I$7:$I$161=1)*(HELPER!$L$7:$L$161=$G$10)*(HELPER!$K$7:$K$161=$G$9),HELPER!$W$7:$W$161),"")</f>
        <v>20</v>
      </c>
      <c r="I13" s="398">
        <f t="shared" si="0"/>
        <v>1</v>
      </c>
      <c r="J13" s="422" t="s">
        <v>249</v>
      </c>
      <c r="K13" s="422" t="s">
        <v>250</v>
      </c>
      <c r="L13" s="422" t="s">
        <v>251</v>
      </c>
      <c r="M13" s="459">
        <v>80</v>
      </c>
      <c r="N13" s="476" t="s">
        <v>252</v>
      </c>
      <c r="O13" s="454">
        <v>11</v>
      </c>
      <c r="P13" s="425">
        <v>1</v>
      </c>
      <c r="Q13" s="423">
        <v>3</v>
      </c>
      <c r="R13" s="466">
        <v>3</v>
      </c>
      <c r="S13" s="454">
        <v>12</v>
      </c>
      <c r="T13" s="425">
        <v>1</v>
      </c>
      <c r="U13" s="423">
        <v>3</v>
      </c>
      <c r="V13" s="466">
        <v>3</v>
      </c>
      <c r="W13" s="454">
        <v>20</v>
      </c>
      <c r="X13" s="424">
        <v>60</v>
      </c>
      <c r="Y13" s="357">
        <v>20</v>
      </c>
      <c r="Z13" s="443">
        <f t="shared" si="1"/>
        <v>100</v>
      </c>
      <c r="AA13" s="443">
        <v>30</v>
      </c>
      <c r="AB13" s="442">
        <v>30</v>
      </c>
      <c r="AC13" s="396">
        <v>40</v>
      </c>
      <c r="AG13" s="642">
        <v>94</v>
      </c>
      <c r="AH13" s="641" t="s">
        <v>199</v>
      </c>
    </row>
    <row r="14" spans="1:37">
      <c r="A14" s="401"/>
      <c r="B14" s="552">
        <v>91.24</v>
      </c>
      <c r="C14" s="390">
        <v>92.41</v>
      </c>
      <c r="D14" s="553">
        <v>93</v>
      </c>
      <c r="F14" s="47" t="s">
        <v>100</v>
      </c>
      <c r="G14" s="5" cm="1">
        <f t="array" ref="G14">_xlfn.IFNA(_xlfn.XLOOKUP(1,(HELPER!$I$7:$I$161=1)*(HELPER!$L$7:$L$161=$G$10)*(HELPER!$K$7:$K$161=$G$9),HELPER!$X$7:$X$161),"")</f>
        <v>50</v>
      </c>
      <c r="I14" s="4">
        <f t="shared" si="0"/>
        <v>1</v>
      </c>
      <c r="J14" s="421" t="s">
        <v>249</v>
      </c>
      <c r="K14" s="421" t="s">
        <v>250</v>
      </c>
      <c r="L14" s="421" t="s">
        <v>253</v>
      </c>
      <c r="M14" s="453">
        <v>80</v>
      </c>
      <c r="N14" s="475" t="s">
        <v>252</v>
      </c>
      <c r="O14" s="455">
        <v>11</v>
      </c>
      <c r="P14" s="448">
        <v>1</v>
      </c>
      <c r="Q14" s="446">
        <v>3</v>
      </c>
      <c r="R14" s="465">
        <v>3</v>
      </c>
      <c r="S14" s="455">
        <v>12</v>
      </c>
      <c r="T14" s="448">
        <v>1</v>
      </c>
      <c r="U14" s="446">
        <v>3</v>
      </c>
      <c r="V14" s="465">
        <v>3</v>
      </c>
      <c r="W14" s="455">
        <v>20</v>
      </c>
      <c r="X14" s="447">
        <v>60</v>
      </c>
      <c r="Y14" s="456">
        <v>20</v>
      </c>
      <c r="Z14" s="442">
        <f t="shared" si="1"/>
        <v>100</v>
      </c>
      <c r="AA14" s="442">
        <v>30</v>
      </c>
      <c r="AB14" s="442">
        <v>30</v>
      </c>
      <c r="AC14" s="396">
        <v>40</v>
      </c>
      <c r="AG14" s="642">
        <v>93</v>
      </c>
      <c r="AH14" s="641" t="s">
        <v>199</v>
      </c>
    </row>
    <row r="15" spans="1:37">
      <c r="A15" s="401"/>
      <c r="B15" s="552">
        <v>90.06</v>
      </c>
      <c r="C15" s="390">
        <v>91.22999999999999</v>
      </c>
      <c r="D15" s="553">
        <v>92</v>
      </c>
      <c r="F15" s="371" t="s">
        <v>254</v>
      </c>
      <c r="G15" s="8" cm="1">
        <f t="array" ref="G15">_xlfn.IFNA(_xlfn.XLOOKUP(1,(HELPER!$I$7:$I$161=1)*(HELPER!$L$7:$L$161=$G$10)*(HELPER!$K$7:$K$161=$G$9),HELPER!$Y$7:$Y$161),"")</f>
        <v>30</v>
      </c>
      <c r="I15" s="4">
        <f t="shared" si="0"/>
        <v>1</v>
      </c>
      <c r="J15" s="421" t="s">
        <v>249</v>
      </c>
      <c r="K15" s="421" t="s">
        <v>250</v>
      </c>
      <c r="L15" s="421" t="s">
        <v>255</v>
      </c>
      <c r="M15" s="453">
        <v>80</v>
      </c>
      <c r="N15" s="475" t="s">
        <v>252</v>
      </c>
      <c r="O15" s="455">
        <v>11</v>
      </c>
      <c r="P15" s="448">
        <v>1</v>
      </c>
      <c r="Q15" s="446">
        <v>3</v>
      </c>
      <c r="R15" s="465">
        <v>3</v>
      </c>
      <c r="S15" s="455">
        <v>12</v>
      </c>
      <c r="T15" s="448">
        <v>1</v>
      </c>
      <c r="U15" s="446">
        <v>3</v>
      </c>
      <c r="V15" s="465">
        <v>3</v>
      </c>
      <c r="W15" s="455">
        <v>20</v>
      </c>
      <c r="X15" s="447">
        <v>60</v>
      </c>
      <c r="Y15" s="456">
        <v>20</v>
      </c>
      <c r="Z15" s="442">
        <f t="shared" si="1"/>
        <v>100</v>
      </c>
      <c r="AA15" s="442">
        <v>30</v>
      </c>
      <c r="AB15" s="442">
        <v>30</v>
      </c>
      <c r="AC15" s="396">
        <v>40</v>
      </c>
      <c r="AG15" s="642">
        <v>92</v>
      </c>
      <c r="AH15" s="641" t="s">
        <v>199</v>
      </c>
    </row>
    <row r="16" spans="1:37">
      <c r="A16" s="401"/>
      <c r="B16" s="552">
        <v>88.88</v>
      </c>
      <c r="C16" s="390">
        <v>90.05</v>
      </c>
      <c r="D16" s="553">
        <v>91</v>
      </c>
      <c r="I16" s="4">
        <f t="shared" si="0"/>
        <v>1</v>
      </c>
      <c r="J16" s="421" t="s">
        <v>249</v>
      </c>
      <c r="K16" s="421" t="s">
        <v>250</v>
      </c>
      <c r="L16" s="421" t="s">
        <v>256</v>
      </c>
      <c r="M16" s="453">
        <v>80</v>
      </c>
      <c r="N16" s="475" t="s">
        <v>252</v>
      </c>
      <c r="O16" s="455">
        <v>11</v>
      </c>
      <c r="P16" s="448">
        <v>1</v>
      </c>
      <c r="Q16" s="446">
        <v>3</v>
      </c>
      <c r="R16" s="465">
        <v>3</v>
      </c>
      <c r="S16" s="455">
        <v>12</v>
      </c>
      <c r="T16" s="448">
        <v>1</v>
      </c>
      <c r="U16" s="446">
        <v>3</v>
      </c>
      <c r="V16" s="465">
        <v>3</v>
      </c>
      <c r="W16" s="455">
        <v>20</v>
      </c>
      <c r="X16" s="447">
        <v>60</v>
      </c>
      <c r="Y16" s="456">
        <v>20</v>
      </c>
      <c r="Z16" s="442">
        <f t="shared" si="1"/>
        <v>100</v>
      </c>
      <c r="AA16" s="442">
        <v>30</v>
      </c>
      <c r="AB16" s="442">
        <v>30</v>
      </c>
      <c r="AC16" s="396">
        <v>40</v>
      </c>
      <c r="AG16" s="642">
        <v>91</v>
      </c>
      <c r="AH16" s="641" t="s">
        <v>199</v>
      </c>
    </row>
    <row r="17" spans="1:34">
      <c r="A17" s="401"/>
      <c r="B17" s="552">
        <v>87.7</v>
      </c>
      <c r="C17" s="390">
        <v>88.86999999999999</v>
      </c>
      <c r="D17" s="553">
        <v>90</v>
      </c>
      <c r="F17" s="62" t="s">
        <v>173</v>
      </c>
      <c r="G17" s="373" cm="1">
        <f t="array" ref="G17">_xlfn.IFNA(_xlfn.XLOOKUP(1,(HELPER!$I$7:$I$161=1)*(HELPER!$L$7:$L$161=$G$10)*(HELPER!$K$7:$K$161=$G$9),HELPER!$AA$7:$AA$161),"")</f>
        <v>30</v>
      </c>
      <c r="I17" s="4">
        <f t="shared" si="0"/>
        <v>1</v>
      </c>
      <c r="J17" s="421" t="s">
        <v>249</v>
      </c>
      <c r="K17" s="421" t="s">
        <v>250</v>
      </c>
      <c r="L17" s="421" t="s">
        <v>257</v>
      </c>
      <c r="M17" s="453">
        <v>80</v>
      </c>
      <c r="N17" s="475" t="s">
        <v>252</v>
      </c>
      <c r="O17" s="455">
        <v>11</v>
      </c>
      <c r="P17" s="448">
        <v>1</v>
      </c>
      <c r="Q17" s="446">
        <v>3</v>
      </c>
      <c r="R17" s="465">
        <v>3</v>
      </c>
      <c r="S17" s="455">
        <v>12</v>
      </c>
      <c r="T17" s="448">
        <v>1</v>
      </c>
      <c r="U17" s="446">
        <v>3</v>
      </c>
      <c r="V17" s="465">
        <v>3</v>
      </c>
      <c r="W17" s="455">
        <v>20</v>
      </c>
      <c r="X17" s="447">
        <v>60</v>
      </c>
      <c r="Y17" s="456">
        <v>20</v>
      </c>
      <c r="Z17" s="442">
        <f t="shared" si="1"/>
        <v>100</v>
      </c>
      <c r="AA17" s="442">
        <v>30</v>
      </c>
      <c r="AB17" s="442">
        <v>30</v>
      </c>
      <c r="AC17" s="396">
        <v>40</v>
      </c>
      <c r="AG17" s="642">
        <v>90</v>
      </c>
      <c r="AH17" s="641" t="s">
        <v>199</v>
      </c>
    </row>
    <row r="18" spans="1:34">
      <c r="A18" s="401"/>
      <c r="B18" s="552">
        <v>86.52</v>
      </c>
      <c r="C18" s="390">
        <v>87.69</v>
      </c>
      <c r="D18" s="553">
        <v>89</v>
      </c>
      <c r="F18" s="62" t="s">
        <v>174</v>
      </c>
      <c r="G18" s="373" cm="1">
        <f t="array" ref="G18">_xlfn.IFNA(_xlfn.XLOOKUP(1,(HELPER!$I$7:$I$161=1)*(HELPER!$L$7:$L$161=$G$10)*(HELPER!$K$7:$K$161=$G$9),HELPER!$AB$7:$AB$161),"")</f>
        <v>30</v>
      </c>
      <c r="I18" s="4">
        <f t="shared" si="0"/>
        <v>1</v>
      </c>
      <c r="J18" s="421" t="s">
        <v>249</v>
      </c>
      <c r="K18" s="421" t="s">
        <v>250</v>
      </c>
      <c r="L18" s="421" t="s">
        <v>258</v>
      </c>
      <c r="M18" s="453">
        <v>80</v>
      </c>
      <c r="N18" s="475" t="s">
        <v>252</v>
      </c>
      <c r="O18" s="455">
        <v>11</v>
      </c>
      <c r="P18" s="448">
        <v>1</v>
      </c>
      <c r="Q18" s="446">
        <v>3</v>
      </c>
      <c r="R18" s="465">
        <v>3</v>
      </c>
      <c r="S18" s="455">
        <v>12</v>
      </c>
      <c r="T18" s="448">
        <v>1</v>
      </c>
      <c r="U18" s="446">
        <v>3</v>
      </c>
      <c r="V18" s="465">
        <v>3</v>
      </c>
      <c r="W18" s="455">
        <v>20</v>
      </c>
      <c r="X18" s="447">
        <v>60</v>
      </c>
      <c r="Y18" s="456">
        <v>20</v>
      </c>
      <c r="Z18" s="442">
        <f t="shared" si="1"/>
        <v>100</v>
      </c>
      <c r="AA18" s="442">
        <v>30</v>
      </c>
      <c r="AB18" s="442">
        <v>30</v>
      </c>
      <c r="AC18" s="396">
        <v>40</v>
      </c>
      <c r="AG18" s="642">
        <v>89</v>
      </c>
      <c r="AH18" s="641" t="s">
        <v>202</v>
      </c>
    </row>
    <row r="19" spans="1:34" ht="15.5" customHeight="1">
      <c r="A19" s="401"/>
      <c r="B19" s="552">
        <v>85.34</v>
      </c>
      <c r="C19" s="390">
        <v>86.509999999999991</v>
      </c>
      <c r="D19" s="553">
        <v>88</v>
      </c>
      <c r="F19" s="62" t="s">
        <v>175</v>
      </c>
      <c r="G19" s="373" cm="1">
        <f t="array" ref="G19">_xlfn.IFNA(_xlfn.XLOOKUP(1,(HELPER!$I$7:$I$161=1)*(HELPER!$L$7:$L$161=$G$10)*(HELPER!$K$7:$K$161=$G$9),HELPER!$AC$7:$AC$161),"")</f>
        <v>40</v>
      </c>
      <c r="I19" s="4">
        <f t="shared" si="0"/>
        <v>1</v>
      </c>
      <c r="J19" s="421" t="s">
        <v>249</v>
      </c>
      <c r="K19" s="421" t="s">
        <v>250</v>
      </c>
      <c r="L19" s="421" t="s">
        <v>259</v>
      </c>
      <c r="M19" s="453">
        <v>80</v>
      </c>
      <c r="N19" s="475" t="s">
        <v>252</v>
      </c>
      <c r="O19" s="455">
        <v>11</v>
      </c>
      <c r="P19" s="448">
        <v>1</v>
      </c>
      <c r="Q19" s="446">
        <v>3</v>
      </c>
      <c r="R19" s="465">
        <v>3</v>
      </c>
      <c r="S19" s="455">
        <v>12</v>
      </c>
      <c r="T19" s="448">
        <v>1</v>
      </c>
      <c r="U19" s="446">
        <v>3</v>
      </c>
      <c r="V19" s="465">
        <v>3</v>
      </c>
      <c r="W19" s="455">
        <v>20</v>
      </c>
      <c r="X19" s="447">
        <v>60</v>
      </c>
      <c r="Y19" s="457">
        <v>20</v>
      </c>
      <c r="Z19" s="442">
        <f t="shared" si="1"/>
        <v>100</v>
      </c>
      <c r="AA19" s="442">
        <v>30</v>
      </c>
      <c r="AB19" s="442">
        <v>30</v>
      </c>
      <c r="AC19" s="396">
        <v>40</v>
      </c>
      <c r="AG19" s="642">
        <v>88</v>
      </c>
      <c r="AH19" s="641" t="s">
        <v>202</v>
      </c>
    </row>
    <row r="20" spans="1:34">
      <c r="A20" s="401"/>
      <c r="B20" s="552">
        <v>84.16</v>
      </c>
      <c r="C20" s="390">
        <v>85.33</v>
      </c>
      <c r="D20" s="553">
        <v>87</v>
      </c>
      <c r="F20" s="11" t="s">
        <v>260</v>
      </c>
      <c r="I20" s="4">
        <f t="shared" si="0"/>
        <v>1</v>
      </c>
      <c r="J20" s="421" t="s">
        <v>249</v>
      </c>
      <c r="K20" s="421" t="s">
        <v>250</v>
      </c>
      <c r="L20" s="421" t="s">
        <v>261</v>
      </c>
      <c r="M20" s="453">
        <v>80</v>
      </c>
      <c r="N20" s="475" t="s">
        <v>252</v>
      </c>
      <c r="O20" s="455">
        <v>11</v>
      </c>
      <c r="P20" s="448">
        <v>1</v>
      </c>
      <c r="Q20" s="446">
        <v>3</v>
      </c>
      <c r="R20" s="465">
        <v>3</v>
      </c>
      <c r="S20" s="455">
        <v>12</v>
      </c>
      <c r="T20" s="448">
        <v>1</v>
      </c>
      <c r="U20" s="446">
        <v>3</v>
      </c>
      <c r="V20" s="465">
        <v>3</v>
      </c>
      <c r="W20" s="455">
        <v>20</v>
      </c>
      <c r="X20" s="447">
        <v>60</v>
      </c>
      <c r="Y20" s="457">
        <v>20</v>
      </c>
      <c r="Z20" s="442">
        <f t="shared" si="1"/>
        <v>100</v>
      </c>
      <c r="AA20" s="442">
        <v>30</v>
      </c>
      <c r="AB20" s="442">
        <v>30</v>
      </c>
      <c r="AC20" s="396">
        <v>40</v>
      </c>
      <c r="AG20" s="642">
        <v>87</v>
      </c>
      <c r="AH20" s="641" t="s">
        <v>202</v>
      </c>
    </row>
    <row r="21" spans="1:34">
      <c r="A21" s="401"/>
      <c r="B21" s="552">
        <v>82.98</v>
      </c>
      <c r="C21" s="390">
        <v>84.149999999999991</v>
      </c>
      <c r="D21" s="553">
        <v>86</v>
      </c>
      <c r="F21" s="414" t="s">
        <v>262</v>
      </c>
      <c r="G21" s="415">
        <f>IF('INPUT DATA'!F29="OTHER ELECTIVE / SPECIAL CURRICULAR PROGRAM",2,1)</f>
        <v>1</v>
      </c>
      <c r="I21" s="4">
        <f t="shared" si="0"/>
        <v>1</v>
      </c>
      <c r="J21" s="421" t="s">
        <v>249</v>
      </c>
      <c r="K21" s="421" t="s">
        <v>250</v>
      </c>
      <c r="L21" s="421" t="s">
        <v>263</v>
      </c>
      <c r="M21" s="453">
        <v>80</v>
      </c>
      <c r="N21" s="475" t="s">
        <v>252</v>
      </c>
      <c r="O21" s="455">
        <v>11</v>
      </c>
      <c r="P21" s="448">
        <v>1</v>
      </c>
      <c r="Q21" s="446">
        <v>3</v>
      </c>
      <c r="R21" s="465">
        <v>3</v>
      </c>
      <c r="S21" s="455">
        <v>12</v>
      </c>
      <c r="T21" s="448">
        <v>1</v>
      </c>
      <c r="U21" s="446">
        <v>3</v>
      </c>
      <c r="V21" s="465">
        <v>3</v>
      </c>
      <c r="W21" s="455">
        <v>20</v>
      </c>
      <c r="X21" s="447">
        <v>60</v>
      </c>
      <c r="Y21" s="457">
        <v>20</v>
      </c>
      <c r="Z21" s="442">
        <f t="shared" si="1"/>
        <v>100</v>
      </c>
      <c r="AA21" s="442">
        <v>30</v>
      </c>
      <c r="AB21" s="442">
        <v>30</v>
      </c>
      <c r="AC21" s="396">
        <v>40</v>
      </c>
      <c r="AG21" s="642">
        <v>86</v>
      </c>
      <c r="AH21" s="641" t="s">
        <v>202</v>
      </c>
    </row>
    <row r="22" spans="1:34">
      <c r="A22" s="401"/>
      <c r="B22" s="552">
        <v>81.8</v>
      </c>
      <c r="C22" s="390">
        <v>82.97</v>
      </c>
      <c r="D22" s="553">
        <v>85</v>
      </c>
      <c r="F22" s="414" t="s">
        <v>264</v>
      </c>
      <c r="G22" s="415">
        <f>IF(HELPER!$G$21=1,'INPUT DATA'!F$33,IF(HELPER!$G$21=2,'INPUT DATA'!F$51,""))</f>
        <v>3</v>
      </c>
      <c r="I22" s="4">
        <f t="shared" si="0"/>
        <v>1</v>
      </c>
      <c r="J22" s="421" t="s">
        <v>249</v>
      </c>
      <c r="K22" s="421" t="s">
        <v>250</v>
      </c>
      <c r="L22" s="421" t="s">
        <v>265</v>
      </c>
      <c r="M22" s="453">
        <v>80</v>
      </c>
      <c r="N22" s="475" t="s">
        <v>252</v>
      </c>
      <c r="O22" s="455">
        <v>11</v>
      </c>
      <c r="P22" s="448">
        <v>1</v>
      </c>
      <c r="Q22" s="446">
        <v>3</v>
      </c>
      <c r="R22" s="465">
        <v>3</v>
      </c>
      <c r="S22" s="455">
        <v>12</v>
      </c>
      <c r="T22" s="448">
        <v>1</v>
      </c>
      <c r="U22" s="446">
        <v>3</v>
      </c>
      <c r="V22" s="465">
        <v>3</v>
      </c>
      <c r="W22" s="455">
        <v>20</v>
      </c>
      <c r="X22" s="447">
        <v>60</v>
      </c>
      <c r="Y22" s="457">
        <v>20</v>
      </c>
      <c r="Z22" s="442">
        <f t="shared" si="1"/>
        <v>100</v>
      </c>
      <c r="AA22" s="442">
        <v>30</v>
      </c>
      <c r="AB22" s="442">
        <v>30</v>
      </c>
      <c r="AC22" s="396">
        <v>40</v>
      </c>
      <c r="AG22" s="642">
        <v>85</v>
      </c>
      <c r="AH22" s="641" t="s">
        <v>202</v>
      </c>
    </row>
    <row r="23" spans="1:34">
      <c r="A23" s="401"/>
      <c r="B23" s="552">
        <v>80.62</v>
      </c>
      <c r="C23" s="390">
        <v>81.789999999999992</v>
      </c>
      <c r="D23" s="553">
        <v>84</v>
      </c>
      <c r="F23" s="539">
        <f>IF($G$21=1,'INPUT DATA'!I$34,IF($G$21=2,'INPUT DATA'!I$52,""))</f>
        <v>33</v>
      </c>
      <c r="G23" s="540" t="str">
        <f>_xlfn.IFNA(_xlfn.XLOOKUP(F23,F38:F43,G38:G43),"")</f>
        <v>1ST, 2ND, 3RD</v>
      </c>
      <c r="I23" s="4">
        <f t="shared" si="0"/>
        <v>1</v>
      </c>
      <c r="J23" s="421" t="s">
        <v>249</v>
      </c>
      <c r="K23" s="421" t="s">
        <v>250</v>
      </c>
      <c r="L23" s="421" t="s">
        <v>266</v>
      </c>
      <c r="M23" s="453">
        <v>80</v>
      </c>
      <c r="N23" s="475" t="s">
        <v>252</v>
      </c>
      <c r="O23" s="455">
        <v>11</v>
      </c>
      <c r="P23" s="448">
        <v>1</v>
      </c>
      <c r="Q23" s="446">
        <v>3</v>
      </c>
      <c r="R23" s="465">
        <v>3</v>
      </c>
      <c r="S23" s="455">
        <v>12</v>
      </c>
      <c r="T23" s="448">
        <v>1</v>
      </c>
      <c r="U23" s="446">
        <v>3</v>
      </c>
      <c r="V23" s="465">
        <v>3</v>
      </c>
      <c r="W23" s="455">
        <v>20</v>
      </c>
      <c r="X23" s="447">
        <v>60</v>
      </c>
      <c r="Y23" s="457">
        <v>20</v>
      </c>
      <c r="Z23" s="442">
        <f t="shared" si="1"/>
        <v>100</v>
      </c>
      <c r="AA23" s="442">
        <v>30</v>
      </c>
      <c r="AB23" s="442">
        <v>30</v>
      </c>
      <c r="AC23" s="396">
        <v>40</v>
      </c>
      <c r="AG23" s="642">
        <v>84</v>
      </c>
      <c r="AH23" s="641" t="s">
        <v>202</v>
      </c>
    </row>
    <row r="24" spans="1:34">
      <c r="A24" s="401"/>
      <c r="B24" s="552">
        <v>79.44</v>
      </c>
      <c r="C24" s="390">
        <v>80.61</v>
      </c>
      <c r="D24" s="553">
        <v>83</v>
      </c>
      <c r="F24" s="437">
        <v>1</v>
      </c>
      <c r="G24" s="438" t="s">
        <v>267</v>
      </c>
      <c r="I24" s="4">
        <f t="shared" si="0"/>
        <v>1</v>
      </c>
      <c r="J24" s="421" t="s">
        <v>249</v>
      </c>
      <c r="K24" s="421" t="s">
        <v>250</v>
      </c>
      <c r="L24" s="421" t="s">
        <v>268</v>
      </c>
      <c r="M24" s="453">
        <v>80</v>
      </c>
      <c r="N24" s="475" t="s">
        <v>252</v>
      </c>
      <c r="O24" s="455">
        <v>11</v>
      </c>
      <c r="P24" s="448">
        <v>1</v>
      </c>
      <c r="Q24" s="446">
        <v>3</v>
      </c>
      <c r="R24" s="465">
        <v>3</v>
      </c>
      <c r="S24" s="455">
        <v>12</v>
      </c>
      <c r="T24" s="448">
        <v>1</v>
      </c>
      <c r="U24" s="446">
        <v>3</v>
      </c>
      <c r="V24" s="465">
        <v>3</v>
      </c>
      <c r="W24" s="455">
        <v>20</v>
      </c>
      <c r="X24" s="447">
        <v>60</v>
      </c>
      <c r="Y24" s="457">
        <v>20</v>
      </c>
      <c r="Z24" s="442">
        <f t="shared" si="1"/>
        <v>100</v>
      </c>
      <c r="AA24" s="442">
        <v>30</v>
      </c>
      <c r="AB24" s="442">
        <v>30</v>
      </c>
      <c r="AC24" s="396">
        <v>40</v>
      </c>
      <c r="AG24" s="642">
        <v>83</v>
      </c>
      <c r="AH24" s="641" t="s">
        <v>202</v>
      </c>
    </row>
    <row r="25" spans="1:34">
      <c r="A25" s="401"/>
      <c r="B25" s="552">
        <v>78.259999999999991</v>
      </c>
      <c r="C25" s="390">
        <v>79.429999999999993</v>
      </c>
      <c r="D25" s="553">
        <v>82</v>
      </c>
      <c r="F25" s="416">
        <v>2</v>
      </c>
      <c r="G25" s="439" t="s">
        <v>269</v>
      </c>
      <c r="I25" s="4">
        <f t="shared" si="0"/>
        <v>1</v>
      </c>
      <c r="J25" s="421" t="s">
        <v>249</v>
      </c>
      <c r="K25" s="421" t="s">
        <v>250</v>
      </c>
      <c r="L25" s="421" t="s">
        <v>270</v>
      </c>
      <c r="M25" s="453">
        <v>80</v>
      </c>
      <c r="N25" s="475" t="s">
        <v>252</v>
      </c>
      <c r="O25" s="455">
        <v>11</v>
      </c>
      <c r="P25" s="448">
        <v>1</v>
      </c>
      <c r="Q25" s="446">
        <v>3</v>
      </c>
      <c r="R25" s="465">
        <v>3</v>
      </c>
      <c r="S25" s="455">
        <v>12</v>
      </c>
      <c r="T25" s="448">
        <v>1</v>
      </c>
      <c r="U25" s="446">
        <v>3</v>
      </c>
      <c r="V25" s="465">
        <v>3</v>
      </c>
      <c r="W25" s="455">
        <v>20</v>
      </c>
      <c r="X25" s="447">
        <v>60</v>
      </c>
      <c r="Y25" s="457">
        <v>20</v>
      </c>
      <c r="Z25" s="442">
        <f t="shared" si="1"/>
        <v>100</v>
      </c>
      <c r="AA25" s="442">
        <v>30</v>
      </c>
      <c r="AB25" s="442">
        <v>30</v>
      </c>
      <c r="AC25" s="396">
        <v>40</v>
      </c>
      <c r="AG25" s="642">
        <v>82</v>
      </c>
      <c r="AH25" s="641" t="s">
        <v>202</v>
      </c>
    </row>
    <row r="26" spans="1:34">
      <c r="A26" s="401"/>
      <c r="B26" s="552">
        <v>77.079999999999984</v>
      </c>
      <c r="C26" s="390">
        <v>78.249999999999986</v>
      </c>
      <c r="D26" s="553">
        <v>81</v>
      </c>
      <c r="F26" s="417">
        <v>3</v>
      </c>
      <c r="G26" s="440" t="s">
        <v>271</v>
      </c>
      <c r="I26" s="4">
        <f t="shared" si="0"/>
        <v>1</v>
      </c>
      <c r="J26" s="421" t="s">
        <v>249</v>
      </c>
      <c r="K26" s="421" t="s">
        <v>250</v>
      </c>
      <c r="L26" s="421" t="s">
        <v>272</v>
      </c>
      <c r="M26" s="453">
        <v>80</v>
      </c>
      <c r="N26" s="475" t="s">
        <v>252</v>
      </c>
      <c r="O26" s="455">
        <v>11</v>
      </c>
      <c r="P26" s="448">
        <v>1</v>
      </c>
      <c r="Q26" s="446">
        <v>3</v>
      </c>
      <c r="R26" s="465">
        <v>3</v>
      </c>
      <c r="S26" s="455">
        <v>12</v>
      </c>
      <c r="T26" s="448">
        <v>1</v>
      </c>
      <c r="U26" s="446">
        <v>3</v>
      </c>
      <c r="V26" s="465">
        <v>3</v>
      </c>
      <c r="W26" s="455">
        <v>20</v>
      </c>
      <c r="X26" s="447">
        <v>60</v>
      </c>
      <c r="Y26" s="456">
        <v>20</v>
      </c>
      <c r="Z26" s="442">
        <f t="shared" si="1"/>
        <v>100</v>
      </c>
      <c r="AA26" s="442">
        <v>30</v>
      </c>
      <c r="AB26" s="442">
        <v>30</v>
      </c>
      <c r="AC26" s="396">
        <v>40</v>
      </c>
      <c r="AG26" s="642">
        <v>81</v>
      </c>
      <c r="AH26" s="641" t="s">
        <v>202</v>
      </c>
    </row>
    <row r="27" spans="1:34">
      <c r="A27" s="401"/>
      <c r="B27" s="556">
        <v>75.899999999999977</v>
      </c>
      <c r="C27" s="557">
        <v>77.069999999999979</v>
      </c>
      <c r="D27" s="558">
        <v>80</v>
      </c>
      <c r="F27" s="418" t="s">
        <v>38</v>
      </c>
      <c r="G27" s="42" cm="1">
        <f t="array" ref="G27">_xlfn.IFNA(IF('INPUT DATA'!$F$24=11,_xlfn.XLOOKUP(1,(HELPER!$I$7:$I$161=1)*(HELPER!$L$7:$L$161=G10),HELPER!Q$7:Q$161),
IF('INPUT DATA'!$F$24=12,(_xlfn.XLOOKUP(1,(HELPER!$I$7:$I$161=1)*(HELPER!$L$7:$L$161=G10),HELPER!U$7:U$161)),"")),"")</f>
        <v>2</v>
      </c>
      <c r="I27" s="4">
        <f t="shared" si="0"/>
        <v>1</v>
      </c>
      <c r="J27" s="421" t="s">
        <v>249</v>
      </c>
      <c r="K27" s="421" t="s">
        <v>250</v>
      </c>
      <c r="L27" s="421" t="s">
        <v>273</v>
      </c>
      <c r="M27" s="453">
        <v>80</v>
      </c>
      <c r="N27" s="475" t="s">
        <v>252</v>
      </c>
      <c r="O27" s="455">
        <v>11</v>
      </c>
      <c r="P27" s="448">
        <v>1</v>
      </c>
      <c r="Q27" s="446">
        <v>3</v>
      </c>
      <c r="R27" s="465">
        <v>3</v>
      </c>
      <c r="S27" s="455">
        <v>12</v>
      </c>
      <c r="T27" s="448">
        <v>1</v>
      </c>
      <c r="U27" s="446">
        <v>3</v>
      </c>
      <c r="V27" s="465">
        <v>3</v>
      </c>
      <c r="W27" s="455">
        <v>20</v>
      </c>
      <c r="X27" s="447">
        <v>60</v>
      </c>
      <c r="Y27" s="456">
        <v>20</v>
      </c>
      <c r="Z27" s="442">
        <f t="shared" si="1"/>
        <v>100</v>
      </c>
      <c r="AA27" s="442">
        <v>30</v>
      </c>
      <c r="AB27" s="442">
        <v>30</v>
      </c>
      <c r="AC27" s="396">
        <v>40</v>
      </c>
      <c r="AG27" s="642">
        <v>80</v>
      </c>
      <c r="AH27" s="641" t="s">
        <v>202</v>
      </c>
    </row>
    <row r="28" spans="1:34">
      <c r="A28" s="401"/>
      <c r="B28" s="552">
        <v>74.71999999999997</v>
      </c>
      <c r="C28" s="390">
        <v>75.889999999999972</v>
      </c>
      <c r="D28" s="553">
        <v>79</v>
      </c>
      <c r="F28" s="153" t="s">
        <v>40</v>
      </c>
      <c r="G28" s="156">
        <f>G27*G22</f>
        <v>6</v>
      </c>
      <c r="I28" s="4">
        <f t="shared" si="0"/>
        <v>1</v>
      </c>
      <c r="J28" s="421" t="s">
        <v>249</v>
      </c>
      <c r="K28" s="421" t="s">
        <v>250</v>
      </c>
      <c r="L28" s="421" t="s">
        <v>274</v>
      </c>
      <c r="M28" s="453">
        <v>80</v>
      </c>
      <c r="N28" s="475" t="s">
        <v>252</v>
      </c>
      <c r="O28" s="455">
        <v>11</v>
      </c>
      <c r="P28" s="448">
        <v>1</v>
      </c>
      <c r="Q28" s="446">
        <v>3</v>
      </c>
      <c r="R28" s="465">
        <v>3</v>
      </c>
      <c r="S28" s="455">
        <v>12</v>
      </c>
      <c r="T28" s="448">
        <v>1</v>
      </c>
      <c r="U28" s="446">
        <v>3</v>
      </c>
      <c r="V28" s="465">
        <v>3</v>
      </c>
      <c r="W28" s="455">
        <v>20</v>
      </c>
      <c r="X28" s="447">
        <v>60</v>
      </c>
      <c r="Y28" s="456">
        <v>20</v>
      </c>
      <c r="Z28" s="442">
        <f t="shared" si="1"/>
        <v>100</v>
      </c>
      <c r="AA28" s="442">
        <v>30</v>
      </c>
      <c r="AB28" s="442">
        <v>30</v>
      </c>
      <c r="AC28" s="396">
        <v>40</v>
      </c>
      <c r="AG28" s="642">
        <v>79</v>
      </c>
      <c r="AH28" s="641" t="s">
        <v>205</v>
      </c>
    </row>
    <row r="29" spans="1:34" ht="15.5" customHeight="1">
      <c r="A29" s="401"/>
      <c r="B29" s="552">
        <v>73.539999999999964</v>
      </c>
      <c r="C29" s="390">
        <v>74.709999999999965</v>
      </c>
      <c r="D29" s="553">
        <v>78</v>
      </c>
      <c r="I29" s="4">
        <f t="shared" si="0"/>
        <v>1</v>
      </c>
      <c r="J29" s="421" t="s">
        <v>249</v>
      </c>
      <c r="K29" s="421" t="s">
        <v>250</v>
      </c>
      <c r="L29" s="421" t="s">
        <v>275</v>
      </c>
      <c r="M29" s="453">
        <v>80</v>
      </c>
      <c r="N29" s="475" t="s">
        <v>252</v>
      </c>
      <c r="O29" s="455">
        <v>11</v>
      </c>
      <c r="P29" s="448">
        <v>1</v>
      </c>
      <c r="Q29" s="446">
        <v>3</v>
      </c>
      <c r="R29" s="465">
        <v>3</v>
      </c>
      <c r="S29" s="455">
        <v>12</v>
      </c>
      <c r="T29" s="448">
        <v>1</v>
      </c>
      <c r="U29" s="446">
        <v>3</v>
      </c>
      <c r="V29" s="465">
        <v>3</v>
      </c>
      <c r="W29" s="455">
        <v>20</v>
      </c>
      <c r="X29" s="447">
        <v>60</v>
      </c>
      <c r="Y29" s="456">
        <v>20</v>
      </c>
      <c r="Z29" s="442">
        <f t="shared" si="1"/>
        <v>100</v>
      </c>
      <c r="AA29" s="442">
        <v>30</v>
      </c>
      <c r="AB29" s="442">
        <v>30</v>
      </c>
      <c r="AC29" s="396">
        <v>40</v>
      </c>
      <c r="AG29" s="642">
        <v>78</v>
      </c>
      <c r="AH29" s="641" t="s">
        <v>205</v>
      </c>
    </row>
    <row r="30" spans="1:34">
      <c r="A30" s="401"/>
      <c r="B30" s="552">
        <v>72.359999999999957</v>
      </c>
      <c r="C30" s="390">
        <v>73.529999999999959</v>
      </c>
      <c r="D30" s="553">
        <v>77</v>
      </c>
      <c r="F30" s="2" t="s">
        <v>276</v>
      </c>
      <c r="I30" s="4">
        <f t="shared" si="0"/>
        <v>1</v>
      </c>
      <c r="J30" s="421" t="s">
        <v>249</v>
      </c>
      <c r="K30" s="421" t="s">
        <v>250</v>
      </c>
      <c r="L30" s="421" t="s">
        <v>277</v>
      </c>
      <c r="M30" s="453">
        <v>80</v>
      </c>
      <c r="N30" s="475" t="s">
        <v>252</v>
      </c>
      <c r="O30" s="455">
        <v>11</v>
      </c>
      <c r="P30" s="448">
        <v>1</v>
      </c>
      <c r="Q30" s="446">
        <v>3</v>
      </c>
      <c r="R30" s="465">
        <v>3</v>
      </c>
      <c r="S30" s="455">
        <v>12</v>
      </c>
      <c r="T30" s="448">
        <v>1</v>
      </c>
      <c r="U30" s="446">
        <v>3</v>
      </c>
      <c r="V30" s="465">
        <v>3</v>
      </c>
      <c r="W30" s="455">
        <v>20</v>
      </c>
      <c r="X30" s="447">
        <v>60</v>
      </c>
      <c r="Y30" s="456">
        <v>20</v>
      </c>
      <c r="Z30" s="442">
        <f t="shared" si="1"/>
        <v>100</v>
      </c>
      <c r="AA30" s="442">
        <v>30</v>
      </c>
      <c r="AB30" s="442">
        <v>30</v>
      </c>
      <c r="AC30" s="396">
        <v>40</v>
      </c>
      <c r="AG30" s="642">
        <v>77</v>
      </c>
      <c r="AH30" s="641" t="s">
        <v>205</v>
      </c>
    </row>
    <row r="31" spans="1:34">
      <c r="A31" s="401"/>
      <c r="B31" s="552">
        <v>71.17999999999995</v>
      </c>
      <c r="C31" s="390">
        <v>72.349999999999952</v>
      </c>
      <c r="D31" s="553">
        <v>76</v>
      </c>
      <c r="F31" s="46">
        <v>1</v>
      </c>
      <c r="G31" s="42" t="s">
        <v>162</v>
      </c>
      <c r="I31" s="4">
        <f t="shared" si="0"/>
        <v>1</v>
      </c>
      <c r="J31" s="421" t="s">
        <v>249</v>
      </c>
      <c r="K31" s="421" t="s">
        <v>250</v>
      </c>
      <c r="L31" s="421" t="s">
        <v>278</v>
      </c>
      <c r="M31" s="453">
        <v>80</v>
      </c>
      <c r="N31" s="475" t="s">
        <v>252</v>
      </c>
      <c r="O31" s="455">
        <v>11</v>
      </c>
      <c r="P31" s="448">
        <v>1</v>
      </c>
      <c r="Q31" s="446">
        <v>3</v>
      </c>
      <c r="R31" s="465">
        <v>3</v>
      </c>
      <c r="S31" s="455">
        <v>12</v>
      </c>
      <c r="T31" s="448">
        <v>1</v>
      </c>
      <c r="U31" s="446">
        <v>3</v>
      </c>
      <c r="V31" s="465">
        <v>3</v>
      </c>
      <c r="W31" s="455">
        <v>20</v>
      </c>
      <c r="X31" s="447">
        <v>60</v>
      </c>
      <c r="Y31" s="456">
        <v>20</v>
      </c>
      <c r="Z31" s="442">
        <f t="shared" si="1"/>
        <v>100</v>
      </c>
      <c r="AA31" s="442">
        <v>30</v>
      </c>
      <c r="AB31" s="442">
        <v>30</v>
      </c>
      <c r="AC31" s="396">
        <v>40</v>
      </c>
      <c r="AG31" s="642">
        <v>76</v>
      </c>
      <c r="AH31" s="641" t="s">
        <v>205</v>
      </c>
    </row>
    <row r="32" spans="1:34">
      <c r="A32" s="401"/>
      <c r="B32" s="559">
        <v>69.999999999999943</v>
      </c>
      <c r="C32" s="560">
        <v>71.169999999999945</v>
      </c>
      <c r="D32" s="561">
        <v>75</v>
      </c>
      <c r="F32" s="47">
        <v>2</v>
      </c>
      <c r="G32" s="183" t="s">
        <v>180</v>
      </c>
      <c r="I32" s="4">
        <f t="shared" si="0"/>
        <v>1</v>
      </c>
      <c r="J32" s="421" t="s">
        <v>249</v>
      </c>
      <c r="K32" s="421" t="s">
        <v>250</v>
      </c>
      <c r="L32" s="421" t="s">
        <v>279</v>
      </c>
      <c r="M32" s="453">
        <v>80</v>
      </c>
      <c r="N32" s="475" t="s">
        <v>252</v>
      </c>
      <c r="O32" s="455">
        <v>11</v>
      </c>
      <c r="P32" s="448">
        <v>1</v>
      </c>
      <c r="Q32" s="446">
        <v>3</v>
      </c>
      <c r="R32" s="465">
        <v>3</v>
      </c>
      <c r="S32" s="455">
        <v>12</v>
      </c>
      <c r="T32" s="448">
        <v>1</v>
      </c>
      <c r="U32" s="446">
        <v>3</v>
      </c>
      <c r="V32" s="465">
        <v>3</v>
      </c>
      <c r="W32" s="455">
        <v>20</v>
      </c>
      <c r="X32" s="447">
        <v>60</v>
      </c>
      <c r="Y32" s="456">
        <v>20</v>
      </c>
      <c r="Z32" s="442">
        <f t="shared" si="1"/>
        <v>100</v>
      </c>
      <c r="AA32" s="442">
        <v>30</v>
      </c>
      <c r="AB32" s="442">
        <v>30</v>
      </c>
      <c r="AC32" s="396">
        <v>40</v>
      </c>
      <c r="AG32" s="642">
        <v>75</v>
      </c>
      <c r="AH32" s="641" t="s">
        <v>205</v>
      </c>
    </row>
    <row r="33" spans="1:34">
      <c r="A33" s="401"/>
      <c r="B33" s="562">
        <v>65.34</v>
      </c>
      <c r="C33" s="563">
        <v>69.989999999999938</v>
      </c>
      <c r="D33" s="564">
        <v>74</v>
      </c>
      <c r="F33" s="371">
        <v>3</v>
      </c>
      <c r="G33" s="156" t="s">
        <v>181</v>
      </c>
      <c r="I33" s="4">
        <f t="shared" si="0"/>
        <v>1</v>
      </c>
      <c r="J33" s="421" t="s">
        <v>249</v>
      </c>
      <c r="K33" s="421" t="s">
        <v>250</v>
      </c>
      <c r="L33" s="421" t="s">
        <v>280</v>
      </c>
      <c r="M33" s="453">
        <v>80</v>
      </c>
      <c r="N33" s="475" t="s">
        <v>252</v>
      </c>
      <c r="O33" s="455">
        <v>11</v>
      </c>
      <c r="P33" s="448">
        <v>1</v>
      </c>
      <c r="Q33" s="446">
        <v>3</v>
      </c>
      <c r="R33" s="465">
        <v>3</v>
      </c>
      <c r="S33" s="455">
        <v>12</v>
      </c>
      <c r="T33" s="448">
        <v>1</v>
      </c>
      <c r="U33" s="446">
        <v>3</v>
      </c>
      <c r="V33" s="465">
        <v>3</v>
      </c>
      <c r="W33" s="455">
        <v>20</v>
      </c>
      <c r="X33" s="447">
        <v>60</v>
      </c>
      <c r="Y33" s="456">
        <v>20</v>
      </c>
      <c r="Z33" s="442">
        <f t="shared" si="1"/>
        <v>100</v>
      </c>
      <c r="AA33" s="442">
        <v>30</v>
      </c>
      <c r="AB33" s="442">
        <v>30</v>
      </c>
      <c r="AC33" s="396">
        <v>40</v>
      </c>
      <c r="AG33" s="642">
        <v>74</v>
      </c>
      <c r="AH33" s="641" t="s">
        <v>208</v>
      </c>
    </row>
    <row r="34" spans="1:34" ht="15.5" customHeight="1">
      <c r="A34" s="401"/>
      <c r="B34" s="562">
        <v>60.67</v>
      </c>
      <c r="C34" s="563">
        <v>65.33</v>
      </c>
      <c r="D34" s="564">
        <v>73</v>
      </c>
      <c r="F34" s="372">
        <v>4</v>
      </c>
      <c r="G34" s="413" t="s">
        <v>281</v>
      </c>
      <c r="I34" s="4">
        <f t="shared" si="0"/>
        <v>1</v>
      </c>
      <c r="J34" s="421" t="s">
        <v>249</v>
      </c>
      <c r="K34" s="421" t="s">
        <v>250</v>
      </c>
      <c r="L34" s="421" t="s">
        <v>282</v>
      </c>
      <c r="M34" s="453">
        <v>80</v>
      </c>
      <c r="N34" s="475" t="s">
        <v>252</v>
      </c>
      <c r="O34" s="455">
        <v>11</v>
      </c>
      <c r="P34" s="448">
        <v>1</v>
      </c>
      <c r="Q34" s="446">
        <v>3</v>
      </c>
      <c r="R34" s="465">
        <v>3</v>
      </c>
      <c r="S34" s="455">
        <v>12</v>
      </c>
      <c r="T34" s="448">
        <v>1</v>
      </c>
      <c r="U34" s="446">
        <v>3</v>
      </c>
      <c r="V34" s="465">
        <v>3</v>
      </c>
      <c r="W34" s="455">
        <v>20</v>
      </c>
      <c r="X34" s="447">
        <v>60</v>
      </c>
      <c r="Y34" s="456">
        <v>20</v>
      </c>
      <c r="Z34" s="442">
        <f t="shared" si="1"/>
        <v>100</v>
      </c>
      <c r="AA34" s="442">
        <v>30</v>
      </c>
      <c r="AB34" s="442">
        <v>30</v>
      </c>
      <c r="AC34" s="396">
        <v>40</v>
      </c>
      <c r="AG34" s="642">
        <v>73</v>
      </c>
      <c r="AH34" s="641" t="s">
        <v>208</v>
      </c>
    </row>
    <row r="35" spans="1:34">
      <c r="A35" s="401"/>
      <c r="B35" s="562">
        <v>56.01</v>
      </c>
      <c r="C35" s="563">
        <v>60.660000000000004</v>
      </c>
      <c r="D35" s="564">
        <v>72</v>
      </c>
      <c r="F35" s="372"/>
      <c r="G35" s="413"/>
      <c r="I35" s="4">
        <f t="shared" si="0"/>
        <v>1</v>
      </c>
      <c r="J35" s="421" t="s">
        <v>249</v>
      </c>
      <c r="K35" s="421" t="s">
        <v>250</v>
      </c>
      <c r="L35" s="421" t="s">
        <v>283</v>
      </c>
      <c r="M35" s="453">
        <v>80</v>
      </c>
      <c r="N35" s="475" t="s">
        <v>252</v>
      </c>
      <c r="O35" s="455">
        <v>11</v>
      </c>
      <c r="P35" s="448">
        <v>1</v>
      </c>
      <c r="Q35" s="446">
        <v>3</v>
      </c>
      <c r="R35" s="465">
        <v>3</v>
      </c>
      <c r="S35" s="455">
        <v>12</v>
      </c>
      <c r="T35" s="448">
        <v>1</v>
      </c>
      <c r="U35" s="446">
        <v>3</v>
      </c>
      <c r="V35" s="465">
        <v>3</v>
      </c>
      <c r="W35" s="455">
        <v>20</v>
      </c>
      <c r="X35" s="447">
        <v>60</v>
      </c>
      <c r="Y35" s="456">
        <v>20</v>
      </c>
      <c r="Z35" s="442">
        <f t="shared" si="1"/>
        <v>100</v>
      </c>
      <c r="AA35" s="442">
        <v>30</v>
      </c>
      <c r="AB35" s="442">
        <v>30</v>
      </c>
      <c r="AC35" s="396">
        <v>40</v>
      </c>
      <c r="AG35" s="642">
        <v>72</v>
      </c>
      <c r="AH35" s="641" t="s">
        <v>208</v>
      </c>
    </row>
    <row r="36" spans="1:34">
      <c r="A36" s="401"/>
      <c r="B36" s="562">
        <v>51.339999999999996</v>
      </c>
      <c r="C36" s="563">
        <v>56</v>
      </c>
      <c r="D36" s="564">
        <v>71</v>
      </c>
      <c r="I36" s="4">
        <f t="shared" si="0"/>
        <v>1</v>
      </c>
      <c r="J36" s="421" t="s">
        <v>249</v>
      </c>
      <c r="K36" s="421" t="s">
        <v>250</v>
      </c>
      <c r="L36" s="421" t="s">
        <v>284</v>
      </c>
      <c r="M36" s="453">
        <v>80</v>
      </c>
      <c r="N36" s="475" t="s">
        <v>252</v>
      </c>
      <c r="O36" s="455">
        <v>11</v>
      </c>
      <c r="P36" s="448">
        <v>1</v>
      </c>
      <c r="Q36" s="446">
        <v>3</v>
      </c>
      <c r="R36" s="465">
        <v>3</v>
      </c>
      <c r="S36" s="455">
        <v>12</v>
      </c>
      <c r="T36" s="448">
        <v>1</v>
      </c>
      <c r="U36" s="446">
        <v>3</v>
      </c>
      <c r="V36" s="465">
        <v>3</v>
      </c>
      <c r="W36" s="455">
        <v>20</v>
      </c>
      <c r="X36" s="447">
        <v>60</v>
      </c>
      <c r="Y36" s="456">
        <v>20</v>
      </c>
      <c r="Z36" s="442">
        <f t="shared" si="1"/>
        <v>100</v>
      </c>
      <c r="AA36" s="442">
        <v>30</v>
      </c>
      <c r="AB36" s="442">
        <v>30</v>
      </c>
      <c r="AC36" s="396">
        <v>40</v>
      </c>
      <c r="AG36" s="642">
        <v>71</v>
      </c>
      <c r="AH36" s="641" t="s">
        <v>208</v>
      </c>
    </row>
    <row r="37" spans="1:34">
      <c r="A37" s="401"/>
      <c r="B37" s="562">
        <v>46.669999999999995</v>
      </c>
      <c r="C37" s="563">
        <v>51.33</v>
      </c>
      <c r="D37" s="564">
        <v>70</v>
      </c>
      <c r="F37" s="546" t="s">
        <v>285</v>
      </c>
      <c r="G37" s="547"/>
      <c r="I37" s="7">
        <f t="shared" si="0"/>
        <v>0</v>
      </c>
      <c r="J37" s="426" t="s">
        <v>249</v>
      </c>
      <c r="K37" s="426" t="s">
        <v>250</v>
      </c>
      <c r="L37" s="426" t="s">
        <v>286</v>
      </c>
      <c r="M37" s="458">
        <v>160</v>
      </c>
      <c r="N37" s="477" t="s">
        <v>287</v>
      </c>
      <c r="O37" s="461" t="s">
        <v>242</v>
      </c>
      <c r="P37" s="429"/>
      <c r="Q37" s="427"/>
      <c r="R37" s="467"/>
      <c r="S37" s="461">
        <v>12</v>
      </c>
      <c r="T37" s="429">
        <v>1</v>
      </c>
      <c r="U37" s="427">
        <v>6</v>
      </c>
      <c r="V37" s="467">
        <v>6</v>
      </c>
      <c r="W37" s="458">
        <v>15</v>
      </c>
      <c r="X37" s="427">
        <v>70</v>
      </c>
      <c r="Y37" s="356">
        <v>15</v>
      </c>
      <c r="Z37" s="444">
        <f t="shared" si="1"/>
        <v>100</v>
      </c>
      <c r="AA37" s="444">
        <v>30</v>
      </c>
      <c r="AB37" s="442">
        <v>30</v>
      </c>
      <c r="AC37" s="396">
        <v>40</v>
      </c>
      <c r="AG37" s="642">
        <v>70</v>
      </c>
      <c r="AH37" s="641" t="s">
        <v>208</v>
      </c>
    </row>
    <row r="38" spans="1:34">
      <c r="A38" s="401"/>
      <c r="B38" s="562">
        <v>42.01</v>
      </c>
      <c r="C38" s="563">
        <v>46.66</v>
      </c>
      <c r="D38" s="564">
        <v>69</v>
      </c>
      <c r="F38" s="47">
        <v>11</v>
      </c>
      <c r="G38" s="183" t="s">
        <v>288</v>
      </c>
      <c r="I38" s="398">
        <f t="shared" si="0"/>
        <v>1</v>
      </c>
      <c r="J38" s="422" t="s">
        <v>249</v>
      </c>
      <c r="K38" s="422" t="s">
        <v>289</v>
      </c>
      <c r="L38" s="422" t="s">
        <v>290</v>
      </c>
      <c r="M38" s="459">
        <v>80</v>
      </c>
      <c r="N38" s="476" t="s">
        <v>252</v>
      </c>
      <c r="O38" s="454">
        <v>11</v>
      </c>
      <c r="P38" s="425">
        <v>1</v>
      </c>
      <c r="Q38" s="423">
        <v>3</v>
      </c>
      <c r="R38" s="466">
        <v>3</v>
      </c>
      <c r="S38" s="454">
        <v>12</v>
      </c>
      <c r="T38" s="425">
        <v>1</v>
      </c>
      <c r="U38" s="423">
        <v>3</v>
      </c>
      <c r="V38" s="466">
        <v>3</v>
      </c>
      <c r="W38" s="459">
        <v>20</v>
      </c>
      <c r="X38" s="423">
        <v>50</v>
      </c>
      <c r="Y38" s="355">
        <v>30</v>
      </c>
      <c r="Z38" s="443">
        <f t="shared" si="1"/>
        <v>100</v>
      </c>
      <c r="AA38" s="443">
        <v>30</v>
      </c>
      <c r="AB38" s="442">
        <v>30</v>
      </c>
      <c r="AC38" s="396">
        <v>40</v>
      </c>
      <c r="AG38" s="642">
        <v>69</v>
      </c>
      <c r="AH38" s="641" t="s">
        <v>208</v>
      </c>
    </row>
    <row r="39" spans="1:34">
      <c r="A39" s="401"/>
      <c r="B39" s="562">
        <v>37.339999999999996</v>
      </c>
      <c r="C39" s="563">
        <v>42</v>
      </c>
      <c r="D39" s="564">
        <v>68</v>
      </c>
      <c r="F39" s="47">
        <v>12</v>
      </c>
      <c r="G39" s="183" t="s">
        <v>291</v>
      </c>
      <c r="I39" s="4">
        <f t="shared" ref="I39:I70" si="2">IF(COUNTIF($N39,"*"&amp;$F$7&amp;"*")&gt;0,1,0)</f>
        <v>1</v>
      </c>
      <c r="J39" s="421" t="s">
        <v>249</v>
      </c>
      <c r="K39" s="421" t="s">
        <v>289</v>
      </c>
      <c r="L39" s="421" t="s">
        <v>292</v>
      </c>
      <c r="M39" s="453">
        <v>80</v>
      </c>
      <c r="N39" s="475" t="s">
        <v>252</v>
      </c>
      <c r="O39" s="455">
        <v>11</v>
      </c>
      <c r="P39" s="448">
        <v>1</v>
      </c>
      <c r="Q39" s="446">
        <v>3</v>
      </c>
      <c r="R39" s="465">
        <v>3</v>
      </c>
      <c r="S39" s="455">
        <v>12</v>
      </c>
      <c r="T39" s="448">
        <v>1</v>
      </c>
      <c r="U39" s="446">
        <v>3</v>
      </c>
      <c r="V39" s="465">
        <v>3</v>
      </c>
      <c r="W39" s="453">
        <v>20</v>
      </c>
      <c r="X39" s="446">
        <v>50</v>
      </c>
      <c r="Y39" s="351">
        <v>30</v>
      </c>
      <c r="Z39" s="442">
        <f t="shared" ref="Z39:Z70" si="3">SUM(W39:Y39)</f>
        <v>100</v>
      </c>
      <c r="AA39" s="442">
        <v>30</v>
      </c>
      <c r="AB39" s="442">
        <v>30</v>
      </c>
      <c r="AC39" s="396">
        <v>40</v>
      </c>
      <c r="AG39" s="642">
        <v>68</v>
      </c>
      <c r="AH39" s="641" t="s">
        <v>208</v>
      </c>
    </row>
    <row r="40" spans="1:34">
      <c r="A40" s="401"/>
      <c r="B40" s="562">
        <v>32.68</v>
      </c>
      <c r="C40" s="563">
        <v>37.33</v>
      </c>
      <c r="D40" s="564">
        <v>67</v>
      </c>
      <c r="F40" s="47">
        <v>13</v>
      </c>
      <c r="G40" s="183" t="s">
        <v>293</v>
      </c>
      <c r="I40" s="4">
        <f t="shared" si="2"/>
        <v>1</v>
      </c>
      <c r="J40" s="421" t="s">
        <v>249</v>
      </c>
      <c r="K40" s="421" t="s">
        <v>289</v>
      </c>
      <c r="L40" s="421" t="s">
        <v>294</v>
      </c>
      <c r="M40" s="453">
        <v>80</v>
      </c>
      <c r="N40" s="475" t="s">
        <v>252</v>
      </c>
      <c r="O40" s="455">
        <v>11</v>
      </c>
      <c r="P40" s="448">
        <v>1</v>
      </c>
      <c r="Q40" s="446">
        <v>3</v>
      </c>
      <c r="R40" s="465">
        <v>3</v>
      </c>
      <c r="S40" s="455">
        <v>12</v>
      </c>
      <c r="T40" s="448">
        <v>1</v>
      </c>
      <c r="U40" s="446">
        <v>3</v>
      </c>
      <c r="V40" s="465">
        <v>3</v>
      </c>
      <c r="W40" s="453">
        <v>20</v>
      </c>
      <c r="X40" s="446">
        <v>50</v>
      </c>
      <c r="Y40" s="351">
        <v>30</v>
      </c>
      <c r="Z40" s="442">
        <f t="shared" si="3"/>
        <v>100</v>
      </c>
      <c r="AA40" s="442">
        <v>30</v>
      </c>
      <c r="AB40" s="442">
        <v>30</v>
      </c>
      <c r="AC40" s="396">
        <v>40</v>
      </c>
      <c r="AG40" s="642">
        <v>67</v>
      </c>
      <c r="AH40" s="641" t="s">
        <v>208</v>
      </c>
    </row>
    <row r="41" spans="1:34">
      <c r="A41" s="401"/>
      <c r="B41" s="562">
        <v>28.009999999999998</v>
      </c>
      <c r="C41" s="563">
        <v>32.67</v>
      </c>
      <c r="D41" s="564">
        <v>66</v>
      </c>
      <c r="F41" s="47">
        <v>21</v>
      </c>
      <c r="G41" s="183" t="s">
        <v>295</v>
      </c>
      <c r="I41" s="4">
        <f t="shared" si="2"/>
        <v>1</v>
      </c>
      <c r="J41" s="421" t="s">
        <v>249</v>
      </c>
      <c r="K41" s="421" t="s">
        <v>289</v>
      </c>
      <c r="L41" s="421" t="s">
        <v>296</v>
      </c>
      <c r="M41" s="453">
        <v>80</v>
      </c>
      <c r="N41" s="475" t="s">
        <v>252</v>
      </c>
      <c r="O41" s="455">
        <v>11</v>
      </c>
      <c r="P41" s="448">
        <v>1</v>
      </c>
      <c r="Q41" s="446">
        <v>3</v>
      </c>
      <c r="R41" s="465">
        <v>3</v>
      </c>
      <c r="S41" s="455">
        <v>12</v>
      </c>
      <c r="T41" s="448">
        <v>1</v>
      </c>
      <c r="U41" s="446">
        <v>3</v>
      </c>
      <c r="V41" s="465">
        <v>3</v>
      </c>
      <c r="W41" s="453">
        <v>20</v>
      </c>
      <c r="X41" s="446">
        <v>50</v>
      </c>
      <c r="Y41" s="351">
        <v>30</v>
      </c>
      <c r="Z41" s="442">
        <f t="shared" si="3"/>
        <v>100</v>
      </c>
      <c r="AA41" s="442">
        <v>30</v>
      </c>
      <c r="AB41" s="442">
        <v>30</v>
      </c>
      <c r="AC41" s="396">
        <v>40</v>
      </c>
      <c r="AG41" s="642">
        <v>66</v>
      </c>
      <c r="AH41" s="641" t="s">
        <v>208</v>
      </c>
    </row>
    <row r="42" spans="1:34">
      <c r="A42" s="401"/>
      <c r="B42" s="562">
        <v>23.35</v>
      </c>
      <c r="C42" s="563">
        <v>27.999999999999996</v>
      </c>
      <c r="D42" s="564">
        <v>65</v>
      </c>
      <c r="F42" s="47">
        <v>22</v>
      </c>
      <c r="G42" s="183" t="s">
        <v>297</v>
      </c>
      <c r="I42" s="4">
        <f t="shared" si="2"/>
        <v>1</v>
      </c>
      <c r="J42" s="421" t="s">
        <v>249</v>
      </c>
      <c r="K42" s="421" t="s">
        <v>289</v>
      </c>
      <c r="L42" s="421" t="s">
        <v>298</v>
      </c>
      <c r="M42" s="453">
        <v>80</v>
      </c>
      <c r="N42" s="475" t="s">
        <v>252</v>
      </c>
      <c r="O42" s="455">
        <v>11</v>
      </c>
      <c r="P42" s="448">
        <v>1</v>
      </c>
      <c r="Q42" s="446">
        <v>3</v>
      </c>
      <c r="R42" s="465">
        <v>3</v>
      </c>
      <c r="S42" s="455">
        <v>12</v>
      </c>
      <c r="T42" s="448">
        <v>1</v>
      </c>
      <c r="U42" s="446">
        <v>3</v>
      </c>
      <c r="V42" s="465">
        <v>3</v>
      </c>
      <c r="W42" s="453">
        <v>20</v>
      </c>
      <c r="X42" s="446">
        <v>50</v>
      </c>
      <c r="Y42" s="351">
        <v>30</v>
      </c>
      <c r="Z42" s="442">
        <f t="shared" si="3"/>
        <v>100</v>
      </c>
      <c r="AA42" s="442">
        <v>30</v>
      </c>
      <c r="AB42" s="442">
        <v>30</v>
      </c>
      <c r="AC42" s="396">
        <v>40</v>
      </c>
      <c r="AG42" s="642">
        <v>65</v>
      </c>
      <c r="AH42" s="641" t="s">
        <v>208</v>
      </c>
    </row>
    <row r="43" spans="1:34">
      <c r="A43" s="401"/>
      <c r="B43" s="562">
        <v>18.68</v>
      </c>
      <c r="C43" s="563">
        <v>23.34</v>
      </c>
      <c r="D43" s="564">
        <v>64</v>
      </c>
      <c r="F43" s="371">
        <v>33</v>
      </c>
      <c r="G43" s="156" t="s">
        <v>299</v>
      </c>
      <c r="I43" s="7">
        <f t="shared" si="2"/>
        <v>0</v>
      </c>
      <c r="J43" s="426" t="s">
        <v>249</v>
      </c>
      <c r="K43" s="426" t="s">
        <v>289</v>
      </c>
      <c r="L43" s="426" t="s">
        <v>300</v>
      </c>
      <c r="M43" s="458">
        <v>80</v>
      </c>
      <c r="N43" s="477" t="s">
        <v>287</v>
      </c>
      <c r="O43" s="461" t="s">
        <v>242</v>
      </c>
      <c r="P43" s="429"/>
      <c r="Q43" s="427"/>
      <c r="R43" s="467"/>
      <c r="S43" s="461">
        <v>12</v>
      </c>
      <c r="T43" s="429">
        <v>1</v>
      </c>
      <c r="U43" s="427">
        <v>3</v>
      </c>
      <c r="V43" s="467">
        <v>3</v>
      </c>
      <c r="W43" s="458">
        <v>20</v>
      </c>
      <c r="X43" s="427">
        <v>50</v>
      </c>
      <c r="Y43" s="356">
        <v>30</v>
      </c>
      <c r="Z43" s="444">
        <f t="shared" si="3"/>
        <v>100</v>
      </c>
      <c r="AA43" s="444">
        <v>30</v>
      </c>
      <c r="AB43" s="442">
        <v>30</v>
      </c>
      <c r="AC43" s="396">
        <v>40</v>
      </c>
      <c r="AG43" s="642">
        <v>64</v>
      </c>
      <c r="AH43" s="641" t="s">
        <v>211</v>
      </c>
    </row>
    <row r="44" spans="1:34" ht="15.5" customHeight="1">
      <c r="A44" s="401"/>
      <c r="B44" s="562">
        <v>14.01</v>
      </c>
      <c r="C44" s="563">
        <v>18.669999999999998</v>
      </c>
      <c r="D44" s="564">
        <v>63</v>
      </c>
      <c r="F44" s="548" t="s">
        <v>301</v>
      </c>
      <c r="I44" s="398">
        <f t="shared" si="2"/>
        <v>1</v>
      </c>
      <c r="J44" s="422" t="s">
        <v>249</v>
      </c>
      <c r="K44" s="422" t="s">
        <v>302</v>
      </c>
      <c r="L44" s="422" t="s">
        <v>303</v>
      </c>
      <c r="M44" s="459">
        <v>80</v>
      </c>
      <c r="N44" s="476" t="s">
        <v>252</v>
      </c>
      <c r="O44" s="454">
        <v>11</v>
      </c>
      <c r="P44" s="425">
        <v>1</v>
      </c>
      <c r="Q44" s="423">
        <v>3</v>
      </c>
      <c r="R44" s="466">
        <v>3</v>
      </c>
      <c r="S44" s="454">
        <v>12</v>
      </c>
      <c r="T44" s="425">
        <v>1</v>
      </c>
      <c r="U44" s="423">
        <v>3</v>
      </c>
      <c r="V44" s="466">
        <v>3</v>
      </c>
      <c r="W44" s="459">
        <v>40</v>
      </c>
      <c r="X44" s="423">
        <v>60</v>
      </c>
      <c r="Y44" s="355"/>
      <c r="Z44" s="443">
        <f t="shared" si="3"/>
        <v>100</v>
      </c>
      <c r="AA44" s="443"/>
      <c r="AB44" s="442"/>
      <c r="AC44" s="396"/>
      <c r="AG44" s="642">
        <v>63</v>
      </c>
      <c r="AH44" s="641" t="s">
        <v>211</v>
      </c>
    </row>
    <row r="45" spans="1:34">
      <c r="A45" s="401"/>
      <c r="B45" s="562">
        <v>9.35</v>
      </c>
      <c r="C45" s="563">
        <v>14</v>
      </c>
      <c r="D45" s="564">
        <v>62</v>
      </c>
      <c r="I45" s="4">
        <f t="shared" si="2"/>
        <v>1</v>
      </c>
      <c r="J45" s="421" t="s">
        <v>249</v>
      </c>
      <c r="K45" s="421" t="s">
        <v>302</v>
      </c>
      <c r="L45" s="421" t="s">
        <v>304</v>
      </c>
      <c r="M45" s="453">
        <v>80</v>
      </c>
      <c r="N45" s="475" t="s">
        <v>252</v>
      </c>
      <c r="O45" s="455">
        <v>11</v>
      </c>
      <c r="P45" s="448">
        <v>1</v>
      </c>
      <c r="Q45" s="446">
        <v>3</v>
      </c>
      <c r="R45" s="465">
        <v>3</v>
      </c>
      <c r="S45" s="455">
        <v>12</v>
      </c>
      <c r="T45" s="448">
        <v>1</v>
      </c>
      <c r="U45" s="446">
        <v>3</v>
      </c>
      <c r="V45" s="465">
        <v>3</v>
      </c>
      <c r="W45" s="453">
        <v>40</v>
      </c>
      <c r="X45" s="446">
        <v>60</v>
      </c>
      <c r="Z45" s="442">
        <f t="shared" si="3"/>
        <v>100</v>
      </c>
      <c r="AA45" s="442"/>
      <c r="AB45" s="442"/>
      <c r="AC45" s="396"/>
      <c r="AG45" s="642">
        <v>62</v>
      </c>
      <c r="AH45" s="641" t="s">
        <v>211</v>
      </c>
    </row>
    <row r="46" spans="1:34">
      <c r="A46" s="401"/>
      <c r="B46" s="562">
        <v>4.68</v>
      </c>
      <c r="C46" s="563">
        <v>9.34</v>
      </c>
      <c r="D46" s="564">
        <v>61</v>
      </c>
      <c r="I46" s="4">
        <f t="shared" si="2"/>
        <v>1</v>
      </c>
      <c r="J46" s="421" t="s">
        <v>249</v>
      </c>
      <c r="K46" s="421" t="s">
        <v>302</v>
      </c>
      <c r="L46" s="421" t="s">
        <v>305</v>
      </c>
      <c r="M46" s="453">
        <v>80</v>
      </c>
      <c r="N46" s="475" t="s">
        <v>252</v>
      </c>
      <c r="O46" s="455">
        <v>11</v>
      </c>
      <c r="P46" s="448">
        <v>1</v>
      </c>
      <c r="Q46" s="446">
        <v>3</v>
      </c>
      <c r="R46" s="465">
        <v>3</v>
      </c>
      <c r="S46" s="455">
        <v>12</v>
      </c>
      <c r="T46" s="448">
        <v>1</v>
      </c>
      <c r="U46" s="446">
        <v>3</v>
      </c>
      <c r="V46" s="465">
        <v>3</v>
      </c>
      <c r="W46" s="453">
        <v>40</v>
      </c>
      <c r="X46" s="446">
        <v>60</v>
      </c>
      <c r="Z46" s="442">
        <f t="shared" si="3"/>
        <v>100</v>
      </c>
      <c r="AA46" s="442"/>
      <c r="AB46" s="442"/>
      <c r="AC46" s="396"/>
      <c r="AG46" s="642">
        <v>61</v>
      </c>
      <c r="AH46" s="641" t="s">
        <v>211</v>
      </c>
    </row>
    <row r="47" spans="1:34">
      <c r="A47" s="401"/>
      <c r="B47" s="565">
        <v>0</v>
      </c>
      <c r="C47" s="566">
        <v>4.67</v>
      </c>
      <c r="D47" s="567">
        <v>60</v>
      </c>
      <c r="I47" s="4">
        <f t="shared" si="2"/>
        <v>0</v>
      </c>
      <c r="J47" s="421" t="s">
        <v>249</v>
      </c>
      <c r="K47" s="421" t="s">
        <v>302</v>
      </c>
      <c r="L47" s="421" t="s">
        <v>306</v>
      </c>
      <c r="M47" s="453">
        <v>160</v>
      </c>
      <c r="N47" s="475" t="s">
        <v>287</v>
      </c>
      <c r="O47" s="455" t="s">
        <v>242</v>
      </c>
      <c r="P47" s="448"/>
      <c r="Q47" s="446"/>
      <c r="R47" s="465"/>
      <c r="S47" s="455">
        <v>12</v>
      </c>
      <c r="T47" s="448">
        <v>1</v>
      </c>
      <c r="U47" s="446">
        <v>6</v>
      </c>
      <c r="V47" s="465">
        <v>6</v>
      </c>
      <c r="W47" s="453">
        <v>15</v>
      </c>
      <c r="X47" s="446">
        <v>70</v>
      </c>
      <c r="Y47" s="351">
        <v>15</v>
      </c>
      <c r="Z47" s="442">
        <f t="shared" si="3"/>
        <v>100</v>
      </c>
      <c r="AA47" s="442">
        <v>30</v>
      </c>
      <c r="AB47" s="442">
        <v>30</v>
      </c>
      <c r="AC47" s="396">
        <v>40</v>
      </c>
      <c r="AG47" s="643">
        <v>60</v>
      </c>
      <c r="AH47" s="644" t="s">
        <v>211</v>
      </c>
    </row>
    <row r="48" spans="1:34">
      <c r="A48" s="401"/>
      <c r="B48" s="390"/>
      <c r="C48" s="390"/>
      <c r="D48" s="18"/>
      <c r="I48" s="4">
        <f t="shared" si="2"/>
        <v>0</v>
      </c>
      <c r="J48" s="421" t="s">
        <v>249</v>
      </c>
      <c r="K48" s="421" t="s">
        <v>302</v>
      </c>
      <c r="L48" s="421" t="s">
        <v>307</v>
      </c>
      <c r="M48" s="453">
        <v>160</v>
      </c>
      <c r="N48" s="475" t="s">
        <v>287</v>
      </c>
      <c r="O48" s="455" t="s">
        <v>242</v>
      </c>
      <c r="P48" s="448"/>
      <c r="Q48" s="446"/>
      <c r="R48" s="465"/>
      <c r="S48" s="455">
        <v>12</v>
      </c>
      <c r="T48" s="448">
        <v>1</v>
      </c>
      <c r="U48" s="446">
        <v>6</v>
      </c>
      <c r="V48" s="465">
        <v>6</v>
      </c>
      <c r="W48" s="453">
        <v>15</v>
      </c>
      <c r="X48" s="446">
        <v>70</v>
      </c>
      <c r="Y48" s="351">
        <v>15</v>
      </c>
      <c r="Z48" s="442">
        <f t="shared" si="3"/>
        <v>100</v>
      </c>
      <c r="AA48" s="442">
        <v>30</v>
      </c>
      <c r="AB48" s="442">
        <v>30</v>
      </c>
      <c r="AC48" s="396">
        <v>40</v>
      </c>
    </row>
    <row r="49" spans="1:29">
      <c r="A49" s="401"/>
      <c r="B49" s="390"/>
      <c r="I49" s="4">
        <f t="shared" si="2"/>
        <v>0</v>
      </c>
      <c r="J49" s="421" t="s">
        <v>249</v>
      </c>
      <c r="K49" s="421" t="s">
        <v>302</v>
      </c>
      <c r="L49" s="421" t="s">
        <v>308</v>
      </c>
      <c r="M49" s="453">
        <v>160</v>
      </c>
      <c r="N49" s="475" t="s">
        <v>287</v>
      </c>
      <c r="O49" s="455" t="s">
        <v>242</v>
      </c>
      <c r="P49" s="448"/>
      <c r="Q49" s="446"/>
      <c r="R49" s="465"/>
      <c r="S49" s="455">
        <v>12</v>
      </c>
      <c r="T49" s="448">
        <v>1</v>
      </c>
      <c r="U49" s="446">
        <v>6</v>
      </c>
      <c r="V49" s="465">
        <v>6</v>
      </c>
      <c r="W49" s="453">
        <v>15</v>
      </c>
      <c r="X49" s="446">
        <v>70</v>
      </c>
      <c r="Y49" s="351">
        <v>15</v>
      </c>
      <c r="Z49" s="442">
        <f t="shared" si="3"/>
        <v>100</v>
      </c>
      <c r="AA49" s="442">
        <v>30</v>
      </c>
      <c r="AB49" s="442">
        <v>30</v>
      </c>
      <c r="AC49" s="396">
        <v>40</v>
      </c>
    </row>
    <row r="50" spans="1:29">
      <c r="A50" s="401"/>
      <c r="B50" s="390"/>
      <c r="I50" s="4">
        <f t="shared" si="2"/>
        <v>0</v>
      </c>
      <c r="J50" s="421" t="s">
        <v>249</v>
      </c>
      <c r="K50" s="421" t="s">
        <v>302</v>
      </c>
      <c r="L50" s="421" t="s">
        <v>309</v>
      </c>
      <c r="M50" s="453">
        <v>160</v>
      </c>
      <c r="N50" s="475" t="s">
        <v>287</v>
      </c>
      <c r="O50" s="455" t="s">
        <v>242</v>
      </c>
      <c r="P50" s="448"/>
      <c r="Q50" s="446"/>
      <c r="R50" s="465"/>
      <c r="S50" s="455">
        <v>12</v>
      </c>
      <c r="T50" s="448">
        <v>1</v>
      </c>
      <c r="U50" s="446">
        <v>6</v>
      </c>
      <c r="V50" s="465">
        <v>6</v>
      </c>
      <c r="W50" s="453">
        <v>15</v>
      </c>
      <c r="X50" s="446">
        <v>70</v>
      </c>
      <c r="Y50" s="351">
        <v>15</v>
      </c>
      <c r="Z50" s="442">
        <f t="shared" si="3"/>
        <v>100</v>
      </c>
      <c r="AA50" s="442"/>
      <c r="AB50" s="442"/>
      <c r="AC50" s="396">
        <v>100</v>
      </c>
    </row>
    <row r="51" spans="1:29">
      <c r="A51" s="401"/>
      <c r="B51" s="390"/>
      <c r="I51" s="4">
        <f t="shared" si="2"/>
        <v>0</v>
      </c>
      <c r="J51" s="421" t="s">
        <v>249</v>
      </c>
      <c r="K51" s="421" t="s">
        <v>302</v>
      </c>
      <c r="L51" s="421" t="s">
        <v>310</v>
      </c>
      <c r="M51" s="453">
        <v>160</v>
      </c>
      <c r="N51" s="475" t="s">
        <v>287</v>
      </c>
      <c r="O51" s="455" t="s">
        <v>242</v>
      </c>
      <c r="P51" s="448"/>
      <c r="Q51" s="446"/>
      <c r="R51" s="465"/>
      <c r="S51" s="455">
        <v>12</v>
      </c>
      <c r="T51" s="448">
        <v>1</v>
      </c>
      <c r="U51" s="446">
        <v>6</v>
      </c>
      <c r="V51" s="465">
        <v>6</v>
      </c>
      <c r="W51" s="453">
        <v>15</v>
      </c>
      <c r="X51" s="446">
        <v>70</v>
      </c>
      <c r="Y51" s="351">
        <v>15</v>
      </c>
      <c r="Z51" s="442">
        <f t="shared" si="3"/>
        <v>100</v>
      </c>
      <c r="AA51" s="442"/>
      <c r="AB51" s="442"/>
      <c r="AC51" s="396">
        <v>100</v>
      </c>
    </row>
    <row r="52" spans="1:29">
      <c r="B52" s="390"/>
      <c r="I52" s="4">
        <f t="shared" si="2"/>
        <v>0</v>
      </c>
      <c r="J52" s="421" t="s">
        <v>249</v>
      </c>
      <c r="K52" s="421" t="s">
        <v>302</v>
      </c>
      <c r="L52" s="421" t="s">
        <v>311</v>
      </c>
      <c r="M52" s="453">
        <v>160</v>
      </c>
      <c r="N52" s="475" t="s">
        <v>287</v>
      </c>
      <c r="O52" s="455" t="s">
        <v>242</v>
      </c>
      <c r="P52" s="448"/>
      <c r="Q52" s="446"/>
      <c r="R52" s="465"/>
      <c r="S52" s="455">
        <v>12</v>
      </c>
      <c r="T52" s="448">
        <v>1</v>
      </c>
      <c r="U52" s="446">
        <v>6</v>
      </c>
      <c r="V52" s="465">
        <v>6</v>
      </c>
      <c r="W52" s="453">
        <v>15</v>
      </c>
      <c r="X52" s="446">
        <v>70</v>
      </c>
      <c r="Y52" s="351">
        <v>15</v>
      </c>
      <c r="Z52" s="442">
        <f t="shared" si="3"/>
        <v>100</v>
      </c>
      <c r="AA52" s="442"/>
      <c r="AB52" s="442"/>
      <c r="AC52" s="396">
        <v>100</v>
      </c>
    </row>
    <row r="53" spans="1:29">
      <c r="B53" s="390"/>
      <c r="I53" s="4">
        <f t="shared" si="2"/>
        <v>0</v>
      </c>
      <c r="J53" s="421" t="s">
        <v>249</v>
      </c>
      <c r="K53" s="421" t="s">
        <v>302</v>
      </c>
      <c r="L53" s="421" t="s">
        <v>312</v>
      </c>
      <c r="M53" s="453">
        <v>160</v>
      </c>
      <c r="N53" s="475" t="s">
        <v>287</v>
      </c>
      <c r="O53" s="455" t="s">
        <v>242</v>
      </c>
      <c r="P53" s="448"/>
      <c r="Q53" s="446"/>
      <c r="R53" s="465"/>
      <c r="S53" s="455">
        <v>12</v>
      </c>
      <c r="T53" s="448">
        <v>1</v>
      </c>
      <c r="U53" s="446">
        <v>6</v>
      </c>
      <c r="V53" s="465">
        <v>6</v>
      </c>
      <c r="W53" s="453">
        <v>15</v>
      </c>
      <c r="X53" s="446">
        <v>70</v>
      </c>
      <c r="Y53" s="351">
        <v>15</v>
      </c>
      <c r="Z53" s="442">
        <f t="shared" si="3"/>
        <v>100</v>
      </c>
      <c r="AA53" s="442"/>
      <c r="AB53" s="442"/>
      <c r="AC53" s="396">
        <v>100</v>
      </c>
    </row>
    <row r="54" spans="1:29">
      <c r="I54" s="4">
        <f t="shared" si="2"/>
        <v>0</v>
      </c>
      <c r="J54" s="421" t="s">
        <v>249</v>
      </c>
      <c r="K54" s="421" t="s">
        <v>302</v>
      </c>
      <c r="L54" s="421" t="s">
        <v>313</v>
      </c>
      <c r="M54" s="453">
        <v>80</v>
      </c>
      <c r="N54" s="475" t="s">
        <v>287</v>
      </c>
      <c r="O54" s="455" t="s">
        <v>242</v>
      </c>
      <c r="P54" s="448"/>
      <c r="Q54" s="446"/>
      <c r="R54" s="465"/>
      <c r="S54" s="455">
        <v>12</v>
      </c>
      <c r="T54" s="448">
        <v>1</v>
      </c>
      <c r="U54" s="446">
        <v>3</v>
      </c>
      <c r="V54" s="465">
        <v>3</v>
      </c>
      <c r="W54" s="453">
        <v>15</v>
      </c>
      <c r="X54" s="446">
        <v>70</v>
      </c>
      <c r="Y54" s="351">
        <v>15</v>
      </c>
      <c r="Z54" s="442">
        <f t="shared" si="3"/>
        <v>100</v>
      </c>
      <c r="AA54" s="442"/>
      <c r="AB54" s="442"/>
      <c r="AC54" s="396">
        <v>100</v>
      </c>
    </row>
    <row r="55" spans="1:29">
      <c r="I55" s="4">
        <f t="shared" si="2"/>
        <v>0</v>
      </c>
      <c r="J55" s="421" t="s">
        <v>249</v>
      </c>
      <c r="K55" s="421" t="s">
        <v>302</v>
      </c>
      <c r="L55" s="421" t="s">
        <v>314</v>
      </c>
      <c r="M55" s="453">
        <v>160</v>
      </c>
      <c r="N55" s="475" t="s">
        <v>287</v>
      </c>
      <c r="O55" s="455" t="s">
        <v>242</v>
      </c>
      <c r="P55" s="448"/>
      <c r="Q55" s="446"/>
      <c r="R55" s="465"/>
      <c r="S55" s="455">
        <v>12</v>
      </c>
      <c r="T55" s="448">
        <v>1</v>
      </c>
      <c r="U55" s="446">
        <v>3</v>
      </c>
      <c r="V55" s="465">
        <v>3</v>
      </c>
      <c r="W55" s="453">
        <v>15</v>
      </c>
      <c r="X55" s="446">
        <v>70</v>
      </c>
      <c r="Y55" s="351">
        <v>15</v>
      </c>
      <c r="Z55" s="442">
        <f t="shared" si="3"/>
        <v>100</v>
      </c>
      <c r="AA55" s="442"/>
      <c r="AB55" s="442"/>
      <c r="AC55" s="396">
        <v>100</v>
      </c>
    </row>
    <row r="56" spans="1:29">
      <c r="I56" s="436">
        <f t="shared" si="2"/>
        <v>0</v>
      </c>
      <c r="J56" s="399" t="s">
        <v>249</v>
      </c>
      <c r="K56" s="399" t="s">
        <v>302</v>
      </c>
      <c r="L56" s="399" t="s">
        <v>315</v>
      </c>
      <c r="M56" s="472">
        <v>320</v>
      </c>
      <c r="N56" s="478" t="s">
        <v>287</v>
      </c>
      <c r="O56" s="460" t="s">
        <v>242</v>
      </c>
      <c r="P56" s="360"/>
      <c r="Q56" s="360"/>
      <c r="R56" s="468"/>
      <c r="S56" s="460">
        <v>12</v>
      </c>
      <c r="T56" s="360">
        <v>1</v>
      </c>
      <c r="U56" s="360">
        <v>12</v>
      </c>
      <c r="V56" s="468">
        <v>12</v>
      </c>
      <c r="W56" s="460">
        <v>20</v>
      </c>
      <c r="X56" s="400">
        <v>80</v>
      </c>
      <c r="Y56" s="400"/>
      <c r="Z56" s="481">
        <f t="shared" si="3"/>
        <v>100</v>
      </c>
      <c r="AA56" s="444"/>
      <c r="AB56" s="442"/>
      <c r="AC56" s="396">
        <v>100</v>
      </c>
    </row>
    <row r="57" spans="1:29">
      <c r="I57" s="398">
        <f t="shared" si="2"/>
        <v>1</v>
      </c>
      <c r="J57" s="422" t="s">
        <v>249</v>
      </c>
      <c r="K57" s="422" t="s">
        <v>316</v>
      </c>
      <c r="L57" s="422" t="s">
        <v>317</v>
      </c>
      <c r="M57" s="459">
        <v>80</v>
      </c>
      <c r="N57" s="476" t="s">
        <v>252</v>
      </c>
      <c r="O57" s="454">
        <v>11</v>
      </c>
      <c r="P57" s="425">
        <v>1</v>
      </c>
      <c r="Q57" s="423">
        <v>3</v>
      </c>
      <c r="R57" s="466">
        <v>3</v>
      </c>
      <c r="S57" s="454">
        <v>12</v>
      </c>
      <c r="T57" s="425">
        <v>1</v>
      </c>
      <c r="U57" s="423">
        <v>3</v>
      </c>
      <c r="V57" s="466">
        <v>3</v>
      </c>
      <c r="W57" s="459">
        <v>20</v>
      </c>
      <c r="X57" s="423">
        <v>50</v>
      </c>
      <c r="Y57" s="355">
        <v>30</v>
      </c>
      <c r="Z57" s="443">
        <f t="shared" si="3"/>
        <v>100</v>
      </c>
      <c r="AA57" s="443"/>
      <c r="AB57" s="442"/>
      <c r="AC57" s="396">
        <v>100</v>
      </c>
    </row>
    <row r="58" spans="1:29">
      <c r="I58" s="4">
        <f t="shared" si="2"/>
        <v>1</v>
      </c>
      <c r="J58" s="421" t="s">
        <v>249</v>
      </c>
      <c r="K58" s="421" t="s">
        <v>316</v>
      </c>
      <c r="L58" s="421" t="s">
        <v>318</v>
      </c>
      <c r="M58" s="453">
        <v>80</v>
      </c>
      <c r="N58" s="475" t="s">
        <v>252</v>
      </c>
      <c r="O58" s="455">
        <v>11</v>
      </c>
      <c r="P58" s="448">
        <v>1</v>
      </c>
      <c r="Q58" s="446">
        <v>3</v>
      </c>
      <c r="R58" s="465">
        <v>3</v>
      </c>
      <c r="S58" s="455">
        <v>12</v>
      </c>
      <c r="T58" s="448">
        <v>1</v>
      </c>
      <c r="U58" s="446">
        <v>3</v>
      </c>
      <c r="V58" s="465">
        <v>3</v>
      </c>
      <c r="W58" s="453">
        <v>20</v>
      </c>
      <c r="X58" s="446">
        <v>50</v>
      </c>
      <c r="Y58" s="351">
        <v>30</v>
      </c>
      <c r="Z58" s="442">
        <f t="shared" si="3"/>
        <v>100</v>
      </c>
      <c r="AA58" s="442"/>
      <c r="AB58" s="442"/>
      <c r="AC58" s="396">
        <v>100</v>
      </c>
    </row>
    <row r="59" spans="1:29">
      <c r="I59" s="4">
        <f t="shared" si="2"/>
        <v>1</v>
      </c>
      <c r="J59" s="421" t="s">
        <v>249</v>
      </c>
      <c r="K59" s="421" t="s">
        <v>316</v>
      </c>
      <c r="L59" s="421" t="s">
        <v>319</v>
      </c>
      <c r="M59" s="453">
        <v>80</v>
      </c>
      <c r="N59" s="475" t="s">
        <v>252</v>
      </c>
      <c r="O59" s="455">
        <v>11</v>
      </c>
      <c r="P59" s="448">
        <v>1</v>
      </c>
      <c r="Q59" s="446">
        <v>3</v>
      </c>
      <c r="R59" s="465">
        <v>3</v>
      </c>
      <c r="S59" s="455">
        <v>12</v>
      </c>
      <c r="T59" s="448">
        <v>1</v>
      </c>
      <c r="U59" s="446">
        <v>3</v>
      </c>
      <c r="V59" s="465">
        <v>3</v>
      </c>
      <c r="W59" s="453">
        <v>20</v>
      </c>
      <c r="X59" s="446">
        <v>50</v>
      </c>
      <c r="Y59" s="351">
        <v>30</v>
      </c>
      <c r="Z59" s="442">
        <f t="shared" si="3"/>
        <v>100</v>
      </c>
      <c r="AA59" s="442">
        <v>30</v>
      </c>
      <c r="AB59" s="442">
        <v>30</v>
      </c>
      <c r="AC59" s="396">
        <v>40</v>
      </c>
    </row>
    <row r="60" spans="1:29">
      <c r="I60" s="4">
        <f t="shared" si="2"/>
        <v>1</v>
      </c>
      <c r="J60" s="421" t="s">
        <v>249</v>
      </c>
      <c r="K60" s="421" t="s">
        <v>316</v>
      </c>
      <c r="L60" s="421" t="s">
        <v>320</v>
      </c>
      <c r="M60" s="453">
        <v>80</v>
      </c>
      <c r="N60" s="475" t="s">
        <v>252</v>
      </c>
      <c r="O60" s="455">
        <v>11</v>
      </c>
      <c r="P60" s="448">
        <v>1</v>
      </c>
      <c r="Q60" s="446">
        <v>3</v>
      </c>
      <c r="R60" s="465">
        <v>3</v>
      </c>
      <c r="S60" s="455">
        <v>12</v>
      </c>
      <c r="T60" s="448">
        <v>1</v>
      </c>
      <c r="U60" s="446">
        <v>3</v>
      </c>
      <c r="V60" s="465">
        <v>3</v>
      </c>
      <c r="W60" s="453">
        <v>20</v>
      </c>
      <c r="X60" s="446">
        <v>50</v>
      </c>
      <c r="Y60" s="351">
        <v>30</v>
      </c>
      <c r="Z60" s="442">
        <f t="shared" si="3"/>
        <v>100</v>
      </c>
      <c r="AA60" s="442">
        <v>30</v>
      </c>
      <c r="AB60" s="442">
        <v>30</v>
      </c>
      <c r="AC60" s="396">
        <v>40</v>
      </c>
    </row>
    <row r="61" spans="1:29">
      <c r="I61" s="4">
        <f t="shared" si="2"/>
        <v>1</v>
      </c>
      <c r="J61" s="421" t="s">
        <v>249</v>
      </c>
      <c r="K61" s="421" t="s">
        <v>316</v>
      </c>
      <c r="L61" s="421" t="s">
        <v>321</v>
      </c>
      <c r="M61" s="453">
        <v>80</v>
      </c>
      <c r="N61" s="475" t="s">
        <v>252</v>
      </c>
      <c r="O61" s="455">
        <v>11</v>
      </c>
      <c r="P61" s="448">
        <v>1</v>
      </c>
      <c r="Q61" s="446">
        <v>3</v>
      </c>
      <c r="R61" s="465">
        <v>3</v>
      </c>
      <c r="S61" s="455">
        <v>12</v>
      </c>
      <c r="T61" s="448">
        <v>1</v>
      </c>
      <c r="U61" s="446">
        <v>3</v>
      </c>
      <c r="V61" s="465">
        <v>3</v>
      </c>
      <c r="W61" s="453">
        <v>20</v>
      </c>
      <c r="X61" s="446">
        <v>50</v>
      </c>
      <c r="Y61" s="351">
        <v>30</v>
      </c>
      <c r="Z61" s="442">
        <f t="shared" si="3"/>
        <v>100</v>
      </c>
      <c r="AA61" s="442">
        <v>30</v>
      </c>
      <c r="AB61" s="442">
        <v>30</v>
      </c>
      <c r="AC61" s="396">
        <v>40</v>
      </c>
    </row>
    <row r="62" spans="1:29">
      <c r="I62" s="4">
        <f t="shared" si="2"/>
        <v>1</v>
      </c>
      <c r="J62" s="421" t="s">
        <v>249</v>
      </c>
      <c r="K62" s="421" t="s">
        <v>316</v>
      </c>
      <c r="L62" s="421" t="s">
        <v>322</v>
      </c>
      <c r="M62" s="453">
        <v>80</v>
      </c>
      <c r="N62" s="475" t="s">
        <v>252</v>
      </c>
      <c r="O62" s="455">
        <v>11</v>
      </c>
      <c r="P62" s="448">
        <v>1</v>
      </c>
      <c r="Q62" s="446">
        <v>3</v>
      </c>
      <c r="R62" s="465">
        <v>3</v>
      </c>
      <c r="S62" s="455">
        <v>12</v>
      </c>
      <c r="T62" s="448">
        <v>1</v>
      </c>
      <c r="U62" s="446">
        <v>3</v>
      </c>
      <c r="V62" s="465">
        <v>3</v>
      </c>
      <c r="W62" s="453">
        <v>20</v>
      </c>
      <c r="X62" s="446">
        <v>50</v>
      </c>
      <c r="Y62" s="351">
        <v>30</v>
      </c>
      <c r="Z62" s="442">
        <f t="shared" si="3"/>
        <v>100</v>
      </c>
      <c r="AA62" s="442">
        <v>30</v>
      </c>
      <c r="AB62" s="442">
        <v>30</v>
      </c>
      <c r="AC62" s="396">
        <v>40</v>
      </c>
    </row>
    <row r="63" spans="1:29">
      <c r="I63" s="4">
        <f t="shared" si="2"/>
        <v>1</v>
      </c>
      <c r="J63" s="421" t="s">
        <v>249</v>
      </c>
      <c r="K63" s="421" t="s">
        <v>316</v>
      </c>
      <c r="L63" s="421" t="s">
        <v>323</v>
      </c>
      <c r="M63" s="453">
        <v>80</v>
      </c>
      <c r="N63" s="475" t="s">
        <v>252</v>
      </c>
      <c r="O63" s="455">
        <v>11</v>
      </c>
      <c r="P63" s="448">
        <v>1</v>
      </c>
      <c r="Q63" s="446">
        <v>3</v>
      </c>
      <c r="R63" s="465">
        <v>3</v>
      </c>
      <c r="S63" s="455">
        <v>12</v>
      </c>
      <c r="T63" s="448">
        <v>1</v>
      </c>
      <c r="U63" s="446">
        <v>3</v>
      </c>
      <c r="V63" s="465">
        <v>3</v>
      </c>
      <c r="W63" s="453">
        <v>20</v>
      </c>
      <c r="X63" s="446">
        <v>50</v>
      </c>
      <c r="Y63" s="351">
        <v>30</v>
      </c>
      <c r="Z63" s="442">
        <f t="shared" si="3"/>
        <v>100</v>
      </c>
      <c r="AA63" s="442">
        <v>30</v>
      </c>
      <c r="AB63" s="442">
        <v>30</v>
      </c>
      <c r="AC63" s="396">
        <v>40</v>
      </c>
    </row>
    <row r="64" spans="1:29">
      <c r="I64" s="4">
        <f t="shared" si="2"/>
        <v>1</v>
      </c>
      <c r="J64" s="421" t="s">
        <v>249</v>
      </c>
      <c r="K64" s="421" t="s">
        <v>316</v>
      </c>
      <c r="L64" s="421" t="s">
        <v>324</v>
      </c>
      <c r="M64" s="453">
        <v>80</v>
      </c>
      <c r="N64" s="475" t="s">
        <v>252</v>
      </c>
      <c r="O64" s="455">
        <v>11</v>
      </c>
      <c r="P64" s="448">
        <v>1</v>
      </c>
      <c r="Q64" s="446">
        <v>3</v>
      </c>
      <c r="R64" s="465">
        <v>3</v>
      </c>
      <c r="S64" s="455">
        <v>12</v>
      </c>
      <c r="T64" s="448">
        <v>1</v>
      </c>
      <c r="U64" s="446">
        <v>3</v>
      </c>
      <c r="V64" s="465">
        <v>3</v>
      </c>
      <c r="W64" s="453">
        <v>20</v>
      </c>
      <c r="X64" s="446">
        <v>50</v>
      </c>
      <c r="Y64" s="351">
        <v>30</v>
      </c>
      <c r="Z64" s="442">
        <f t="shared" si="3"/>
        <v>100</v>
      </c>
      <c r="AA64" s="442">
        <v>30</v>
      </c>
      <c r="AB64" s="442">
        <v>30</v>
      </c>
      <c r="AC64" s="396">
        <v>40</v>
      </c>
    </row>
    <row r="65" spans="9:29">
      <c r="I65" s="4">
        <f t="shared" si="2"/>
        <v>1</v>
      </c>
      <c r="J65" s="421" t="s">
        <v>249</v>
      </c>
      <c r="K65" s="421" t="s">
        <v>316</v>
      </c>
      <c r="L65" s="421" t="s">
        <v>325</v>
      </c>
      <c r="M65" s="453">
        <v>80</v>
      </c>
      <c r="N65" s="475" t="s">
        <v>252</v>
      </c>
      <c r="O65" s="455">
        <v>11</v>
      </c>
      <c r="P65" s="448">
        <v>1</v>
      </c>
      <c r="Q65" s="446">
        <v>3</v>
      </c>
      <c r="R65" s="465">
        <v>3</v>
      </c>
      <c r="S65" s="455">
        <v>12</v>
      </c>
      <c r="T65" s="448">
        <v>1</v>
      </c>
      <c r="U65" s="446">
        <v>3</v>
      </c>
      <c r="V65" s="465">
        <v>3</v>
      </c>
      <c r="W65" s="453">
        <v>20</v>
      </c>
      <c r="X65" s="446">
        <v>50</v>
      </c>
      <c r="Y65" s="351">
        <v>30</v>
      </c>
      <c r="Z65" s="442">
        <f t="shared" si="3"/>
        <v>100</v>
      </c>
      <c r="AA65" s="442">
        <v>30</v>
      </c>
      <c r="AB65" s="442">
        <v>30</v>
      </c>
      <c r="AC65" s="396">
        <v>40</v>
      </c>
    </row>
    <row r="66" spans="9:29">
      <c r="I66" s="4">
        <f t="shared" si="2"/>
        <v>1</v>
      </c>
      <c r="J66" s="421" t="s">
        <v>249</v>
      </c>
      <c r="K66" s="421" t="s">
        <v>316</v>
      </c>
      <c r="L66" s="421" t="s">
        <v>326</v>
      </c>
      <c r="M66" s="453">
        <v>80</v>
      </c>
      <c r="N66" s="475" t="s">
        <v>252</v>
      </c>
      <c r="O66" s="455">
        <v>11</v>
      </c>
      <c r="P66" s="448">
        <v>1</v>
      </c>
      <c r="Q66" s="446">
        <v>3</v>
      </c>
      <c r="R66" s="465">
        <v>3</v>
      </c>
      <c r="S66" s="455">
        <v>12</v>
      </c>
      <c r="T66" s="448">
        <v>1</v>
      </c>
      <c r="U66" s="446">
        <v>3</v>
      </c>
      <c r="V66" s="465">
        <v>3</v>
      </c>
      <c r="W66" s="453">
        <v>20</v>
      </c>
      <c r="X66" s="446">
        <v>50</v>
      </c>
      <c r="Y66" s="351">
        <v>30</v>
      </c>
      <c r="Z66" s="442">
        <f t="shared" si="3"/>
        <v>100</v>
      </c>
      <c r="AA66" s="442">
        <v>30</v>
      </c>
      <c r="AB66" s="442">
        <v>30</v>
      </c>
      <c r="AC66" s="396">
        <v>40</v>
      </c>
    </row>
    <row r="67" spans="9:29">
      <c r="I67" s="4">
        <f t="shared" si="2"/>
        <v>1</v>
      </c>
      <c r="J67" s="421" t="s">
        <v>249</v>
      </c>
      <c r="K67" s="421" t="s">
        <v>316</v>
      </c>
      <c r="L67" s="421" t="s">
        <v>327</v>
      </c>
      <c r="M67" s="453">
        <v>80</v>
      </c>
      <c r="N67" s="475" t="s">
        <v>252</v>
      </c>
      <c r="O67" s="455">
        <v>11</v>
      </c>
      <c r="P67" s="448">
        <v>1</v>
      </c>
      <c r="Q67" s="446">
        <v>3</v>
      </c>
      <c r="R67" s="465">
        <v>3</v>
      </c>
      <c r="S67" s="455">
        <v>12</v>
      </c>
      <c r="T67" s="448">
        <v>1</v>
      </c>
      <c r="U67" s="446">
        <v>3</v>
      </c>
      <c r="V67" s="465">
        <v>3</v>
      </c>
      <c r="W67" s="453">
        <v>20</v>
      </c>
      <c r="X67" s="446">
        <v>50</v>
      </c>
      <c r="Y67" s="351">
        <v>30</v>
      </c>
      <c r="Z67" s="442">
        <f t="shared" si="3"/>
        <v>100</v>
      </c>
      <c r="AA67" s="442">
        <v>30</v>
      </c>
      <c r="AB67" s="442">
        <v>30</v>
      </c>
      <c r="AC67" s="396">
        <v>40</v>
      </c>
    </row>
    <row r="68" spans="9:29">
      <c r="I68" s="4">
        <f t="shared" si="2"/>
        <v>1</v>
      </c>
      <c r="J68" s="421" t="s">
        <v>249</v>
      </c>
      <c r="K68" s="421" t="s">
        <v>316</v>
      </c>
      <c r="L68" s="421" t="s">
        <v>328</v>
      </c>
      <c r="M68" s="453">
        <v>80</v>
      </c>
      <c r="N68" s="475" t="s">
        <v>252</v>
      </c>
      <c r="O68" s="455">
        <v>11</v>
      </c>
      <c r="P68" s="448">
        <v>1</v>
      </c>
      <c r="Q68" s="446">
        <v>3</v>
      </c>
      <c r="R68" s="465">
        <v>3</v>
      </c>
      <c r="S68" s="455">
        <v>12</v>
      </c>
      <c r="T68" s="448">
        <v>1</v>
      </c>
      <c r="U68" s="446">
        <v>3</v>
      </c>
      <c r="V68" s="465">
        <v>3</v>
      </c>
      <c r="W68" s="453">
        <v>20</v>
      </c>
      <c r="X68" s="446">
        <v>50</v>
      </c>
      <c r="Y68" s="351">
        <v>30</v>
      </c>
      <c r="Z68" s="442">
        <f t="shared" si="3"/>
        <v>100</v>
      </c>
      <c r="AA68" s="442">
        <v>30</v>
      </c>
      <c r="AB68" s="442">
        <v>30</v>
      </c>
      <c r="AC68" s="396">
        <v>40</v>
      </c>
    </row>
    <row r="69" spans="9:29">
      <c r="I69" s="4">
        <f t="shared" si="2"/>
        <v>1</v>
      </c>
      <c r="J69" s="421" t="s">
        <v>249</v>
      </c>
      <c r="K69" s="421" t="s">
        <v>316</v>
      </c>
      <c r="L69" s="421" t="s">
        <v>329</v>
      </c>
      <c r="M69" s="453">
        <v>80</v>
      </c>
      <c r="N69" s="475" t="s">
        <v>252</v>
      </c>
      <c r="O69" s="455">
        <v>11</v>
      </c>
      <c r="P69" s="448">
        <v>1</v>
      </c>
      <c r="Q69" s="446">
        <v>3</v>
      </c>
      <c r="R69" s="465">
        <v>3</v>
      </c>
      <c r="S69" s="455">
        <v>12</v>
      </c>
      <c r="T69" s="448">
        <v>1</v>
      </c>
      <c r="U69" s="446">
        <v>3</v>
      </c>
      <c r="V69" s="465">
        <v>3</v>
      </c>
      <c r="W69" s="453">
        <v>20</v>
      </c>
      <c r="X69" s="446">
        <v>50</v>
      </c>
      <c r="Y69" s="351">
        <v>30</v>
      </c>
      <c r="Z69" s="442">
        <f t="shared" si="3"/>
        <v>100</v>
      </c>
      <c r="AA69" s="442">
        <v>30</v>
      </c>
      <c r="AB69" s="442">
        <v>30</v>
      </c>
      <c r="AC69" s="396">
        <v>40</v>
      </c>
    </row>
    <row r="70" spans="9:29">
      <c r="I70" s="4">
        <f t="shared" si="2"/>
        <v>1</v>
      </c>
      <c r="J70" s="421" t="s">
        <v>249</v>
      </c>
      <c r="K70" s="421" t="s">
        <v>316</v>
      </c>
      <c r="L70" s="421" t="s">
        <v>330</v>
      </c>
      <c r="M70" s="453">
        <v>80</v>
      </c>
      <c r="N70" s="475" t="s">
        <v>252</v>
      </c>
      <c r="O70" s="455">
        <v>11</v>
      </c>
      <c r="P70" s="448">
        <v>1</v>
      </c>
      <c r="Q70" s="446">
        <v>3</v>
      </c>
      <c r="R70" s="465">
        <v>3</v>
      </c>
      <c r="S70" s="455">
        <v>12</v>
      </c>
      <c r="T70" s="448">
        <v>1</v>
      </c>
      <c r="U70" s="446">
        <v>3</v>
      </c>
      <c r="V70" s="465">
        <v>3</v>
      </c>
      <c r="W70" s="453">
        <v>20</v>
      </c>
      <c r="X70" s="446">
        <v>50</v>
      </c>
      <c r="Y70" s="351">
        <v>30</v>
      </c>
      <c r="Z70" s="442">
        <f t="shared" si="3"/>
        <v>100</v>
      </c>
      <c r="AA70" s="442">
        <v>30</v>
      </c>
      <c r="AB70" s="442">
        <v>30</v>
      </c>
      <c r="AC70" s="396">
        <v>40</v>
      </c>
    </row>
    <row r="71" spans="9:29">
      <c r="I71" s="4">
        <f t="shared" ref="I71:I102" si="4">IF(COUNTIF($N71,"*"&amp;$F$7&amp;"*")&gt;0,1,0)</f>
        <v>1</v>
      </c>
      <c r="J71" s="421" t="s">
        <v>249</v>
      </c>
      <c r="K71" s="421" t="s">
        <v>316</v>
      </c>
      <c r="L71" s="421" t="s">
        <v>331</v>
      </c>
      <c r="M71" s="453">
        <v>80</v>
      </c>
      <c r="N71" s="475" t="s">
        <v>252</v>
      </c>
      <c r="O71" s="455">
        <v>11</v>
      </c>
      <c r="P71" s="448">
        <v>1</v>
      </c>
      <c r="Q71" s="446">
        <v>3</v>
      </c>
      <c r="R71" s="465">
        <v>3</v>
      </c>
      <c r="S71" s="455">
        <v>12</v>
      </c>
      <c r="T71" s="448">
        <v>1</v>
      </c>
      <c r="U71" s="446">
        <v>3</v>
      </c>
      <c r="V71" s="465">
        <v>3</v>
      </c>
      <c r="W71" s="453">
        <v>20</v>
      </c>
      <c r="X71" s="446">
        <v>50</v>
      </c>
      <c r="Y71" s="351">
        <v>30</v>
      </c>
      <c r="Z71" s="442">
        <f t="shared" ref="Z71:Z92" si="5">SUM(W71:Y71)</f>
        <v>100</v>
      </c>
      <c r="AA71" s="442">
        <v>30</v>
      </c>
      <c r="AB71" s="442">
        <v>30</v>
      </c>
      <c r="AC71" s="396">
        <v>40</v>
      </c>
    </row>
    <row r="72" spans="9:29">
      <c r="I72" s="4">
        <f t="shared" si="4"/>
        <v>1</v>
      </c>
      <c r="J72" s="421" t="s">
        <v>249</v>
      </c>
      <c r="K72" s="421" t="s">
        <v>316</v>
      </c>
      <c r="L72" s="421" t="s">
        <v>332</v>
      </c>
      <c r="M72" s="453">
        <v>80</v>
      </c>
      <c r="N72" s="475" t="s">
        <v>252</v>
      </c>
      <c r="O72" s="455">
        <v>11</v>
      </c>
      <c r="P72" s="448">
        <v>1</v>
      </c>
      <c r="Q72" s="446">
        <v>3</v>
      </c>
      <c r="R72" s="465">
        <v>3</v>
      </c>
      <c r="S72" s="455">
        <v>12</v>
      </c>
      <c r="T72" s="448">
        <v>1</v>
      </c>
      <c r="U72" s="446">
        <v>3</v>
      </c>
      <c r="V72" s="465">
        <v>3</v>
      </c>
      <c r="W72" s="453">
        <v>20</v>
      </c>
      <c r="X72" s="446">
        <v>50</v>
      </c>
      <c r="Y72" s="351">
        <v>30</v>
      </c>
      <c r="Z72" s="442">
        <f t="shared" si="5"/>
        <v>100</v>
      </c>
      <c r="AA72" s="442">
        <v>30</v>
      </c>
      <c r="AB72" s="442">
        <v>30</v>
      </c>
      <c r="AC72" s="396">
        <v>40</v>
      </c>
    </row>
    <row r="73" spans="9:29">
      <c r="I73" s="4">
        <f t="shared" si="4"/>
        <v>1</v>
      </c>
      <c r="J73" s="421" t="s">
        <v>249</v>
      </c>
      <c r="K73" s="421" t="s">
        <v>316</v>
      </c>
      <c r="L73" s="421" t="s">
        <v>333</v>
      </c>
      <c r="M73" s="453">
        <v>80</v>
      </c>
      <c r="N73" s="475" t="s">
        <v>252</v>
      </c>
      <c r="O73" s="455">
        <v>11</v>
      </c>
      <c r="P73" s="448">
        <v>1</v>
      </c>
      <c r="Q73" s="446">
        <v>3</v>
      </c>
      <c r="R73" s="465">
        <v>3</v>
      </c>
      <c r="S73" s="455">
        <v>12</v>
      </c>
      <c r="T73" s="448">
        <v>1</v>
      </c>
      <c r="U73" s="446">
        <v>3</v>
      </c>
      <c r="V73" s="465">
        <v>3</v>
      </c>
      <c r="W73" s="453">
        <v>20</v>
      </c>
      <c r="X73" s="446">
        <v>50</v>
      </c>
      <c r="Y73" s="351">
        <v>30</v>
      </c>
      <c r="Z73" s="442">
        <f t="shared" si="5"/>
        <v>100</v>
      </c>
      <c r="AA73" s="442">
        <v>30</v>
      </c>
      <c r="AB73" s="442">
        <v>30</v>
      </c>
      <c r="AC73" s="396">
        <v>40</v>
      </c>
    </row>
    <row r="74" spans="9:29">
      <c r="I74" s="4">
        <f t="shared" si="4"/>
        <v>1</v>
      </c>
      <c r="J74" s="421" t="s">
        <v>249</v>
      </c>
      <c r="K74" s="421" t="s">
        <v>316</v>
      </c>
      <c r="L74" s="421" t="s">
        <v>334</v>
      </c>
      <c r="M74" s="453">
        <v>80</v>
      </c>
      <c r="N74" s="475" t="s">
        <v>252</v>
      </c>
      <c r="O74" s="455">
        <v>11</v>
      </c>
      <c r="P74" s="448">
        <v>1</v>
      </c>
      <c r="Q74" s="446">
        <v>3</v>
      </c>
      <c r="R74" s="465">
        <v>3</v>
      </c>
      <c r="S74" s="455">
        <v>12</v>
      </c>
      <c r="T74" s="448">
        <v>1</v>
      </c>
      <c r="U74" s="446">
        <v>3</v>
      </c>
      <c r="V74" s="465">
        <v>3</v>
      </c>
      <c r="W74" s="453">
        <v>20</v>
      </c>
      <c r="X74" s="446">
        <v>50</v>
      </c>
      <c r="Y74" s="351">
        <v>30</v>
      </c>
      <c r="Z74" s="442">
        <f t="shared" si="5"/>
        <v>100</v>
      </c>
      <c r="AA74" s="442">
        <v>30</v>
      </c>
      <c r="AB74" s="442">
        <v>30</v>
      </c>
      <c r="AC74" s="396">
        <v>40</v>
      </c>
    </row>
    <row r="75" spans="9:29">
      <c r="I75" s="4">
        <f t="shared" si="4"/>
        <v>0</v>
      </c>
      <c r="J75" s="421" t="s">
        <v>249</v>
      </c>
      <c r="K75" s="421" t="s">
        <v>316</v>
      </c>
      <c r="L75" s="421" t="s">
        <v>335</v>
      </c>
      <c r="M75" s="453">
        <v>80</v>
      </c>
      <c r="N75" s="475" t="s">
        <v>287</v>
      </c>
      <c r="O75" s="455" t="s">
        <v>242</v>
      </c>
      <c r="P75" s="448"/>
      <c r="Q75" s="446"/>
      <c r="R75" s="465"/>
      <c r="S75" s="455">
        <v>12</v>
      </c>
      <c r="T75" s="448">
        <v>1</v>
      </c>
      <c r="U75" s="446">
        <v>3</v>
      </c>
      <c r="V75" s="465">
        <v>3</v>
      </c>
      <c r="W75" s="453">
        <v>20</v>
      </c>
      <c r="X75" s="446">
        <v>50</v>
      </c>
      <c r="Y75" s="351">
        <v>30</v>
      </c>
      <c r="Z75" s="442">
        <f t="shared" si="5"/>
        <v>100</v>
      </c>
      <c r="AA75" s="442">
        <v>30</v>
      </c>
      <c r="AB75" s="442">
        <v>30</v>
      </c>
      <c r="AC75" s="396">
        <v>40</v>
      </c>
    </row>
    <row r="76" spans="9:29">
      <c r="I76" s="4">
        <f t="shared" si="4"/>
        <v>0</v>
      </c>
      <c r="J76" s="421" t="s">
        <v>249</v>
      </c>
      <c r="K76" s="421" t="s">
        <v>316</v>
      </c>
      <c r="L76" s="421" t="s">
        <v>336</v>
      </c>
      <c r="M76" s="453">
        <v>80</v>
      </c>
      <c r="N76" s="475" t="s">
        <v>287</v>
      </c>
      <c r="O76" s="455" t="s">
        <v>242</v>
      </c>
      <c r="P76" s="448"/>
      <c r="Q76" s="446"/>
      <c r="R76" s="465"/>
      <c r="S76" s="455">
        <v>12</v>
      </c>
      <c r="T76" s="448">
        <v>1</v>
      </c>
      <c r="U76" s="446">
        <v>3</v>
      </c>
      <c r="V76" s="465">
        <v>3</v>
      </c>
      <c r="W76" s="453">
        <v>20</v>
      </c>
      <c r="X76" s="446">
        <v>50</v>
      </c>
      <c r="Y76" s="351">
        <v>30</v>
      </c>
      <c r="Z76" s="442">
        <f t="shared" si="5"/>
        <v>100</v>
      </c>
      <c r="AA76" s="442">
        <v>30</v>
      </c>
      <c r="AB76" s="442">
        <v>30</v>
      </c>
      <c r="AC76" s="396">
        <v>40</v>
      </c>
    </row>
    <row r="77" spans="9:29">
      <c r="I77" s="4">
        <f t="shared" si="4"/>
        <v>0</v>
      </c>
      <c r="J77" s="421" t="s">
        <v>249</v>
      </c>
      <c r="K77" s="421" t="s">
        <v>316</v>
      </c>
      <c r="L77" s="421" t="s">
        <v>337</v>
      </c>
      <c r="M77" s="453">
        <v>80</v>
      </c>
      <c r="N77" s="475" t="s">
        <v>287</v>
      </c>
      <c r="O77" s="455" t="s">
        <v>242</v>
      </c>
      <c r="P77" s="448"/>
      <c r="Q77" s="446"/>
      <c r="R77" s="465"/>
      <c r="S77" s="455">
        <v>12</v>
      </c>
      <c r="T77" s="448">
        <v>1</v>
      </c>
      <c r="U77" s="446">
        <v>3</v>
      </c>
      <c r="V77" s="465">
        <v>3</v>
      </c>
      <c r="W77" s="453">
        <v>20</v>
      </c>
      <c r="X77" s="446">
        <v>50</v>
      </c>
      <c r="Y77" s="351">
        <v>30</v>
      </c>
      <c r="Z77" s="442">
        <f t="shared" si="5"/>
        <v>100</v>
      </c>
      <c r="AA77" s="442">
        <v>30</v>
      </c>
      <c r="AB77" s="442">
        <v>30</v>
      </c>
      <c r="AC77" s="396">
        <v>40</v>
      </c>
    </row>
    <row r="78" spans="9:29">
      <c r="I78" s="4">
        <f t="shared" si="4"/>
        <v>0</v>
      </c>
      <c r="J78" s="421" t="s">
        <v>249</v>
      </c>
      <c r="K78" s="421" t="s">
        <v>316</v>
      </c>
      <c r="L78" s="421" t="s">
        <v>338</v>
      </c>
      <c r="M78" s="453">
        <v>80</v>
      </c>
      <c r="N78" s="475" t="s">
        <v>287</v>
      </c>
      <c r="O78" s="455" t="s">
        <v>242</v>
      </c>
      <c r="P78" s="448"/>
      <c r="Q78" s="446"/>
      <c r="R78" s="465"/>
      <c r="S78" s="455">
        <v>12</v>
      </c>
      <c r="T78" s="448">
        <v>1</v>
      </c>
      <c r="U78" s="446">
        <v>3</v>
      </c>
      <c r="V78" s="465">
        <v>3</v>
      </c>
      <c r="W78" s="453">
        <v>20</v>
      </c>
      <c r="X78" s="446">
        <v>50</v>
      </c>
      <c r="Y78" s="351">
        <v>30</v>
      </c>
      <c r="Z78" s="442">
        <f t="shared" si="5"/>
        <v>100</v>
      </c>
      <c r="AA78" s="442">
        <v>30</v>
      </c>
      <c r="AB78" s="442">
        <v>30</v>
      </c>
      <c r="AC78" s="396">
        <v>40</v>
      </c>
    </row>
    <row r="79" spans="9:29">
      <c r="I79" s="4">
        <f t="shared" si="4"/>
        <v>0</v>
      </c>
      <c r="J79" s="421" t="s">
        <v>249</v>
      </c>
      <c r="K79" s="421" t="s">
        <v>316</v>
      </c>
      <c r="L79" s="421" t="s">
        <v>339</v>
      </c>
      <c r="M79" s="453">
        <v>80</v>
      </c>
      <c r="N79" s="475" t="s">
        <v>287</v>
      </c>
      <c r="O79" s="455" t="s">
        <v>242</v>
      </c>
      <c r="P79" s="448"/>
      <c r="Q79" s="446"/>
      <c r="R79" s="465"/>
      <c r="S79" s="455">
        <v>12</v>
      </c>
      <c r="T79" s="448">
        <v>1</v>
      </c>
      <c r="U79" s="446">
        <v>3</v>
      </c>
      <c r="V79" s="465">
        <v>3</v>
      </c>
      <c r="W79" s="453">
        <v>20</v>
      </c>
      <c r="X79" s="446">
        <v>50</v>
      </c>
      <c r="Y79" s="351">
        <v>30</v>
      </c>
      <c r="Z79" s="442">
        <f t="shared" si="5"/>
        <v>100</v>
      </c>
      <c r="AA79" s="442">
        <v>30</v>
      </c>
      <c r="AB79" s="442">
        <v>30</v>
      </c>
      <c r="AC79" s="396">
        <v>40</v>
      </c>
    </row>
    <row r="80" spans="9:29">
      <c r="I80" s="4">
        <f t="shared" si="4"/>
        <v>0</v>
      </c>
      <c r="J80" s="421" t="s">
        <v>249</v>
      </c>
      <c r="K80" s="421" t="s">
        <v>316</v>
      </c>
      <c r="L80" s="421" t="s">
        <v>340</v>
      </c>
      <c r="M80" s="453">
        <v>80</v>
      </c>
      <c r="N80" s="475" t="s">
        <v>287</v>
      </c>
      <c r="O80" s="455" t="s">
        <v>242</v>
      </c>
      <c r="P80" s="448"/>
      <c r="Q80" s="446"/>
      <c r="R80" s="465"/>
      <c r="S80" s="455">
        <v>12</v>
      </c>
      <c r="T80" s="448">
        <v>1</v>
      </c>
      <c r="U80" s="446">
        <v>3</v>
      </c>
      <c r="V80" s="465">
        <v>3</v>
      </c>
      <c r="W80" s="453">
        <v>20</v>
      </c>
      <c r="X80" s="446">
        <v>50</v>
      </c>
      <c r="Y80" s="351">
        <v>30</v>
      </c>
      <c r="Z80" s="442">
        <f t="shared" si="5"/>
        <v>100</v>
      </c>
      <c r="AA80" s="442">
        <v>30</v>
      </c>
      <c r="AB80" s="442">
        <v>30</v>
      </c>
      <c r="AC80" s="396">
        <v>40</v>
      </c>
    </row>
    <row r="81" spans="9:29">
      <c r="I81" s="4">
        <f t="shared" si="4"/>
        <v>0</v>
      </c>
      <c r="J81" s="421" t="s">
        <v>249</v>
      </c>
      <c r="K81" s="421" t="s">
        <v>316</v>
      </c>
      <c r="L81" s="421" t="s">
        <v>341</v>
      </c>
      <c r="M81" s="453">
        <v>80</v>
      </c>
      <c r="N81" s="475" t="s">
        <v>287</v>
      </c>
      <c r="O81" s="455" t="s">
        <v>242</v>
      </c>
      <c r="P81" s="448"/>
      <c r="Q81" s="446"/>
      <c r="R81" s="465"/>
      <c r="S81" s="455">
        <v>12</v>
      </c>
      <c r="T81" s="448">
        <v>1</v>
      </c>
      <c r="U81" s="446">
        <v>3</v>
      </c>
      <c r="V81" s="465">
        <v>3</v>
      </c>
      <c r="W81" s="453">
        <v>20</v>
      </c>
      <c r="X81" s="446">
        <v>50</v>
      </c>
      <c r="Y81" s="351">
        <v>30</v>
      </c>
      <c r="Z81" s="442">
        <f t="shared" si="5"/>
        <v>100</v>
      </c>
      <c r="AA81" s="442">
        <v>30</v>
      </c>
      <c r="AB81" s="442">
        <v>30</v>
      </c>
      <c r="AC81" s="396">
        <v>40</v>
      </c>
    </row>
    <row r="82" spans="9:29">
      <c r="I82" s="7">
        <f t="shared" si="4"/>
        <v>0</v>
      </c>
      <c r="J82" s="426" t="s">
        <v>249</v>
      </c>
      <c r="K82" s="426" t="s">
        <v>316</v>
      </c>
      <c r="L82" s="426" t="s">
        <v>342</v>
      </c>
      <c r="M82" s="458">
        <v>80</v>
      </c>
      <c r="N82" s="477" t="s">
        <v>287</v>
      </c>
      <c r="O82" s="461" t="s">
        <v>242</v>
      </c>
      <c r="P82" s="429"/>
      <c r="Q82" s="427"/>
      <c r="R82" s="467"/>
      <c r="S82" s="461">
        <v>12</v>
      </c>
      <c r="T82" s="429">
        <v>1</v>
      </c>
      <c r="U82" s="427">
        <v>3</v>
      </c>
      <c r="V82" s="467">
        <v>3</v>
      </c>
      <c r="W82" s="458">
        <v>20</v>
      </c>
      <c r="X82" s="427">
        <v>50</v>
      </c>
      <c r="Y82" s="356">
        <v>30</v>
      </c>
      <c r="Z82" s="444">
        <f t="shared" si="5"/>
        <v>100</v>
      </c>
      <c r="AA82" s="444">
        <v>30</v>
      </c>
      <c r="AB82" s="442">
        <v>30</v>
      </c>
      <c r="AC82" s="396">
        <v>40</v>
      </c>
    </row>
    <row r="83" spans="9:29">
      <c r="I83" s="398">
        <f t="shared" si="4"/>
        <v>1</v>
      </c>
      <c r="J83" s="422" t="s">
        <v>249</v>
      </c>
      <c r="K83" s="422" t="s">
        <v>343</v>
      </c>
      <c r="L83" s="422" t="s">
        <v>344</v>
      </c>
      <c r="M83" s="459">
        <v>80</v>
      </c>
      <c r="N83" s="476" t="s">
        <v>252</v>
      </c>
      <c r="O83" s="454">
        <v>11</v>
      </c>
      <c r="P83" s="425">
        <v>1</v>
      </c>
      <c r="Q83" s="423">
        <v>3</v>
      </c>
      <c r="R83" s="466">
        <v>3</v>
      </c>
      <c r="S83" s="454">
        <v>12</v>
      </c>
      <c r="T83" s="425">
        <v>1</v>
      </c>
      <c r="U83" s="423">
        <v>3</v>
      </c>
      <c r="V83" s="466">
        <v>3</v>
      </c>
      <c r="W83" s="454">
        <v>20</v>
      </c>
      <c r="X83" s="424">
        <v>60</v>
      </c>
      <c r="Y83" s="357">
        <v>20</v>
      </c>
      <c r="Z83" s="443">
        <f t="shared" si="5"/>
        <v>100</v>
      </c>
      <c r="AA83" s="443">
        <v>30</v>
      </c>
      <c r="AB83" s="442">
        <v>30</v>
      </c>
      <c r="AC83" s="396">
        <v>40</v>
      </c>
    </row>
    <row r="84" spans="9:29">
      <c r="I84" s="4">
        <f t="shared" si="4"/>
        <v>1</v>
      </c>
      <c r="J84" s="421" t="s">
        <v>249</v>
      </c>
      <c r="K84" s="421" t="s">
        <v>343</v>
      </c>
      <c r="L84" s="421" t="s">
        <v>345</v>
      </c>
      <c r="M84" s="453">
        <v>80</v>
      </c>
      <c r="N84" s="475" t="s">
        <v>252</v>
      </c>
      <c r="O84" s="455">
        <v>11</v>
      </c>
      <c r="P84" s="448">
        <v>1</v>
      </c>
      <c r="Q84" s="446">
        <v>3</v>
      </c>
      <c r="R84" s="465">
        <v>3</v>
      </c>
      <c r="S84" s="455">
        <v>12</v>
      </c>
      <c r="T84" s="448">
        <v>1</v>
      </c>
      <c r="U84" s="446">
        <v>3</v>
      </c>
      <c r="V84" s="465">
        <v>3</v>
      </c>
      <c r="W84" s="455">
        <v>20</v>
      </c>
      <c r="X84" s="447">
        <v>60</v>
      </c>
      <c r="Y84" s="457">
        <v>20</v>
      </c>
      <c r="Z84" s="442">
        <f t="shared" si="5"/>
        <v>100</v>
      </c>
      <c r="AA84" s="442">
        <v>30</v>
      </c>
      <c r="AB84" s="442">
        <v>30</v>
      </c>
      <c r="AC84" s="396">
        <v>40</v>
      </c>
    </row>
    <row r="85" spans="9:29">
      <c r="I85" s="4">
        <f t="shared" si="4"/>
        <v>1</v>
      </c>
      <c r="J85" s="421" t="s">
        <v>249</v>
      </c>
      <c r="K85" s="421" t="s">
        <v>343</v>
      </c>
      <c r="L85" s="421" t="s">
        <v>346</v>
      </c>
      <c r="M85" s="453">
        <v>80</v>
      </c>
      <c r="N85" s="475" t="s">
        <v>252</v>
      </c>
      <c r="O85" s="455">
        <v>11</v>
      </c>
      <c r="P85" s="448">
        <v>1</v>
      </c>
      <c r="Q85" s="446">
        <v>3</v>
      </c>
      <c r="R85" s="465">
        <v>3</v>
      </c>
      <c r="S85" s="455">
        <v>12</v>
      </c>
      <c r="T85" s="448">
        <v>1</v>
      </c>
      <c r="U85" s="446">
        <v>3</v>
      </c>
      <c r="V85" s="465">
        <v>3</v>
      </c>
      <c r="W85" s="455">
        <v>20</v>
      </c>
      <c r="X85" s="447">
        <v>60</v>
      </c>
      <c r="Y85" s="457">
        <v>20</v>
      </c>
      <c r="Z85" s="442">
        <f t="shared" si="5"/>
        <v>100</v>
      </c>
      <c r="AA85" s="442">
        <v>30</v>
      </c>
      <c r="AB85" s="442">
        <v>30</v>
      </c>
      <c r="AC85" s="396">
        <v>40</v>
      </c>
    </row>
    <row r="86" spans="9:29">
      <c r="I86" s="4">
        <f t="shared" si="4"/>
        <v>1</v>
      </c>
      <c r="J86" s="421" t="s">
        <v>249</v>
      </c>
      <c r="K86" s="421" t="s">
        <v>343</v>
      </c>
      <c r="L86" s="421" t="s">
        <v>347</v>
      </c>
      <c r="M86" s="453">
        <v>80</v>
      </c>
      <c r="N86" s="475" t="s">
        <v>252</v>
      </c>
      <c r="O86" s="455">
        <v>11</v>
      </c>
      <c r="P86" s="448">
        <v>1</v>
      </c>
      <c r="Q86" s="446">
        <v>3</v>
      </c>
      <c r="R86" s="465">
        <v>3</v>
      </c>
      <c r="S86" s="455">
        <v>12</v>
      </c>
      <c r="T86" s="448">
        <v>1</v>
      </c>
      <c r="U86" s="446">
        <v>3</v>
      </c>
      <c r="V86" s="465">
        <v>3</v>
      </c>
      <c r="W86" s="455">
        <v>20</v>
      </c>
      <c r="X86" s="447">
        <v>60</v>
      </c>
      <c r="Y86" s="457">
        <v>20</v>
      </c>
      <c r="Z86" s="442">
        <f t="shared" si="5"/>
        <v>100</v>
      </c>
      <c r="AA86" s="442">
        <v>30</v>
      </c>
      <c r="AB86" s="442">
        <v>30</v>
      </c>
      <c r="AC86" s="396">
        <v>40</v>
      </c>
    </row>
    <row r="87" spans="9:29">
      <c r="I87" s="4">
        <f t="shared" si="4"/>
        <v>1</v>
      </c>
      <c r="J87" s="421" t="s">
        <v>249</v>
      </c>
      <c r="K87" s="421" t="s">
        <v>343</v>
      </c>
      <c r="L87" s="421" t="s">
        <v>348</v>
      </c>
      <c r="M87" s="453">
        <v>80</v>
      </c>
      <c r="N87" s="475" t="s">
        <v>252</v>
      </c>
      <c r="O87" s="455">
        <v>11</v>
      </c>
      <c r="P87" s="448">
        <v>1</v>
      </c>
      <c r="Q87" s="446">
        <v>3</v>
      </c>
      <c r="R87" s="465">
        <v>3</v>
      </c>
      <c r="S87" s="455">
        <v>12</v>
      </c>
      <c r="T87" s="448">
        <v>1</v>
      </c>
      <c r="U87" s="446">
        <v>3</v>
      </c>
      <c r="V87" s="465">
        <v>3</v>
      </c>
      <c r="W87" s="455">
        <v>20</v>
      </c>
      <c r="X87" s="447">
        <v>60</v>
      </c>
      <c r="Y87" s="457">
        <v>20</v>
      </c>
      <c r="Z87" s="442">
        <f t="shared" si="5"/>
        <v>100</v>
      </c>
      <c r="AA87" s="442">
        <v>30</v>
      </c>
      <c r="AB87" s="442">
        <v>30</v>
      </c>
      <c r="AC87" s="396">
        <v>40</v>
      </c>
    </row>
    <row r="88" spans="9:29">
      <c r="I88" s="4">
        <f t="shared" si="4"/>
        <v>1</v>
      </c>
      <c r="J88" s="421" t="s">
        <v>249</v>
      </c>
      <c r="K88" s="421" t="s">
        <v>343</v>
      </c>
      <c r="L88" s="421" t="s">
        <v>349</v>
      </c>
      <c r="M88" s="453">
        <v>80</v>
      </c>
      <c r="N88" s="475" t="s">
        <v>252</v>
      </c>
      <c r="O88" s="455">
        <v>11</v>
      </c>
      <c r="P88" s="448">
        <v>1</v>
      </c>
      <c r="Q88" s="446">
        <v>3</v>
      </c>
      <c r="R88" s="465">
        <v>3</v>
      </c>
      <c r="S88" s="455">
        <v>12</v>
      </c>
      <c r="T88" s="448">
        <v>1</v>
      </c>
      <c r="U88" s="446">
        <v>3</v>
      </c>
      <c r="V88" s="465">
        <v>3</v>
      </c>
      <c r="W88" s="455">
        <v>20</v>
      </c>
      <c r="X88" s="447">
        <v>60</v>
      </c>
      <c r="Y88" s="457">
        <v>20</v>
      </c>
      <c r="Z88" s="442">
        <f t="shared" si="5"/>
        <v>100</v>
      </c>
      <c r="AA88" s="442">
        <v>30</v>
      </c>
      <c r="AB88" s="442">
        <v>30</v>
      </c>
      <c r="AC88" s="396">
        <v>40</v>
      </c>
    </row>
    <row r="89" spans="9:29">
      <c r="I89" s="4">
        <f t="shared" si="4"/>
        <v>1</v>
      </c>
      <c r="J89" s="421" t="s">
        <v>249</v>
      </c>
      <c r="K89" s="421" t="s">
        <v>343</v>
      </c>
      <c r="L89" s="421" t="s">
        <v>350</v>
      </c>
      <c r="M89" s="453">
        <v>80</v>
      </c>
      <c r="N89" s="475" t="s">
        <v>252</v>
      </c>
      <c r="O89" s="455">
        <v>11</v>
      </c>
      <c r="P89" s="448">
        <v>1</v>
      </c>
      <c r="Q89" s="446">
        <v>3</v>
      </c>
      <c r="R89" s="465">
        <v>3</v>
      </c>
      <c r="S89" s="455">
        <v>12</v>
      </c>
      <c r="T89" s="448">
        <v>1</v>
      </c>
      <c r="U89" s="446">
        <v>3</v>
      </c>
      <c r="V89" s="465">
        <v>3</v>
      </c>
      <c r="W89" s="455">
        <v>20</v>
      </c>
      <c r="X89" s="447">
        <v>60</v>
      </c>
      <c r="Y89" s="457">
        <v>20</v>
      </c>
      <c r="Z89" s="442">
        <f t="shared" si="5"/>
        <v>100</v>
      </c>
      <c r="AA89" s="442">
        <v>30</v>
      </c>
      <c r="AB89" s="442">
        <v>30</v>
      </c>
      <c r="AC89" s="396">
        <v>40</v>
      </c>
    </row>
    <row r="90" spans="9:29">
      <c r="I90" s="4">
        <f t="shared" si="4"/>
        <v>1</v>
      </c>
      <c r="J90" s="421" t="s">
        <v>249</v>
      </c>
      <c r="K90" s="421" t="s">
        <v>343</v>
      </c>
      <c r="L90" s="421" t="s">
        <v>351</v>
      </c>
      <c r="M90" s="453">
        <v>80</v>
      </c>
      <c r="N90" s="475" t="s">
        <v>252</v>
      </c>
      <c r="O90" s="455">
        <v>11</v>
      </c>
      <c r="P90" s="448">
        <v>1</v>
      </c>
      <c r="Q90" s="446">
        <v>3</v>
      </c>
      <c r="R90" s="465">
        <v>3</v>
      </c>
      <c r="S90" s="455">
        <v>12</v>
      </c>
      <c r="T90" s="448">
        <v>1</v>
      </c>
      <c r="U90" s="446">
        <v>3</v>
      </c>
      <c r="V90" s="465">
        <v>3</v>
      </c>
      <c r="W90" s="455">
        <v>20</v>
      </c>
      <c r="X90" s="447">
        <v>60</v>
      </c>
      <c r="Y90" s="457">
        <v>20</v>
      </c>
      <c r="Z90" s="442">
        <f t="shared" si="5"/>
        <v>100</v>
      </c>
      <c r="AA90" s="442">
        <v>30</v>
      </c>
      <c r="AB90" s="442">
        <v>30</v>
      </c>
      <c r="AC90" s="396">
        <v>40</v>
      </c>
    </row>
    <row r="91" spans="9:29">
      <c r="I91" s="4">
        <f t="shared" si="4"/>
        <v>1</v>
      </c>
      <c r="J91" s="421" t="s">
        <v>249</v>
      </c>
      <c r="K91" s="421" t="s">
        <v>343</v>
      </c>
      <c r="L91" s="421" t="s">
        <v>352</v>
      </c>
      <c r="M91" s="453">
        <v>80</v>
      </c>
      <c r="N91" s="475" t="s">
        <v>252</v>
      </c>
      <c r="O91" s="455">
        <v>11</v>
      </c>
      <c r="P91" s="448">
        <v>1</v>
      </c>
      <c r="Q91" s="446">
        <v>3</v>
      </c>
      <c r="R91" s="465">
        <v>3</v>
      </c>
      <c r="S91" s="455">
        <v>12</v>
      </c>
      <c r="T91" s="448">
        <v>1</v>
      </c>
      <c r="U91" s="446">
        <v>3</v>
      </c>
      <c r="V91" s="465">
        <v>3</v>
      </c>
      <c r="W91" s="455">
        <v>20</v>
      </c>
      <c r="X91" s="447">
        <v>60</v>
      </c>
      <c r="Y91" s="457">
        <v>20</v>
      </c>
      <c r="Z91" s="442">
        <f t="shared" si="5"/>
        <v>100</v>
      </c>
      <c r="AA91" s="442">
        <v>30</v>
      </c>
      <c r="AB91" s="442">
        <v>30</v>
      </c>
      <c r="AC91" s="396">
        <v>40</v>
      </c>
    </row>
    <row r="92" spans="9:29">
      <c r="I92" s="7">
        <f t="shared" si="4"/>
        <v>1</v>
      </c>
      <c r="J92" s="426" t="s">
        <v>249</v>
      </c>
      <c r="K92" s="426" t="s">
        <v>343</v>
      </c>
      <c r="L92" s="426" t="s">
        <v>353</v>
      </c>
      <c r="M92" s="458">
        <v>80</v>
      </c>
      <c r="N92" s="477" t="s">
        <v>252</v>
      </c>
      <c r="O92" s="461">
        <v>11</v>
      </c>
      <c r="P92" s="429">
        <v>1</v>
      </c>
      <c r="Q92" s="427">
        <v>3</v>
      </c>
      <c r="R92" s="467">
        <v>3</v>
      </c>
      <c r="S92" s="461">
        <v>12</v>
      </c>
      <c r="T92" s="429">
        <v>1</v>
      </c>
      <c r="U92" s="427">
        <v>3</v>
      </c>
      <c r="V92" s="467">
        <v>3</v>
      </c>
      <c r="W92" s="461">
        <v>20</v>
      </c>
      <c r="X92" s="428">
        <v>60</v>
      </c>
      <c r="Y92" s="382">
        <v>20</v>
      </c>
      <c r="Z92" s="444">
        <f t="shared" si="5"/>
        <v>100</v>
      </c>
      <c r="AA92" s="444">
        <v>30</v>
      </c>
      <c r="AB92" s="442">
        <v>30</v>
      </c>
      <c r="AC92" s="396">
        <v>40</v>
      </c>
    </row>
    <row r="93" spans="9:29">
      <c r="I93" s="430">
        <f>IF(COUNTIF($N93,"*"&amp;$F$7&amp;"*")&gt;0,1,0)</f>
        <v>1</v>
      </c>
      <c r="J93" s="431" t="s">
        <v>249</v>
      </c>
      <c r="K93" s="431" t="s">
        <v>147</v>
      </c>
      <c r="L93" s="432">
        <f>IF(AND('INPUT DATA'!$F$28=HELPER!$J93,'INPUT DATA'!$F$29=HELPER!$K93),'INPUT DATA'!$F39,0)</f>
        <v>0</v>
      </c>
      <c r="M93" s="473"/>
      <c r="N93" s="479" t="s">
        <v>252</v>
      </c>
      <c r="O93" s="469">
        <v>11</v>
      </c>
      <c r="P93" s="433">
        <f>IF(AND('INPUT DATA'!$F$24=11,'INPUT DATA'!$F$28=HELPER!$J93,'INPUT DATA'!$F$29=HELPER!$K93),'INPUT DATA'!$F51,0)</f>
        <v>0</v>
      </c>
      <c r="Q93" s="433">
        <f>IF(AND('INPUT DATA'!$F$24=11,'INPUT DATA'!$F$28=HELPER!$J93,'INPUT DATA'!$F$29=HELPER!$K93),'INPUT DATA'!$F52,0)</f>
        <v>0</v>
      </c>
      <c r="R93" s="470">
        <f>IF(AND('INPUT DATA'!$F$24=11,'INPUT DATA'!$F$28=HELPER!$J93,'INPUT DATA'!$F$29=HELPER!$K93),'INPUT DATA'!$F53,0)</f>
        <v>0</v>
      </c>
      <c r="S93" s="469">
        <v>12</v>
      </c>
      <c r="T93" s="433">
        <f>IF(AND('INPUT DATA'!$F$24=12,'INPUT DATA'!$F$28=HELPER!$J93,'INPUT DATA'!$F$29=HELPER!$K93),'INPUT DATA'!$F51,0)</f>
        <v>0</v>
      </c>
      <c r="U93" s="433">
        <f>IF(AND('INPUT DATA'!$F$24=12,'INPUT DATA'!$F$28=HELPER!$J93,'INPUT DATA'!$F$29=HELPER!$K93),'INPUT DATA'!$F52,0)</f>
        <v>0</v>
      </c>
      <c r="V93" s="470">
        <f>IF(AND('INPUT DATA'!$F$24=12,'INPUT DATA'!$F$28=HELPER!$J93,'INPUT DATA'!$F$29=HELPER!$K93),'INPUT DATA'!$F53,0)</f>
        <v>0</v>
      </c>
      <c r="W93" s="462">
        <f>IF(AND('INPUT DATA'!$F$28=HELPER!$J93,'INPUT DATA'!$F$29=HELPER!$K93),'INPUT DATA'!$F43,0)*100</f>
        <v>0</v>
      </c>
      <c r="X93" s="434">
        <f>IF(AND('INPUT DATA'!$F$28=HELPER!$J93,'INPUT DATA'!$F$29=HELPER!$K93),'INPUT DATA'!$F44,0)*100</f>
        <v>0</v>
      </c>
      <c r="Y93" s="434">
        <f>IF(AND('INPUT DATA'!$F$28=HELPER!$J93,'INPUT DATA'!$F$29=HELPER!$K93),'INPUT DATA'!$F45,0)*100</f>
        <v>0</v>
      </c>
      <c r="Z93" s="482">
        <f>SUM(W93:Y93)</f>
        <v>0</v>
      </c>
      <c r="AA93" s="451">
        <f>IF(AND('INPUT DATA'!$F$28=HELPER!$J93,'INPUT DATA'!$F$29=HELPER!$K93),'INPUT DATA'!$F$46,0)*100</f>
        <v>0</v>
      </c>
      <c r="AB93" s="451">
        <f>IF(AND('INPUT DATA'!$F$28=HELPER!$J93,'INPUT DATA'!$F$29=HELPER!$K93),'INPUT DATA'!$F$47,0)*100</f>
        <v>0</v>
      </c>
      <c r="AC93" s="445">
        <f>IF(AND('INPUT DATA'!$F$28=HELPER!$J93,'INPUT DATA'!$F$29=HELPER!$K93),'INPUT DATA'!$F$48,0)*100</f>
        <v>0</v>
      </c>
    </row>
    <row r="94" spans="9:29">
      <c r="I94" s="398">
        <f t="shared" si="4"/>
        <v>1</v>
      </c>
      <c r="J94" s="422" t="s">
        <v>354</v>
      </c>
      <c r="K94" s="422" t="s">
        <v>355</v>
      </c>
      <c r="L94" s="422" t="s">
        <v>356</v>
      </c>
      <c r="M94" s="459"/>
      <c r="N94" s="476" t="s">
        <v>252</v>
      </c>
      <c r="O94" s="454">
        <v>11</v>
      </c>
      <c r="P94" s="425">
        <v>3</v>
      </c>
      <c r="Q94" s="423">
        <v>4</v>
      </c>
      <c r="R94" s="466">
        <v>12</v>
      </c>
      <c r="S94" s="454">
        <v>12</v>
      </c>
      <c r="T94" s="425">
        <v>1</v>
      </c>
      <c r="U94" s="423">
        <v>12</v>
      </c>
      <c r="V94" s="466">
        <v>12</v>
      </c>
      <c r="W94" s="459">
        <v>15</v>
      </c>
      <c r="X94" s="423">
        <v>65</v>
      </c>
      <c r="Y94" s="355">
        <v>20</v>
      </c>
      <c r="Z94" s="443">
        <f t="shared" ref="Z94:Z125" si="6">SUM(W94:Y94)</f>
        <v>100</v>
      </c>
      <c r="AA94" s="443">
        <v>30</v>
      </c>
      <c r="AB94" s="442">
        <v>30</v>
      </c>
      <c r="AC94" s="396">
        <v>40</v>
      </c>
    </row>
    <row r="95" spans="9:29">
      <c r="I95" s="4">
        <f t="shared" si="4"/>
        <v>1</v>
      </c>
      <c r="J95" s="421" t="s">
        <v>354</v>
      </c>
      <c r="K95" s="421" t="s">
        <v>355</v>
      </c>
      <c r="L95" s="421" t="s">
        <v>357</v>
      </c>
      <c r="M95" s="453"/>
      <c r="N95" s="475" t="s">
        <v>252</v>
      </c>
      <c r="O95" s="455">
        <v>11</v>
      </c>
      <c r="P95" s="448">
        <v>3</v>
      </c>
      <c r="Q95" s="446">
        <v>4</v>
      </c>
      <c r="R95" s="465">
        <v>12</v>
      </c>
      <c r="S95" s="455">
        <v>12</v>
      </c>
      <c r="T95" s="448">
        <v>1</v>
      </c>
      <c r="U95" s="446">
        <v>12</v>
      </c>
      <c r="V95" s="465">
        <v>12</v>
      </c>
      <c r="W95" s="453">
        <v>15</v>
      </c>
      <c r="X95" s="446">
        <v>65</v>
      </c>
      <c r="Y95" s="351">
        <v>20</v>
      </c>
      <c r="Z95" s="442">
        <f t="shared" si="6"/>
        <v>100</v>
      </c>
      <c r="AA95" s="442">
        <v>30</v>
      </c>
      <c r="AB95" s="442">
        <v>30</v>
      </c>
      <c r="AC95" s="396">
        <v>40</v>
      </c>
    </row>
    <row r="96" spans="9:29">
      <c r="I96" s="4">
        <f t="shared" si="4"/>
        <v>1</v>
      </c>
      <c r="J96" s="421" t="s">
        <v>354</v>
      </c>
      <c r="K96" s="421" t="s">
        <v>355</v>
      </c>
      <c r="L96" s="421" t="s">
        <v>358</v>
      </c>
      <c r="M96" s="453"/>
      <c r="N96" s="475" t="s">
        <v>252</v>
      </c>
      <c r="O96" s="455">
        <v>11</v>
      </c>
      <c r="P96" s="448">
        <v>3</v>
      </c>
      <c r="Q96" s="446">
        <v>4</v>
      </c>
      <c r="R96" s="465">
        <v>12</v>
      </c>
      <c r="S96" s="455">
        <v>12</v>
      </c>
      <c r="T96" s="448">
        <v>1</v>
      </c>
      <c r="U96" s="446">
        <v>12</v>
      </c>
      <c r="V96" s="465">
        <v>12</v>
      </c>
      <c r="W96" s="453">
        <v>15</v>
      </c>
      <c r="X96" s="446">
        <v>65</v>
      </c>
      <c r="Y96" s="351">
        <v>20</v>
      </c>
      <c r="Z96" s="442">
        <f t="shared" si="6"/>
        <v>100</v>
      </c>
      <c r="AA96" s="442">
        <v>30</v>
      </c>
      <c r="AB96" s="442">
        <v>30</v>
      </c>
      <c r="AC96" s="396">
        <v>40</v>
      </c>
    </row>
    <row r="97" spans="9:29">
      <c r="I97" s="7">
        <f t="shared" si="4"/>
        <v>1</v>
      </c>
      <c r="J97" s="426" t="s">
        <v>354</v>
      </c>
      <c r="K97" s="426" t="s">
        <v>355</v>
      </c>
      <c r="L97" s="426" t="s">
        <v>359</v>
      </c>
      <c r="M97" s="458"/>
      <c r="N97" s="477" t="s">
        <v>252</v>
      </c>
      <c r="O97" s="461">
        <v>11</v>
      </c>
      <c r="P97" s="429">
        <v>3</v>
      </c>
      <c r="Q97" s="427">
        <v>4</v>
      </c>
      <c r="R97" s="467">
        <v>12</v>
      </c>
      <c r="S97" s="461">
        <v>12</v>
      </c>
      <c r="T97" s="429">
        <v>1</v>
      </c>
      <c r="U97" s="427">
        <v>12</v>
      </c>
      <c r="V97" s="467">
        <v>12</v>
      </c>
      <c r="W97" s="458">
        <v>15</v>
      </c>
      <c r="X97" s="427">
        <v>65</v>
      </c>
      <c r="Y97" s="356">
        <v>20</v>
      </c>
      <c r="Z97" s="444">
        <f t="shared" si="6"/>
        <v>100</v>
      </c>
      <c r="AA97" s="442">
        <v>30</v>
      </c>
      <c r="AB97" s="442">
        <v>30</v>
      </c>
      <c r="AC97" s="396">
        <v>40</v>
      </c>
    </row>
    <row r="98" spans="9:29">
      <c r="I98" s="398">
        <f t="shared" si="4"/>
        <v>1</v>
      </c>
      <c r="J98" s="422" t="s">
        <v>354</v>
      </c>
      <c r="K98" s="422" t="s">
        <v>360</v>
      </c>
      <c r="L98" s="422" t="s">
        <v>361</v>
      </c>
      <c r="M98" s="459"/>
      <c r="N98" s="476" t="s">
        <v>252</v>
      </c>
      <c r="O98" s="454">
        <v>11</v>
      </c>
      <c r="P98" s="425">
        <v>3</v>
      </c>
      <c r="Q98" s="423">
        <v>4</v>
      </c>
      <c r="R98" s="466">
        <v>12</v>
      </c>
      <c r="S98" s="454">
        <v>12</v>
      </c>
      <c r="T98" s="425">
        <v>1</v>
      </c>
      <c r="U98" s="423">
        <v>12</v>
      </c>
      <c r="V98" s="466">
        <v>12</v>
      </c>
      <c r="W98" s="459">
        <v>15</v>
      </c>
      <c r="X98" s="423">
        <v>65</v>
      </c>
      <c r="Y98" s="355">
        <v>20</v>
      </c>
      <c r="Z98" s="443">
        <f t="shared" si="6"/>
        <v>100</v>
      </c>
      <c r="AA98" s="443">
        <v>30</v>
      </c>
      <c r="AB98" s="442">
        <v>30</v>
      </c>
      <c r="AC98" s="396">
        <v>40</v>
      </c>
    </row>
    <row r="99" spans="9:29">
      <c r="I99" s="4">
        <f t="shared" si="4"/>
        <v>1</v>
      </c>
      <c r="J99" s="421" t="s">
        <v>354</v>
      </c>
      <c r="K99" s="421" t="s">
        <v>360</v>
      </c>
      <c r="L99" s="421" t="s">
        <v>362</v>
      </c>
      <c r="M99" s="453"/>
      <c r="N99" s="475" t="s">
        <v>252</v>
      </c>
      <c r="O99" s="455">
        <v>11</v>
      </c>
      <c r="P99" s="448">
        <v>3</v>
      </c>
      <c r="Q99" s="446">
        <v>4</v>
      </c>
      <c r="R99" s="465">
        <v>12</v>
      </c>
      <c r="S99" s="455">
        <v>12</v>
      </c>
      <c r="T99" s="448">
        <v>1</v>
      </c>
      <c r="U99" s="446">
        <v>12</v>
      </c>
      <c r="V99" s="465">
        <v>12</v>
      </c>
      <c r="W99" s="453">
        <v>15</v>
      </c>
      <c r="X99" s="446">
        <v>65</v>
      </c>
      <c r="Y99" s="351">
        <v>20</v>
      </c>
      <c r="Z99" s="442">
        <f t="shared" si="6"/>
        <v>100</v>
      </c>
      <c r="AA99" s="442">
        <v>30</v>
      </c>
      <c r="AB99" s="442">
        <v>30</v>
      </c>
      <c r="AC99" s="396">
        <v>40</v>
      </c>
    </row>
    <row r="100" spans="9:29">
      <c r="I100" s="4">
        <f t="shared" si="4"/>
        <v>1</v>
      </c>
      <c r="J100" s="421" t="s">
        <v>354</v>
      </c>
      <c r="K100" s="421" t="s">
        <v>360</v>
      </c>
      <c r="L100" s="421" t="s">
        <v>363</v>
      </c>
      <c r="M100" s="453"/>
      <c r="N100" s="475" t="s">
        <v>252</v>
      </c>
      <c r="O100" s="455">
        <v>11</v>
      </c>
      <c r="P100" s="448">
        <v>3</v>
      </c>
      <c r="Q100" s="446">
        <v>4</v>
      </c>
      <c r="R100" s="465">
        <v>12</v>
      </c>
      <c r="S100" s="455">
        <v>12</v>
      </c>
      <c r="T100" s="448">
        <v>1</v>
      </c>
      <c r="U100" s="446">
        <v>12</v>
      </c>
      <c r="V100" s="465">
        <v>12</v>
      </c>
      <c r="W100" s="453">
        <v>15</v>
      </c>
      <c r="X100" s="446">
        <v>65</v>
      </c>
      <c r="Y100" s="351">
        <v>20</v>
      </c>
      <c r="Z100" s="442">
        <f t="shared" si="6"/>
        <v>100</v>
      </c>
      <c r="AA100" s="442">
        <v>30</v>
      </c>
      <c r="AB100" s="442">
        <v>30</v>
      </c>
      <c r="AC100" s="396">
        <v>40</v>
      </c>
    </row>
    <row r="101" spans="9:29">
      <c r="I101" s="4">
        <f t="shared" si="4"/>
        <v>1</v>
      </c>
      <c r="J101" s="421" t="s">
        <v>354</v>
      </c>
      <c r="K101" s="421" t="s">
        <v>360</v>
      </c>
      <c r="L101" s="421" t="s">
        <v>364</v>
      </c>
      <c r="M101" s="453"/>
      <c r="N101" s="475" t="s">
        <v>252</v>
      </c>
      <c r="O101" s="455">
        <v>11</v>
      </c>
      <c r="P101" s="448">
        <v>3</v>
      </c>
      <c r="Q101" s="446">
        <v>4</v>
      </c>
      <c r="R101" s="465">
        <v>12</v>
      </c>
      <c r="S101" s="455">
        <v>12</v>
      </c>
      <c r="T101" s="448">
        <v>1</v>
      </c>
      <c r="U101" s="446">
        <v>12</v>
      </c>
      <c r="V101" s="465">
        <v>12</v>
      </c>
      <c r="W101" s="453">
        <v>15</v>
      </c>
      <c r="X101" s="446">
        <v>65</v>
      </c>
      <c r="Y101" s="351">
        <v>20</v>
      </c>
      <c r="Z101" s="442">
        <f t="shared" si="6"/>
        <v>100</v>
      </c>
      <c r="AA101" s="442">
        <v>30</v>
      </c>
      <c r="AB101" s="442">
        <v>30</v>
      </c>
      <c r="AC101" s="396">
        <v>40</v>
      </c>
    </row>
    <row r="102" spans="9:29">
      <c r="I102" s="4">
        <f t="shared" si="4"/>
        <v>1</v>
      </c>
      <c r="J102" s="421" t="s">
        <v>354</v>
      </c>
      <c r="K102" s="421" t="s">
        <v>360</v>
      </c>
      <c r="L102" s="421" t="s">
        <v>365</v>
      </c>
      <c r="M102" s="453"/>
      <c r="N102" s="475" t="s">
        <v>252</v>
      </c>
      <c r="O102" s="455">
        <v>11</v>
      </c>
      <c r="P102" s="448">
        <v>3</v>
      </c>
      <c r="Q102" s="446">
        <v>4</v>
      </c>
      <c r="R102" s="465">
        <v>12</v>
      </c>
      <c r="S102" s="455">
        <v>12</v>
      </c>
      <c r="T102" s="448">
        <v>1</v>
      </c>
      <c r="U102" s="446">
        <v>12</v>
      </c>
      <c r="V102" s="465">
        <v>12</v>
      </c>
      <c r="W102" s="453">
        <v>15</v>
      </c>
      <c r="X102" s="446">
        <v>65</v>
      </c>
      <c r="Y102" s="351">
        <v>20</v>
      </c>
      <c r="Z102" s="442">
        <f t="shared" si="6"/>
        <v>100</v>
      </c>
      <c r="AA102" s="442">
        <v>30</v>
      </c>
      <c r="AB102" s="442">
        <v>30</v>
      </c>
      <c r="AC102" s="396">
        <v>40</v>
      </c>
    </row>
    <row r="103" spans="9:29">
      <c r="I103" s="4">
        <f t="shared" ref="I103:I134" si="7">IF(COUNTIF($N103,"*"&amp;$F$7&amp;"*")&gt;0,1,0)</f>
        <v>1</v>
      </c>
      <c r="J103" s="421" t="s">
        <v>354</v>
      </c>
      <c r="K103" s="421" t="s">
        <v>360</v>
      </c>
      <c r="L103" s="421" t="s">
        <v>366</v>
      </c>
      <c r="M103" s="453"/>
      <c r="N103" s="475" t="s">
        <v>252</v>
      </c>
      <c r="O103" s="455">
        <v>11</v>
      </c>
      <c r="P103" s="448">
        <v>3</v>
      </c>
      <c r="Q103" s="446">
        <v>4</v>
      </c>
      <c r="R103" s="465">
        <v>12</v>
      </c>
      <c r="S103" s="455">
        <v>12</v>
      </c>
      <c r="T103" s="448">
        <v>1</v>
      </c>
      <c r="U103" s="446">
        <v>12</v>
      </c>
      <c r="V103" s="465">
        <v>12</v>
      </c>
      <c r="W103" s="453">
        <v>15</v>
      </c>
      <c r="X103" s="446">
        <v>65</v>
      </c>
      <c r="Y103" s="351">
        <v>20</v>
      </c>
      <c r="Z103" s="442">
        <f t="shared" si="6"/>
        <v>100</v>
      </c>
      <c r="AA103" s="442">
        <v>30</v>
      </c>
      <c r="AB103" s="442">
        <v>30</v>
      </c>
      <c r="AC103" s="396">
        <v>40</v>
      </c>
    </row>
    <row r="104" spans="9:29">
      <c r="I104" s="4">
        <f t="shared" si="7"/>
        <v>1</v>
      </c>
      <c r="J104" s="421" t="s">
        <v>354</v>
      </c>
      <c r="K104" s="421" t="s">
        <v>360</v>
      </c>
      <c r="L104" s="421" t="s">
        <v>367</v>
      </c>
      <c r="M104" s="453"/>
      <c r="N104" s="475" t="s">
        <v>252</v>
      </c>
      <c r="O104" s="455">
        <v>11</v>
      </c>
      <c r="P104" s="448">
        <v>3</v>
      </c>
      <c r="Q104" s="446">
        <v>4</v>
      </c>
      <c r="R104" s="465">
        <v>12</v>
      </c>
      <c r="S104" s="455">
        <v>12</v>
      </c>
      <c r="T104" s="448">
        <v>1</v>
      </c>
      <c r="U104" s="446">
        <v>12</v>
      </c>
      <c r="V104" s="465">
        <v>12</v>
      </c>
      <c r="W104" s="453">
        <v>15</v>
      </c>
      <c r="X104" s="446">
        <v>65</v>
      </c>
      <c r="Y104" s="351">
        <v>20</v>
      </c>
      <c r="Z104" s="442">
        <f t="shared" si="6"/>
        <v>100</v>
      </c>
      <c r="AA104" s="442">
        <v>30</v>
      </c>
      <c r="AB104" s="442">
        <v>30</v>
      </c>
      <c r="AC104" s="396">
        <v>40</v>
      </c>
    </row>
    <row r="105" spans="9:29">
      <c r="I105" s="4">
        <f t="shared" si="7"/>
        <v>1</v>
      </c>
      <c r="J105" s="421" t="s">
        <v>354</v>
      </c>
      <c r="K105" s="421" t="s">
        <v>360</v>
      </c>
      <c r="L105" s="421" t="s">
        <v>368</v>
      </c>
      <c r="M105" s="453"/>
      <c r="N105" s="475" t="s">
        <v>252</v>
      </c>
      <c r="O105" s="455">
        <v>11</v>
      </c>
      <c r="P105" s="448">
        <v>3</v>
      </c>
      <c r="Q105" s="446">
        <v>4</v>
      </c>
      <c r="R105" s="465">
        <v>12</v>
      </c>
      <c r="S105" s="455">
        <v>12</v>
      </c>
      <c r="T105" s="448">
        <v>1</v>
      </c>
      <c r="U105" s="446">
        <v>12</v>
      </c>
      <c r="V105" s="465">
        <v>12</v>
      </c>
      <c r="W105" s="453">
        <v>15</v>
      </c>
      <c r="X105" s="446">
        <v>65</v>
      </c>
      <c r="Y105" s="351">
        <v>20</v>
      </c>
      <c r="Z105" s="442">
        <f t="shared" si="6"/>
        <v>100</v>
      </c>
      <c r="AA105" s="442">
        <v>30</v>
      </c>
      <c r="AB105" s="442">
        <v>30</v>
      </c>
      <c r="AC105" s="396">
        <v>40</v>
      </c>
    </row>
    <row r="106" spans="9:29">
      <c r="I106" s="7">
        <f t="shared" si="7"/>
        <v>1</v>
      </c>
      <c r="J106" s="426" t="s">
        <v>354</v>
      </c>
      <c r="K106" s="426" t="s">
        <v>360</v>
      </c>
      <c r="L106" s="426" t="s">
        <v>369</v>
      </c>
      <c r="M106" s="458"/>
      <c r="N106" s="477" t="s">
        <v>252</v>
      </c>
      <c r="O106" s="461">
        <v>11</v>
      </c>
      <c r="P106" s="429">
        <v>3</v>
      </c>
      <c r="Q106" s="427">
        <v>4</v>
      </c>
      <c r="R106" s="467">
        <v>12</v>
      </c>
      <c r="S106" s="461">
        <v>12</v>
      </c>
      <c r="T106" s="429">
        <v>1</v>
      </c>
      <c r="U106" s="427">
        <v>12</v>
      </c>
      <c r="V106" s="467">
        <v>12</v>
      </c>
      <c r="W106" s="458">
        <v>15</v>
      </c>
      <c r="X106" s="427">
        <v>65</v>
      </c>
      <c r="Y106" s="356">
        <v>20</v>
      </c>
      <c r="Z106" s="444">
        <f t="shared" si="6"/>
        <v>100</v>
      </c>
      <c r="AA106" s="444">
        <v>30</v>
      </c>
      <c r="AB106" s="442">
        <v>30</v>
      </c>
      <c r="AC106" s="396">
        <v>40</v>
      </c>
    </row>
    <row r="107" spans="9:29">
      <c r="I107" s="398">
        <f t="shared" si="7"/>
        <v>1</v>
      </c>
      <c r="J107" s="422" t="s">
        <v>354</v>
      </c>
      <c r="K107" s="422" t="s">
        <v>370</v>
      </c>
      <c r="L107" s="422" t="s">
        <v>371</v>
      </c>
      <c r="M107" s="459"/>
      <c r="N107" s="476" t="s">
        <v>252</v>
      </c>
      <c r="O107" s="454">
        <v>11</v>
      </c>
      <c r="P107" s="425">
        <v>3</v>
      </c>
      <c r="Q107" s="423">
        <v>4</v>
      </c>
      <c r="R107" s="466">
        <v>12</v>
      </c>
      <c r="S107" s="454">
        <v>12</v>
      </c>
      <c r="T107" s="425">
        <v>1</v>
      </c>
      <c r="U107" s="423">
        <v>12</v>
      </c>
      <c r="V107" s="466">
        <v>12</v>
      </c>
      <c r="W107" s="459">
        <v>15</v>
      </c>
      <c r="X107" s="423">
        <v>65</v>
      </c>
      <c r="Y107" s="355">
        <v>20</v>
      </c>
      <c r="Z107" s="443">
        <f t="shared" si="6"/>
        <v>100</v>
      </c>
      <c r="AA107" s="443">
        <v>30</v>
      </c>
      <c r="AB107" s="442">
        <v>30</v>
      </c>
      <c r="AC107" s="396">
        <v>40</v>
      </c>
    </row>
    <row r="108" spans="9:29">
      <c r="I108" s="7">
        <f t="shared" si="7"/>
        <v>1</v>
      </c>
      <c r="J108" s="426" t="s">
        <v>354</v>
      </c>
      <c r="K108" s="426" t="s">
        <v>370</v>
      </c>
      <c r="L108" s="426" t="s">
        <v>372</v>
      </c>
      <c r="M108" s="458"/>
      <c r="N108" s="477" t="s">
        <v>252</v>
      </c>
      <c r="O108" s="461">
        <v>11</v>
      </c>
      <c r="P108" s="429">
        <v>3</v>
      </c>
      <c r="Q108" s="427">
        <v>4</v>
      </c>
      <c r="R108" s="467">
        <v>12</v>
      </c>
      <c r="S108" s="461">
        <v>12</v>
      </c>
      <c r="T108" s="429">
        <v>1</v>
      </c>
      <c r="U108" s="427">
        <v>12</v>
      </c>
      <c r="V108" s="467">
        <v>12</v>
      </c>
      <c r="W108" s="458">
        <v>15</v>
      </c>
      <c r="X108" s="427">
        <v>65</v>
      </c>
      <c r="Y108" s="356">
        <v>20</v>
      </c>
      <c r="Z108" s="444">
        <f t="shared" si="6"/>
        <v>100</v>
      </c>
      <c r="AA108" s="444">
        <v>30</v>
      </c>
      <c r="AB108" s="442">
        <v>30</v>
      </c>
      <c r="AC108" s="396">
        <v>40</v>
      </c>
    </row>
    <row r="109" spans="9:29">
      <c r="I109" s="398">
        <f t="shared" si="7"/>
        <v>1</v>
      </c>
      <c r="J109" s="422" t="s">
        <v>354</v>
      </c>
      <c r="K109" s="422" t="s">
        <v>373</v>
      </c>
      <c r="L109" s="422" t="s">
        <v>374</v>
      </c>
      <c r="M109" s="459"/>
      <c r="N109" s="476" t="s">
        <v>252</v>
      </c>
      <c r="O109" s="454">
        <v>11</v>
      </c>
      <c r="P109" s="425">
        <v>3</v>
      </c>
      <c r="Q109" s="423">
        <v>4</v>
      </c>
      <c r="R109" s="466">
        <v>12</v>
      </c>
      <c r="S109" s="454">
        <v>12</v>
      </c>
      <c r="T109" s="425">
        <v>1</v>
      </c>
      <c r="U109" s="423">
        <v>12</v>
      </c>
      <c r="V109" s="466">
        <v>12</v>
      </c>
      <c r="W109" s="459">
        <v>15</v>
      </c>
      <c r="X109" s="423">
        <v>65</v>
      </c>
      <c r="Y109" s="355">
        <v>20</v>
      </c>
      <c r="Z109" s="443">
        <f t="shared" si="6"/>
        <v>100</v>
      </c>
      <c r="AA109" s="443">
        <v>30</v>
      </c>
      <c r="AB109" s="442">
        <v>30</v>
      </c>
      <c r="AC109" s="396">
        <v>40</v>
      </c>
    </row>
    <row r="110" spans="9:29">
      <c r="I110" s="4">
        <f t="shared" si="7"/>
        <v>1</v>
      </c>
      <c r="J110" s="421" t="s">
        <v>354</v>
      </c>
      <c r="K110" s="421" t="s">
        <v>373</v>
      </c>
      <c r="L110" s="421" t="s">
        <v>375</v>
      </c>
      <c r="M110" s="453"/>
      <c r="N110" s="475" t="s">
        <v>252</v>
      </c>
      <c r="O110" s="455">
        <v>11</v>
      </c>
      <c r="P110" s="448">
        <v>3</v>
      </c>
      <c r="Q110" s="446">
        <v>4</v>
      </c>
      <c r="R110" s="465">
        <v>12</v>
      </c>
      <c r="S110" s="455">
        <v>12</v>
      </c>
      <c r="T110" s="448">
        <v>1</v>
      </c>
      <c r="U110" s="446">
        <v>12</v>
      </c>
      <c r="V110" s="465">
        <v>12</v>
      </c>
      <c r="W110" s="453">
        <v>15</v>
      </c>
      <c r="X110" s="446">
        <v>65</v>
      </c>
      <c r="Y110" s="351">
        <v>20</v>
      </c>
      <c r="Z110" s="442">
        <f t="shared" si="6"/>
        <v>100</v>
      </c>
      <c r="AA110" s="442">
        <v>30</v>
      </c>
      <c r="AB110" s="442">
        <v>30</v>
      </c>
      <c r="AC110" s="396">
        <v>40</v>
      </c>
    </row>
    <row r="111" spans="9:29">
      <c r="I111" s="4">
        <f t="shared" si="7"/>
        <v>0</v>
      </c>
      <c r="J111" s="421" t="s">
        <v>354</v>
      </c>
      <c r="K111" s="421" t="s">
        <v>373</v>
      </c>
      <c r="L111" s="421" t="s">
        <v>376</v>
      </c>
      <c r="M111" s="453"/>
      <c r="N111" s="475" t="s">
        <v>287</v>
      </c>
      <c r="O111" s="455" t="s">
        <v>242</v>
      </c>
      <c r="P111" s="448"/>
      <c r="Q111" s="446"/>
      <c r="R111" s="465"/>
      <c r="S111" s="455">
        <v>12</v>
      </c>
      <c r="T111" s="448">
        <v>1</v>
      </c>
      <c r="U111" s="446">
        <v>12</v>
      </c>
      <c r="V111" s="465">
        <v>12</v>
      </c>
      <c r="W111" s="453">
        <v>15</v>
      </c>
      <c r="X111" s="446">
        <v>65</v>
      </c>
      <c r="Y111" s="351">
        <v>20</v>
      </c>
      <c r="Z111" s="442">
        <f t="shared" si="6"/>
        <v>100</v>
      </c>
      <c r="AA111" s="442">
        <v>30</v>
      </c>
      <c r="AB111" s="442">
        <v>30</v>
      </c>
      <c r="AC111" s="396">
        <v>40</v>
      </c>
    </row>
    <row r="112" spans="9:29">
      <c r="I112" s="7">
        <f t="shared" si="7"/>
        <v>0</v>
      </c>
      <c r="J112" s="426" t="s">
        <v>354</v>
      </c>
      <c r="K112" s="426" t="s">
        <v>373</v>
      </c>
      <c r="L112" s="426" t="s">
        <v>377</v>
      </c>
      <c r="M112" s="458"/>
      <c r="N112" s="477" t="s">
        <v>287</v>
      </c>
      <c r="O112" s="461" t="s">
        <v>242</v>
      </c>
      <c r="P112" s="429"/>
      <c r="Q112" s="427"/>
      <c r="R112" s="467"/>
      <c r="S112" s="461">
        <v>12</v>
      </c>
      <c r="T112" s="429">
        <v>1</v>
      </c>
      <c r="U112" s="427">
        <v>12</v>
      </c>
      <c r="V112" s="467">
        <v>12</v>
      </c>
      <c r="W112" s="458">
        <v>15</v>
      </c>
      <c r="X112" s="427">
        <v>65</v>
      </c>
      <c r="Y112" s="356">
        <v>20</v>
      </c>
      <c r="Z112" s="444">
        <f t="shared" si="6"/>
        <v>100</v>
      </c>
      <c r="AA112" s="444">
        <v>30</v>
      </c>
      <c r="AB112" s="442">
        <v>30</v>
      </c>
      <c r="AC112" s="396">
        <v>40</v>
      </c>
    </row>
    <row r="113" spans="9:29">
      <c r="I113" s="398">
        <f t="shared" si="7"/>
        <v>1</v>
      </c>
      <c r="J113" s="422" t="s">
        <v>354</v>
      </c>
      <c r="K113" s="422" t="s">
        <v>378</v>
      </c>
      <c r="L113" s="422" t="s">
        <v>379</v>
      </c>
      <c r="M113" s="459"/>
      <c r="N113" s="476" t="s">
        <v>252</v>
      </c>
      <c r="O113" s="454">
        <v>11</v>
      </c>
      <c r="P113" s="425">
        <v>3</v>
      </c>
      <c r="Q113" s="423">
        <v>4</v>
      </c>
      <c r="R113" s="466">
        <v>12</v>
      </c>
      <c r="S113" s="454">
        <v>12</v>
      </c>
      <c r="T113" s="425">
        <v>1</v>
      </c>
      <c r="U113" s="423">
        <v>12</v>
      </c>
      <c r="V113" s="466">
        <v>12</v>
      </c>
      <c r="W113" s="459">
        <v>15</v>
      </c>
      <c r="X113" s="423">
        <v>65</v>
      </c>
      <c r="Y113" s="355">
        <v>20</v>
      </c>
      <c r="Z113" s="443">
        <f t="shared" si="6"/>
        <v>100</v>
      </c>
      <c r="AA113" s="443">
        <v>30</v>
      </c>
      <c r="AB113" s="442">
        <v>30</v>
      </c>
      <c r="AC113" s="396">
        <v>40</v>
      </c>
    </row>
    <row r="114" spans="9:29">
      <c r="I114" s="4">
        <f t="shared" si="7"/>
        <v>1</v>
      </c>
      <c r="J114" s="421" t="s">
        <v>354</v>
      </c>
      <c r="K114" s="421" t="s">
        <v>378</v>
      </c>
      <c r="L114" s="421" t="s">
        <v>380</v>
      </c>
      <c r="M114" s="453"/>
      <c r="N114" s="475" t="s">
        <v>252</v>
      </c>
      <c r="O114" s="455">
        <v>11</v>
      </c>
      <c r="P114" s="448">
        <v>3</v>
      </c>
      <c r="Q114" s="446">
        <v>4</v>
      </c>
      <c r="R114" s="465">
        <v>12</v>
      </c>
      <c r="S114" s="455">
        <v>12</v>
      </c>
      <c r="T114" s="448">
        <v>1</v>
      </c>
      <c r="U114" s="446">
        <v>12</v>
      </c>
      <c r="V114" s="465">
        <v>12</v>
      </c>
      <c r="W114" s="453">
        <v>15</v>
      </c>
      <c r="X114" s="446">
        <v>65</v>
      </c>
      <c r="Y114" s="351">
        <v>20</v>
      </c>
      <c r="Z114" s="442">
        <f t="shared" si="6"/>
        <v>100</v>
      </c>
      <c r="AA114" s="442">
        <v>30</v>
      </c>
      <c r="AB114" s="442">
        <v>30</v>
      </c>
      <c r="AC114" s="396">
        <v>40</v>
      </c>
    </row>
    <row r="115" spans="9:29">
      <c r="I115" s="4">
        <f t="shared" si="7"/>
        <v>1</v>
      </c>
      <c r="J115" s="421" t="s">
        <v>354</v>
      </c>
      <c r="K115" s="421" t="s">
        <v>378</v>
      </c>
      <c r="L115" s="421" t="s">
        <v>381</v>
      </c>
      <c r="M115" s="453"/>
      <c r="N115" s="475" t="s">
        <v>252</v>
      </c>
      <c r="O115" s="455">
        <v>11</v>
      </c>
      <c r="P115" s="448">
        <v>3</v>
      </c>
      <c r="Q115" s="446">
        <v>4</v>
      </c>
      <c r="R115" s="465">
        <v>12</v>
      </c>
      <c r="S115" s="455">
        <v>12</v>
      </c>
      <c r="T115" s="448">
        <v>1</v>
      </c>
      <c r="U115" s="446">
        <v>12</v>
      </c>
      <c r="V115" s="465">
        <v>12</v>
      </c>
      <c r="W115" s="453">
        <v>15</v>
      </c>
      <c r="X115" s="446">
        <v>65</v>
      </c>
      <c r="Y115" s="351">
        <v>20</v>
      </c>
      <c r="Z115" s="442">
        <f t="shared" si="6"/>
        <v>100</v>
      </c>
      <c r="AA115" s="442">
        <v>30</v>
      </c>
      <c r="AB115" s="442">
        <v>30</v>
      </c>
      <c r="AC115" s="396">
        <v>40</v>
      </c>
    </row>
    <row r="116" spans="9:29">
      <c r="I116" s="7">
        <f t="shared" si="7"/>
        <v>1</v>
      </c>
      <c r="J116" s="426" t="s">
        <v>354</v>
      </c>
      <c r="K116" s="426" t="s">
        <v>378</v>
      </c>
      <c r="L116" s="426" t="s">
        <v>382</v>
      </c>
      <c r="M116" s="458"/>
      <c r="N116" s="477" t="s">
        <v>252</v>
      </c>
      <c r="O116" s="461">
        <v>11</v>
      </c>
      <c r="P116" s="429">
        <v>3</v>
      </c>
      <c r="Q116" s="427">
        <v>4</v>
      </c>
      <c r="R116" s="467">
        <v>12</v>
      </c>
      <c r="S116" s="461">
        <v>12</v>
      </c>
      <c r="T116" s="429">
        <v>1</v>
      </c>
      <c r="U116" s="427">
        <v>12</v>
      </c>
      <c r="V116" s="467">
        <v>12</v>
      </c>
      <c r="W116" s="458">
        <v>15</v>
      </c>
      <c r="X116" s="427">
        <v>65</v>
      </c>
      <c r="Y116" s="356">
        <v>20</v>
      </c>
      <c r="Z116" s="444">
        <f t="shared" si="6"/>
        <v>100</v>
      </c>
      <c r="AA116" s="444">
        <v>30</v>
      </c>
      <c r="AB116" s="442">
        <v>30</v>
      </c>
      <c r="AC116" s="396">
        <v>40</v>
      </c>
    </row>
    <row r="117" spans="9:29">
      <c r="I117" s="398">
        <f t="shared" si="7"/>
        <v>1</v>
      </c>
      <c r="J117" s="422" t="s">
        <v>354</v>
      </c>
      <c r="K117" s="422" t="s">
        <v>383</v>
      </c>
      <c r="L117" s="422" t="s">
        <v>384</v>
      </c>
      <c r="M117" s="459"/>
      <c r="N117" s="476" t="s">
        <v>252</v>
      </c>
      <c r="O117" s="454">
        <v>11</v>
      </c>
      <c r="P117" s="425">
        <v>3</v>
      </c>
      <c r="Q117" s="423">
        <v>4</v>
      </c>
      <c r="R117" s="466">
        <v>12</v>
      </c>
      <c r="S117" s="454">
        <v>12</v>
      </c>
      <c r="T117" s="425">
        <v>1</v>
      </c>
      <c r="U117" s="423">
        <v>12</v>
      </c>
      <c r="V117" s="466">
        <v>12</v>
      </c>
      <c r="W117" s="459">
        <v>15</v>
      </c>
      <c r="X117" s="423">
        <v>65</v>
      </c>
      <c r="Y117" s="355">
        <v>20</v>
      </c>
      <c r="Z117" s="443">
        <f t="shared" si="6"/>
        <v>100</v>
      </c>
      <c r="AA117" s="443">
        <v>30</v>
      </c>
      <c r="AB117" s="442">
        <v>30</v>
      </c>
      <c r="AC117" s="396">
        <v>40</v>
      </c>
    </row>
    <row r="118" spans="9:29">
      <c r="I118" s="4">
        <f t="shared" si="7"/>
        <v>1</v>
      </c>
      <c r="J118" s="421" t="s">
        <v>354</v>
      </c>
      <c r="K118" s="421" t="s">
        <v>383</v>
      </c>
      <c r="L118" s="421" t="s">
        <v>385</v>
      </c>
      <c r="M118" s="453"/>
      <c r="N118" s="475" t="s">
        <v>252</v>
      </c>
      <c r="O118" s="455">
        <v>11</v>
      </c>
      <c r="P118" s="448">
        <v>3</v>
      </c>
      <c r="Q118" s="446">
        <v>4</v>
      </c>
      <c r="R118" s="465">
        <v>12</v>
      </c>
      <c r="S118" s="455">
        <v>12</v>
      </c>
      <c r="T118" s="448">
        <v>1</v>
      </c>
      <c r="U118" s="446">
        <v>12</v>
      </c>
      <c r="V118" s="465">
        <v>12</v>
      </c>
      <c r="W118" s="453">
        <v>15</v>
      </c>
      <c r="X118" s="446">
        <v>65</v>
      </c>
      <c r="Y118" s="351">
        <v>20</v>
      </c>
      <c r="Z118" s="442">
        <f t="shared" si="6"/>
        <v>100</v>
      </c>
      <c r="AA118" s="442">
        <v>30</v>
      </c>
      <c r="AB118" s="442">
        <v>30</v>
      </c>
      <c r="AC118" s="396">
        <v>40</v>
      </c>
    </row>
    <row r="119" spans="9:29">
      <c r="I119" s="7">
        <f t="shared" si="7"/>
        <v>1</v>
      </c>
      <c r="J119" s="426" t="s">
        <v>354</v>
      </c>
      <c r="K119" s="426" t="s">
        <v>383</v>
      </c>
      <c r="L119" s="426" t="s">
        <v>386</v>
      </c>
      <c r="M119" s="458"/>
      <c r="N119" s="477" t="s">
        <v>252</v>
      </c>
      <c r="O119" s="461">
        <v>11</v>
      </c>
      <c r="P119" s="429">
        <v>3</v>
      </c>
      <c r="Q119" s="427">
        <v>4</v>
      </c>
      <c r="R119" s="467">
        <v>12</v>
      </c>
      <c r="S119" s="461">
        <v>12</v>
      </c>
      <c r="T119" s="429">
        <v>1</v>
      </c>
      <c r="U119" s="427">
        <v>12</v>
      </c>
      <c r="V119" s="467">
        <v>12</v>
      </c>
      <c r="W119" s="458">
        <v>15</v>
      </c>
      <c r="X119" s="427">
        <v>65</v>
      </c>
      <c r="Y119" s="356">
        <v>20</v>
      </c>
      <c r="Z119" s="444">
        <f t="shared" si="6"/>
        <v>100</v>
      </c>
      <c r="AA119" s="444">
        <v>30</v>
      </c>
      <c r="AB119" s="442">
        <v>30</v>
      </c>
      <c r="AC119" s="396">
        <v>40</v>
      </c>
    </row>
    <row r="120" spans="9:29">
      <c r="I120" s="398">
        <f t="shared" si="7"/>
        <v>1</v>
      </c>
      <c r="J120" s="422" t="s">
        <v>354</v>
      </c>
      <c r="K120" s="422" t="s">
        <v>387</v>
      </c>
      <c r="L120" s="422" t="s">
        <v>388</v>
      </c>
      <c r="M120" s="459"/>
      <c r="N120" s="476" t="s">
        <v>252</v>
      </c>
      <c r="O120" s="454">
        <v>11</v>
      </c>
      <c r="P120" s="425">
        <v>3</v>
      </c>
      <c r="Q120" s="423">
        <v>4</v>
      </c>
      <c r="R120" s="466">
        <v>12</v>
      </c>
      <c r="S120" s="454">
        <v>12</v>
      </c>
      <c r="T120" s="425">
        <v>1</v>
      </c>
      <c r="U120" s="423">
        <v>12</v>
      </c>
      <c r="V120" s="466">
        <v>12</v>
      </c>
      <c r="W120" s="459">
        <v>15</v>
      </c>
      <c r="X120" s="423">
        <v>65</v>
      </c>
      <c r="Y120" s="355">
        <v>20</v>
      </c>
      <c r="Z120" s="443">
        <f t="shared" si="6"/>
        <v>100</v>
      </c>
      <c r="AA120" s="443">
        <v>30</v>
      </c>
      <c r="AB120" s="442">
        <v>30</v>
      </c>
      <c r="AC120" s="396">
        <v>40</v>
      </c>
    </row>
    <row r="121" spans="9:29">
      <c r="I121" s="4">
        <f t="shared" si="7"/>
        <v>1</v>
      </c>
      <c r="J121" s="421" t="s">
        <v>354</v>
      </c>
      <c r="K121" s="421" t="s">
        <v>387</v>
      </c>
      <c r="L121" s="421" t="s">
        <v>389</v>
      </c>
      <c r="M121" s="453"/>
      <c r="N121" s="475" t="s">
        <v>252</v>
      </c>
      <c r="O121" s="455">
        <v>11</v>
      </c>
      <c r="P121" s="448">
        <v>3</v>
      </c>
      <c r="Q121" s="446">
        <v>4</v>
      </c>
      <c r="R121" s="465">
        <v>12</v>
      </c>
      <c r="S121" s="455">
        <v>12</v>
      </c>
      <c r="T121" s="448">
        <v>1</v>
      </c>
      <c r="U121" s="446">
        <v>12</v>
      </c>
      <c r="V121" s="465">
        <v>12</v>
      </c>
      <c r="W121" s="453">
        <v>15</v>
      </c>
      <c r="X121" s="446">
        <v>65</v>
      </c>
      <c r="Y121" s="351">
        <v>20</v>
      </c>
      <c r="Z121" s="442">
        <f t="shared" si="6"/>
        <v>100</v>
      </c>
      <c r="AA121" s="442">
        <v>30</v>
      </c>
      <c r="AB121" s="442">
        <v>30</v>
      </c>
      <c r="AC121" s="396">
        <v>40</v>
      </c>
    </row>
    <row r="122" spans="9:29">
      <c r="I122" s="4">
        <f t="shared" si="7"/>
        <v>1</v>
      </c>
      <c r="J122" s="421" t="s">
        <v>354</v>
      </c>
      <c r="K122" s="421" t="s">
        <v>387</v>
      </c>
      <c r="L122" s="421" t="s">
        <v>390</v>
      </c>
      <c r="M122" s="453"/>
      <c r="N122" s="475" t="s">
        <v>252</v>
      </c>
      <c r="O122" s="455">
        <v>11</v>
      </c>
      <c r="P122" s="448">
        <v>3</v>
      </c>
      <c r="Q122" s="446">
        <v>4</v>
      </c>
      <c r="R122" s="465">
        <v>12</v>
      </c>
      <c r="S122" s="455">
        <v>12</v>
      </c>
      <c r="T122" s="448">
        <v>1</v>
      </c>
      <c r="U122" s="446">
        <v>12</v>
      </c>
      <c r="V122" s="465">
        <v>12</v>
      </c>
      <c r="W122" s="453">
        <v>15</v>
      </c>
      <c r="X122" s="446">
        <v>65</v>
      </c>
      <c r="Y122" s="351">
        <v>20</v>
      </c>
      <c r="Z122" s="442">
        <f t="shared" si="6"/>
        <v>100</v>
      </c>
      <c r="AA122" s="442">
        <v>30</v>
      </c>
      <c r="AB122" s="442">
        <v>30</v>
      </c>
      <c r="AC122" s="396">
        <v>40</v>
      </c>
    </row>
    <row r="123" spans="9:29">
      <c r="I123" s="4">
        <f t="shared" si="7"/>
        <v>1</v>
      </c>
      <c r="J123" s="421" t="s">
        <v>354</v>
      </c>
      <c r="K123" s="421" t="s">
        <v>387</v>
      </c>
      <c r="L123" s="421" t="s">
        <v>391</v>
      </c>
      <c r="M123" s="453"/>
      <c r="N123" s="475" t="s">
        <v>252</v>
      </c>
      <c r="O123" s="455">
        <v>11</v>
      </c>
      <c r="P123" s="448">
        <v>3</v>
      </c>
      <c r="Q123" s="446">
        <v>4</v>
      </c>
      <c r="R123" s="465">
        <v>12</v>
      </c>
      <c r="S123" s="455">
        <v>12</v>
      </c>
      <c r="T123" s="448">
        <v>1</v>
      </c>
      <c r="U123" s="446">
        <v>12</v>
      </c>
      <c r="V123" s="465">
        <v>12</v>
      </c>
      <c r="W123" s="453">
        <v>15</v>
      </c>
      <c r="X123" s="446">
        <v>65</v>
      </c>
      <c r="Y123" s="351">
        <v>20</v>
      </c>
      <c r="Z123" s="442">
        <f t="shared" si="6"/>
        <v>100</v>
      </c>
      <c r="AA123" s="442">
        <v>30</v>
      </c>
      <c r="AB123" s="442">
        <v>30</v>
      </c>
      <c r="AC123" s="396">
        <v>40</v>
      </c>
    </row>
    <row r="124" spans="9:29">
      <c r="I124" s="4">
        <f t="shared" si="7"/>
        <v>1</v>
      </c>
      <c r="J124" s="421" t="s">
        <v>354</v>
      </c>
      <c r="K124" s="421" t="s">
        <v>387</v>
      </c>
      <c r="L124" s="421" t="s">
        <v>392</v>
      </c>
      <c r="M124" s="453"/>
      <c r="N124" s="475" t="s">
        <v>252</v>
      </c>
      <c r="O124" s="455">
        <v>11</v>
      </c>
      <c r="P124" s="448">
        <v>3</v>
      </c>
      <c r="Q124" s="446">
        <v>4</v>
      </c>
      <c r="R124" s="465">
        <v>12</v>
      </c>
      <c r="S124" s="455">
        <v>12</v>
      </c>
      <c r="T124" s="448">
        <v>1</v>
      </c>
      <c r="U124" s="446">
        <v>12</v>
      </c>
      <c r="V124" s="465">
        <v>12</v>
      </c>
      <c r="W124" s="453">
        <v>15</v>
      </c>
      <c r="X124" s="446">
        <v>65</v>
      </c>
      <c r="Y124" s="351">
        <v>20</v>
      </c>
      <c r="Z124" s="442">
        <f t="shared" si="6"/>
        <v>100</v>
      </c>
      <c r="AA124" s="442">
        <v>30</v>
      </c>
      <c r="AB124" s="442">
        <v>30</v>
      </c>
      <c r="AC124" s="396">
        <v>40</v>
      </c>
    </row>
    <row r="125" spans="9:29">
      <c r="I125" s="4">
        <f t="shared" si="7"/>
        <v>1</v>
      </c>
      <c r="J125" s="421" t="s">
        <v>354</v>
      </c>
      <c r="K125" s="421" t="s">
        <v>387</v>
      </c>
      <c r="L125" s="421" t="s">
        <v>393</v>
      </c>
      <c r="M125" s="453"/>
      <c r="N125" s="475" t="s">
        <v>252</v>
      </c>
      <c r="O125" s="455">
        <v>11</v>
      </c>
      <c r="P125" s="448">
        <v>3</v>
      </c>
      <c r="Q125" s="446">
        <v>4</v>
      </c>
      <c r="R125" s="465">
        <v>12</v>
      </c>
      <c r="S125" s="455">
        <v>12</v>
      </c>
      <c r="T125" s="448">
        <v>1</v>
      </c>
      <c r="U125" s="446">
        <v>12</v>
      </c>
      <c r="V125" s="465">
        <v>12</v>
      </c>
      <c r="W125" s="453">
        <v>15</v>
      </c>
      <c r="X125" s="446">
        <v>65</v>
      </c>
      <c r="Y125" s="351">
        <v>20</v>
      </c>
      <c r="Z125" s="442">
        <f t="shared" si="6"/>
        <v>100</v>
      </c>
      <c r="AA125" s="442">
        <v>30</v>
      </c>
      <c r="AB125" s="442">
        <v>30</v>
      </c>
      <c r="AC125" s="396">
        <v>40</v>
      </c>
    </row>
    <row r="126" spans="9:29">
      <c r="I126" s="7">
        <f t="shared" si="7"/>
        <v>1</v>
      </c>
      <c r="J126" s="426" t="s">
        <v>354</v>
      </c>
      <c r="K126" s="426" t="s">
        <v>387</v>
      </c>
      <c r="L126" s="426" t="s">
        <v>394</v>
      </c>
      <c r="M126" s="458"/>
      <c r="N126" s="477" t="s">
        <v>252</v>
      </c>
      <c r="O126" s="461">
        <v>11</v>
      </c>
      <c r="P126" s="429">
        <v>3</v>
      </c>
      <c r="Q126" s="427">
        <v>4</v>
      </c>
      <c r="R126" s="467">
        <v>12</v>
      </c>
      <c r="S126" s="461">
        <v>12</v>
      </c>
      <c r="T126" s="429">
        <v>1</v>
      </c>
      <c r="U126" s="427">
        <v>12</v>
      </c>
      <c r="V126" s="467">
        <v>12</v>
      </c>
      <c r="W126" s="458">
        <v>15</v>
      </c>
      <c r="X126" s="427">
        <v>65</v>
      </c>
      <c r="Y126" s="356">
        <v>20</v>
      </c>
      <c r="Z126" s="444">
        <f t="shared" ref="Z126:Z142" si="8">SUM(W126:Y126)</f>
        <v>100</v>
      </c>
      <c r="AA126" s="444">
        <v>30</v>
      </c>
      <c r="AB126" s="442">
        <v>30</v>
      </c>
      <c r="AC126" s="396">
        <v>40</v>
      </c>
    </row>
    <row r="127" spans="9:29">
      <c r="I127" s="398">
        <f t="shared" si="7"/>
        <v>1</v>
      </c>
      <c r="J127" s="422" t="s">
        <v>354</v>
      </c>
      <c r="K127" s="422" t="s">
        <v>395</v>
      </c>
      <c r="L127" s="422" t="s">
        <v>396</v>
      </c>
      <c r="M127" s="459"/>
      <c r="N127" s="476" t="s">
        <v>252</v>
      </c>
      <c r="O127" s="454">
        <v>11</v>
      </c>
      <c r="P127" s="425">
        <v>3</v>
      </c>
      <c r="Q127" s="423">
        <v>4</v>
      </c>
      <c r="R127" s="466">
        <v>12</v>
      </c>
      <c r="S127" s="454">
        <v>12</v>
      </c>
      <c r="T127" s="425">
        <v>1</v>
      </c>
      <c r="U127" s="423">
        <v>12</v>
      </c>
      <c r="V127" s="466">
        <v>12</v>
      </c>
      <c r="W127" s="459">
        <v>15</v>
      </c>
      <c r="X127" s="423">
        <v>65</v>
      </c>
      <c r="Y127" s="355">
        <v>20</v>
      </c>
      <c r="Z127" s="443">
        <f t="shared" si="8"/>
        <v>100</v>
      </c>
      <c r="AA127" s="443">
        <v>30</v>
      </c>
      <c r="AB127" s="442">
        <v>30</v>
      </c>
      <c r="AC127" s="396">
        <v>40</v>
      </c>
    </row>
    <row r="128" spans="9:29">
      <c r="I128" s="4">
        <f t="shared" si="7"/>
        <v>1</v>
      </c>
      <c r="J128" s="421" t="s">
        <v>354</v>
      </c>
      <c r="K128" s="421" t="s">
        <v>395</v>
      </c>
      <c r="L128" s="421" t="s">
        <v>397</v>
      </c>
      <c r="M128" s="453"/>
      <c r="N128" s="475" t="s">
        <v>252</v>
      </c>
      <c r="O128" s="455">
        <v>11</v>
      </c>
      <c r="P128" s="448">
        <v>3</v>
      </c>
      <c r="Q128" s="446">
        <v>4</v>
      </c>
      <c r="R128" s="465">
        <v>12</v>
      </c>
      <c r="S128" s="455">
        <v>12</v>
      </c>
      <c r="T128" s="448">
        <v>1</v>
      </c>
      <c r="U128" s="446">
        <v>12</v>
      </c>
      <c r="V128" s="465">
        <v>12</v>
      </c>
      <c r="W128" s="453">
        <v>15</v>
      </c>
      <c r="X128" s="446">
        <v>65</v>
      </c>
      <c r="Y128" s="351">
        <v>20</v>
      </c>
      <c r="Z128" s="442">
        <f t="shared" si="8"/>
        <v>100</v>
      </c>
      <c r="AA128" s="442">
        <v>30</v>
      </c>
      <c r="AB128" s="442">
        <v>30</v>
      </c>
      <c r="AC128" s="396">
        <v>40</v>
      </c>
    </row>
    <row r="129" spans="9:29">
      <c r="I129" s="4">
        <f t="shared" si="7"/>
        <v>1</v>
      </c>
      <c r="J129" s="421" t="s">
        <v>354</v>
      </c>
      <c r="K129" s="421" t="s">
        <v>395</v>
      </c>
      <c r="L129" s="421" t="s">
        <v>398</v>
      </c>
      <c r="M129" s="453"/>
      <c r="N129" s="475" t="s">
        <v>252</v>
      </c>
      <c r="O129" s="455">
        <v>11</v>
      </c>
      <c r="P129" s="448">
        <v>3</v>
      </c>
      <c r="Q129" s="446">
        <v>4</v>
      </c>
      <c r="R129" s="465">
        <v>12</v>
      </c>
      <c r="S129" s="455">
        <v>12</v>
      </c>
      <c r="T129" s="448">
        <v>1</v>
      </c>
      <c r="U129" s="446">
        <v>12</v>
      </c>
      <c r="V129" s="465">
        <v>12</v>
      </c>
      <c r="W129" s="453">
        <v>15</v>
      </c>
      <c r="X129" s="446">
        <v>65</v>
      </c>
      <c r="Y129" s="351">
        <v>20</v>
      </c>
      <c r="Z129" s="442">
        <f t="shared" si="8"/>
        <v>100</v>
      </c>
      <c r="AA129" s="442">
        <v>30</v>
      </c>
      <c r="AB129" s="442">
        <v>30</v>
      </c>
      <c r="AC129" s="396">
        <v>40</v>
      </c>
    </row>
    <row r="130" spans="9:29">
      <c r="I130" s="4">
        <f t="shared" si="7"/>
        <v>1</v>
      </c>
      <c r="J130" s="421" t="s">
        <v>354</v>
      </c>
      <c r="K130" s="421" t="s">
        <v>395</v>
      </c>
      <c r="L130" s="421" t="s">
        <v>399</v>
      </c>
      <c r="M130" s="453"/>
      <c r="N130" s="475" t="s">
        <v>252</v>
      </c>
      <c r="O130" s="455">
        <v>11</v>
      </c>
      <c r="P130" s="448">
        <v>3</v>
      </c>
      <c r="Q130" s="446">
        <v>4</v>
      </c>
      <c r="R130" s="465">
        <v>12</v>
      </c>
      <c r="S130" s="455">
        <v>12</v>
      </c>
      <c r="T130" s="448">
        <v>1</v>
      </c>
      <c r="U130" s="446">
        <v>12</v>
      </c>
      <c r="V130" s="465">
        <v>12</v>
      </c>
      <c r="W130" s="453">
        <v>15</v>
      </c>
      <c r="X130" s="446">
        <v>65</v>
      </c>
      <c r="Y130" s="351">
        <v>20</v>
      </c>
      <c r="Z130" s="442">
        <f t="shared" si="8"/>
        <v>100</v>
      </c>
      <c r="AA130" s="442">
        <v>30</v>
      </c>
      <c r="AB130" s="442">
        <v>30</v>
      </c>
      <c r="AC130" s="396">
        <v>40</v>
      </c>
    </row>
    <row r="131" spans="9:29">
      <c r="I131" s="4">
        <f t="shared" si="7"/>
        <v>1</v>
      </c>
      <c r="J131" s="421" t="s">
        <v>354</v>
      </c>
      <c r="K131" s="421" t="s">
        <v>395</v>
      </c>
      <c r="L131" s="421" t="s">
        <v>400</v>
      </c>
      <c r="M131" s="453"/>
      <c r="N131" s="475" t="s">
        <v>252</v>
      </c>
      <c r="O131" s="455">
        <v>11</v>
      </c>
      <c r="P131" s="448">
        <v>3</v>
      </c>
      <c r="Q131" s="446">
        <v>4</v>
      </c>
      <c r="R131" s="465">
        <v>12</v>
      </c>
      <c r="S131" s="455">
        <v>12</v>
      </c>
      <c r="T131" s="448">
        <v>1</v>
      </c>
      <c r="U131" s="446">
        <v>12</v>
      </c>
      <c r="V131" s="465">
        <v>12</v>
      </c>
      <c r="W131" s="453">
        <v>15</v>
      </c>
      <c r="X131" s="446">
        <v>65</v>
      </c>
      <c r="Y131" s="351">
        <v>20</v>
      </c>
      <c r="Z131" s="442">
        <f t="shared" si="8"/>
        <v>100</v>
      </c>
      <c r="AA131" s="442">
        <v>30</v>
      </c>
      <c r="AB131" s="442">
        <v>30</v>
      </c>
      <c r="AC131" s="396">
        <v>40</v>
      </c>
    </row>
    <row r="132" spans="9:29">
      <c r="I132" s="7">
        <f t="shared" si="7"/>
        <v>1</v>
      </c>
      <c r="J132" s="426" t="s">
        <v>354</v>
      </c>
      <c r="K132" s="426" t="s">
        <v>395</v>
      </c>
      <c r="L132" s="426" t="s">
        <v>401</v>
      </c>
      <c r="M132" s="458"/>
      <c r="N132" s="477" t="s">
        <v>252</v>
      </c>
      <c r="O132" s="461">
        <v>11</v>
      </c>
      <c r="P132" s="429">
        <v>3</v>
      </c>
      <c r="Q132" s="427">
        <v>4</v>
      </c>
      <c r="R132" s="467">
        <v>12</v>
      </c>
      <c r="S132" s="461">
        <v>12</v>
      </c>
      <c r="T132" s="429">
        <v>1</v>
      </c>
      <c r="U132" s="427">
        <v>12</v>
      </c>
      <c r="V132" s="467">
        <v>12</v>
      </c>
      <c r="W132" s="458">
        <v>15</v>
      </c>
      <c r="X132" s="427">
        <v>65</v>
      </c>
      <c r="Y132" s="356">
        <v>20</v>
      </c>
      <c r="Z132" s="444">
        <f t="shared" si="8"/>
        <v>100</v>
      </c>
      <c r="AA132" s="444">
        <v>30</v>
      </c>
      <c r="AB132" s="442">
        <v>30</v>
      </c>
      <c r="AC132" s="396">
        <v>40</v>
      </c>
    </row>
    <row r="133" spans="9:29">
      <c r="I133" s="398">
        <f t="shared" si="7"/>
        <v>1</v>
      </c>
      <c r="J133" s="422" t="s">
        <v>354</v>
      </c>
      <c r="K133" s="422" t="s">
        <v>402</v>
      </c>
      <c r="L133" s="422" t="s">
        <v>403</v>
      </c>
      <c r="M133" s="459"/>
      <c r="N133" s="476" t="s">
        <v>252</v>
      </c>
      <c r="O133" s="454">
        <v>11</v>
      </c>
      <c r="P133" s="425">
        <v>3</v>
      </c>
      <c r="Q133" s="423">
        <v>4</v>
      </c>
      <c r="R133" s="466">
        <v>12</v>
      </c>
      <c r="S133" s="454">
        <v>12</v>
      </c>
      <c r="T133" s="425">
        <v>1</v>
      </c>
      <c r="U133" s="423">
        <v>12</v>
      </c>
      <c r="V133" s="466">
        <v>12</v>
      </c>
      <c r="W133" s="459">
        <v>15</v>
      </c>
      <c r="X133" s="423">
        <v>65</v>
      </c>
      <c r="Y133" s="355">
        <v>20</v>
      </c>
      <c r="Z133" s="443">
        <f t="shared" si="8"/>
        <v>100</v>
      </c>
      <c r="AA133" s="443">
        <v>30</v>
      </c>
      <c r="AB133" s="442">
        <v>30</v>
      </c>
      <c r="AC133" s="396">
        <v>40</v>
      </c>
    </row>
    <row r="134" spans="9:29">
      <c r="I134" s="4">
        <f t="shared" si="7"/>
        <v>1</v>
      </c>
      <c r="J134" s="421" t="s">
        <v>354</v>
      </c>
      <c r="K134" s="421" t="s">
        <v>402</v>
      </c>
      <c r="L134" s="421" t="s">
        <v>404</v>
      </c>
      <c r="M134" s="453"/>
      <c r="N134" s="475" t="s">
        <v>252</v>
      </c>
      <c r="O134" s="455">
        <v>11</v>
      </c>
      <c r="P134" s="448">
        <v>3</v>
      </c>
      <c r="Q134" s="446">
        <v>4</v>
      </c>
      <c r="R134" s="465">
        <v>12</v>
      </c>
      <c r="S134" s="455">
        <v>12</v>
      </c>
      <c r="T134" s="448">
        <v>1</v>
      </c>
      <c r="U134" s="446">
        <v>12</v>
      </c>
      <c r="V134" s="465">
        <v>12</v>
      </c>
      <c r="W134" s="453">
        <v>15</v>
      </c>
      <c r="X134" s="446">
        <v>65</v>
      </c>
      <c r="Y134" s="351">
        <v>20</v>
      </c>
      <c r="Z134" s="442">
        <f t="shared" si="8"/>
        <v>100</v>
      </c>
      <c r="AA134" s="442">
        <v>30</v>
      </c>
      <c r="AB134" s="442">
        <v>30</v>
      </c>
      <c r="AC134" s="396">
        <v>40</v>
      </c>
    </row>
    <row r="135" spans="9:29">
      <c r="I135" s="4">
        <f t="shared" ref="I135:I147" si="9">IF(COUNTIF($N135,"*"&amp;$F$7&amp;"*")&gt;0,1,0)</f>
        <v>1</v>
      </c>
      <c r="J135" s="421" t="s">
        <v>354</v>
      </c>
      <c r="K135" s="421" t="s">
        <v>402</v>
      </c>
      <c r="L135" s="421" t="s">
        <v>405</v>
      </c>
      <c r="M135" s="453"/>
      <c r="N135" s="475" t="s">
        <v>252</v>
      </c>
      <c r="O135" s="455">
        <v>11</v>
      </c>
      <c r="P135" s="448">
        <v>3</v>
      </c>
      <c r="Q135" s="446">
        <v>4</v>
      </c>
      <c r="R135" s="465">
        <v>12</v>
      </c>
      <c r="S135" s="455">
        <v>12</v>
      </c>
      <c r="T135" s="448">
        <v>1</v>
      </c>
      <c r="U135" s="446">
        <v>12</v>
      </c>
      <c r="V135" s="465">
        <v>12</v>
      </c>
      <c r="W135" s="453">
        <v>15</v>
      </c>
      <c r="X135" s="446">
        <v>65</v>
      </c>
      <c r="Y135" s="351">
        <v>20</v>
      </c>
      <c r="Z135" s="442">
        <f t="shared" si="8"/>
        <v>100</v>
      </c>
      <c r="AA135" s="442">
        <v>30</v>
      </c>
      <c r="AB135" s="442">
        <v>30</v>
      </c>
      <c r="AC135" s="396">
        <v>40</v>
      </c>
    </row>
    <row r="136" spans="9:29">
      <c r="I136" s="4">
        <f t="shared" si="9"/>
        <v>1</v>
      </c>
      <c r="J136" s="421" t="s">
        <v>354</v>
      </c>
      <c r="K136" s="421" t="s">
        <v>402</v>
      </c>
      <c r="L136" s="421" t="s">
        <v>406</v>
      </c>
      <c r="M136" s="453"/>
      <c r="N136" s="475" t="s">
        <v>252</v>
      </c>
      <c r="O136" s="455">
        <v>11</v>
      </c>
      <c r="P136" s="448">
        <v>3</v>
      </c>
      <c r="Q136" s="446">
        <v>4</v>
      </c>
      <c r="R136" s="465">
        <v>12</v>
      </c>
      <c r="S136" s="455">
        <v>12</v>
      </c>
      <c r="T136" s="448">
        <v>1</v>
      </c>
      <c r="U136" s="446">
        <v>12</v>
      </c>
      <c r="V136" s="465">
        <v>12</v>
      </c>
      <c r="W136" s="453">
        <v>15</v>
      </c>
      <c r="X136" s="446">
        <v>65</v>
      </c>
      <c r="Y136" s="351">
        <v>20</v>
      </c>
      <c r="Z136" s="442">
        <f t="shared" si="8"/>
        <v>100</v>
      </c>
      <c r="AA136" s="442">
        <v>30</v>
      </c>
      <c r="AB136" s="442">
        <v>30</v>
      </c>
      <c r="AC136" s="396">
        <v>40</v>
      </c>
    </row>
    <row r="137" spans="9:29">
      <c r="I137" s="4">
        <f t="shared" si="9"/>
        <v>0</v>
      </c>
      <c r="J137" s="421" t="s">
        <v>354</v>
      </c>
      <c r="K137" s="421" t="s">
        <v>402</v>
      </c>
      <c r="L137" s="421" t="s">
        <v>407</v>
      </c>
      <c r="M137" s="453"/>
      <c r="N137" s="475" t="s">
        <v>287</v>
      </c>
      <c r="O137" s="455" t="s">
        <v>242</v>
      </c>
      <c r="P137" s="448"/>
      <c r="Q137" s="446"/>
      <c r="R137" s="465"/>
      <c r="S137" s="455">
        <v>12</v>
      </c>
      <c r="T137" s="448">
        <v>1</v>
      </c>
      <c r="U137" s="446">
        <v>12</v>
      </c>
      <c r="V137" s="465">
        <v>12</v>
      </c>
      <c r="W137" s="453">
        <v>15</v>
      </c>
      <c r="X137" s="446">
        <v>65</v>
      </c>
      <c r="Y137" s="351">
        <v>20</v>
      </c>
      <c r="Z137" s="442">
        <f t="shared" si="8"/>
        <v>100</v>
      </c>
      <c r="AA137" s="442">
        <v>30</v>
      </c>
      <c r="AB137" s="442">
        <v>30</v>
      </c>
      <c r="AC137" s="396">
        <v>40</v>
      </c>
    </row>
    <row r="138" spans="9:29">
      <c r="I138" s="7">
        <f t="shared" si="9"/>
        <v>0</v>
      </c>
      <c r="J138" s="426" t="s">
        <v>354</v>
      </c>
      <c r="K138" s="426" t="s">
        <v>402</v>
      </c>
      <c r="L138" s="426" t="s">
        <v>408</v>
      </c>
      <c r="M138" s="458"/>
      <c r="N138" s="477" t="s">
        <v>287</v>
      </c>
      <c r="O138" s="461" t="s">
        <v>242</v>
      </c>
      <c r="P138" s="429"/>
      <c r="Q138" s="427"/>
      <c r="R138" s="467"/>
      <c r="S138" s="461">
        <v>12</v>
      </c>
      <c r="T138" s="429">
        <v>1</v>
      </c>
      <c r="U138" s="427">
        <v>12</v>
      </c>
      <c r="V138" s="467">
        <v>12</v>
      </c>
      <c r="W138" s="458">
        <v>15</v>
      </c>
      <c r="X138" s="427">
        <v>65</v>
      </c>
      <c r="Y138" s="356">
        <v>20</v>
      </c>
      <c r="Z138" s="444">
        <f t="shared" si="8"/>
        <v>100</v>
      </c>
      <c r="AA138" s="444">
        <v>30</v>
      </c>
      <c r="AB138" s="442">
        <v>30</v>
      </c>
      <c r="AC138" s="396">
        <v>40</v>
      </c>
    </row>
    <row r="139" spans="9:29">
      <c r="I139" s="398">
        <f t="shared" si="9"/>
        <v>1</v>
      </c>
      <c r="J139" s="422" t="s">
        <v>354</v>
      </c>
      <c r="K139" s="422" t="s">
        <v>409</v>
      </c>
      <c r="L139" s="422" t="s">
        <v>410</v>
      </c>
      <c r="M139" s="459"/>
      <c r="N139" s="476" t="s">
        <v>252</v>
      </c>
      <c r="O139" s="454">
        <v>11</v>
      </c>
      <c r="P139" s="425">
        <v>3</v>
      </c>
      <c r="Q139" s="423">
        <v>4</v>
      </c>
      <c r="R139" s="466">
        <v>12</v>
      </c>
      <c r="S139" s="454">
        <v>12</v>
      </c>
      <c r="T139" s="425">
        <v>1</v>
      </c>
      <c r="U139" s="423">
        <v>12</v>
      </c>
      <c r="V139" s="466">
        <v>12</v>
      </c>
      <c r="W139" s="459">
        <v>15</v>
      </c>
      <c r="X139" s="423">
        <v>65</v>
      </c>
      <c r="Y139" s="355">
        <v>20</v>
      </c>
      <c r="Z139" s="443">
        <f t="shared" si="8"/>
        <v>100</v>
      </c>
      <c r="AA139" s="443">
        <v>30</v>
      </c>
      <c r="AB139" s="442">
        <v>30</v>
      </c>
      <c r="AC139" s="396">
        <v>40</v>
      </c>
    </row>
    <row r="140" spans="9:29">
      <c r="I140" s="4">
        <f t="shared" si="9"/>
        <v>1</v>
      </c>
      <c r="J140" s="421" t="s">
        <v>354</v>
      </c>
      <c r="K140" s="421" t="s">
        <v>409</v>
      </c>
      <c r="L140" s="421" t="s">
        <v>411</v>
      </c>
      <c r="M140" s="453"/>
      <c r="N140" s="475" t="s">
        <v>252</v>
      </c>
      <c r="O140" s="455">
        <v>11</v>
      </c>
      <c r="P140" s="448">
        <v>3</v>
      </c>
      <c r="Q140" s="446">
        <v>4</v>
      </c>
      <c r="R140" s="465">
        <v>12</v>
      </c>
      <c r="S140" s="455">
        <v>12</v>
      </c>
      <c r="T140" s="448">
        <v>1</v>
      </c>
      <c r="U140" s="446">
        <v>12</v>
      </c>
      <c r="V140" s="465">
        <v>12</v>
      </c>
      <c r="W140" s="453">
        <v>15</v>
      </c>
      <c r="X140" s="446">
        <v>65</v>
      </c>
      <c r="Y140" s="351">
        <v>20</v>
      </c>
      <c r="Z140" s="442">
        <f t="shared" si="8"/>
        <v>100</v>
      </c>
      <c r="AA140" s="442">
        <v>30</v>
      </c>
      <c r="AB140" s="442">
        <v>30</v>
      </c>
      <c r="AC140" s="396">
        <v>40</v>
      </c>
    </row>
    <row r="141" spans="9:29">
      <c r="I141" s="7">
        <f t="shared" si="9"/>
        <v>1</v>
      </c>
      <c r="J141" s="426" t="s">
        <v>354</v>
      </c>
      <c r="K141" s="426" t="s">
        <v>409</v>
      </c>
      <c r="L141" s="426" t="s">
        <v>412</v>
      </c>
      <c r="M141" s="458"/>
      <c r="N141" s="477" t="s">
        <v>252</v>
      </c>
      <c r="O141" s="461">
        <v>11</v>
      </c>
      <c r="P141" s="429">
        <v>3</v>
      </c>
      <c r="Q141" s="427">
        <v>4</v>
      </c>
      <c r="R141" s="467">
        <v>12</v>
      </c>
      <c r="S141" s="461">
        <v>12</v>
      </c>
      <c r="T141" s="429">
        <v>1</v>
      </c>
      <c r="U141" s="427">
        <v>12</v>
      </c>
      <c r="V141" s="467">
        <v>12</v>
      </c>
      <c r="W141" s="458">
        <v>15</v>
      </c>
      <c r="X141" s="427">
        <v>65</v>
      </c>
      <c r="Y141" s="356">
        <v>20</v>
      </c>
      <c r="Z141" s="444">
        <f t="shared" si="8"/>
        <v>100</v>
      </c>
      <c r="AA141" s="444">
        <v>30</v>
      </c>
      <c r="AB141" s="442">
        <v>30</v>
      </c>
      <c r="AC141" s="396">
        <v>40</v>
      </c>
    </row>
    <row r="142" spans="9:29">
      <c r="I142" s="398">
        <f t="shared" si="9"/>
        <v>0</v>
      </c>
      <c r="J142" s="422" t="s">
        <v>354</v>
      </c>
      <c r="K142" s="422" t="s">
        <v>413</v>
      </c>
      <c r="L142" s="422" t="s">
        <v>414</v>
      </c>
      <c r="M142" s="459">
        <v>320</v>
      </c>
      <c r="N142" s="476" t="s">
        <v>287</v>
      </c>
      <c r="O142" s="454" t="s">
        <v>242</v>
      </c>
      <c r="P142" s="425"/>
      <c r="Q142" s="423"/>
      <c r="R142" s="466"/>
      <c r="S142" s="454">
        <v>12</v>
      </c>
      <c r="T142" s="425">
        <v>1</v>
      </c>
      <c r="U142" s="423">
        <v>12</v>
      </c>
      <c r="V142" s="466">
        <v>12</v>
      </c>
      <c r="W142" s="459">
        <v>20</v>
      </c>
      <c r="X142" s="423">
        <v>80</v>
      </c>
      <c r="Y142" s="355"/>
      <c r="Z142" s="443">
        <f t="shared" si="8"/>
        <v>100</v>
      </c>
      <c r="AA142" s="443"/>
      <c r="AB142" s="442"/>
      <c r="AC142" s="396"/>
    </row>
    <row r="143" spans="9:29">
      <c r="I143" s="4">
        <f>IF(COUNTIF($N143,"*"&amp;$F$7&amp;"*")&gt;0,1,0)</f>
        <v>0</v>
      </c>
      <c r="J143" s="421" t="s">
        <v>354</v>
      </c>
      <c r="K143" s="421" t="s">
        <v>413</v>
      </c>
      <c r="L143" s="421" t="s">
        <v>415</v>
      </c>
      <c r="M143" s="453">
        <v>540</v>
      </c>
      <c r="N143" s="475" t="s">
        <v>287</v>
      </c>
      <c r="O143" s="455"/>
      <c r="P143" s="448"/>
      <c r="Q143" s="446"/>
      <c r="R143" s="465"/>
      <c r="S143" s="455">
        <v>12</v>
      </c>
      <c r="T143" s="448">
        <v>1</v>
      </c>
      <c r="U143" s="446">
        <v>21</v>
      </c>
      <c r="V143" s="465">
        <v>21</v>
      </c>
      <c r="W143" s="453">
        <v>20</v>
      </c>
      <c r="X143" s="446">
        <v>80</v>
      </c>
      <c r="Z143" s="442">
        <f t="shared" ref="Z143:Z146" si="10">SUM(W143:Y143)</f>
        <v>100</v>
      </c>
      <c r="AA143" s="442"/>
      <c r="AB143" s="442"/>
      <c r="AC143" s="396"/>
    </row>
    <row r="144" spans="9:29">
      <c r="I144" s="4">
        <f t="shared" si="9"/>
        <v>0</v>
      </c>
      <c r="J144" s="421" t="s">
        <v>354</v>
      </c>
      <c r="K144" s="421" t="s">
        <v>413</v>
      </c>
      <c r="L144" s="421" t="s">
        <v>416</v>
      </c>
      <c r="M144" s="453">
        <v>640</v>
      </c>
      <c r="N144" s="475" t="s">
        <v>287</v>
      </c>
      <c r="O144" s="455"/>
      <c r="P144" s="448"/>
      <c r="Q144" s="446"/>
      <c r="R144" s="465"/>
      <c r="S144" s="455">
        <v>12</v>
      </c>
      <c r="T144" s="448">
        <v>1</v>
      </c>
      <c r="U144" s="446">
        <v>24</v>
      </c>
      <c r="V144" s="465">
        <v>24</v>
      </c>
      <c r="W144" s="453">
        <v>20</v>
      </c>
      <c r="X144" s="446">
        <v>80</v>
      </c>
      <c r="Z144" s="442">
        <f t="shared" si="10"/>
        <v>100</v>
      </c>
      <c r="AA144" s="442"/>
      <c r="AB144" s="442"/>
      <c r="AC144" s="396"/>
    </row>
    <row r="145" spans="9:29">
      <c r="I145" s="4">
        <f>IF(COUNTIF($N145,"*"&amp;$F$7&amp;"*")&gt;0,1,0)</f>
        <v>0</v>
      </c>
      <c r="J145" s="421" t="s">
        <v>354</v>
      </c>
      <c r="K145" s="421" t="s">
        <v>413</v>
      </c>
      <c r="L145" s="421" t="s">
        <v>417</v>
      </c>
      <c r="M145" s="453">
        <v>540</v>
      </c>
      <c r="N145" s="475" t="s">
        <v>287</v>
      </c>
      <c r="O145" s="455"/>
      <c r="P145" s="448"/>
      <c r="Q145" s="446"/>
      <c r="R145" s="465"/>
      <c r="S145" s="455">
        <v>12</v>
      </c>
      <c r="T145" s="448">
        <v>2</v>
      </c>
      <c r="U145" s="449">
        <v>10.5</v>
      </c>
      <c r="V145" s="465">
        <v>21</v>
      </c>
      <c r="W145" s="453">
        <v>20</v>
      </c>
      <c r="X145" s="446">
        <v>80</v>
      </c>
      <c r="Z145" s="442">
        <f t="shared" si="10"/>
        <v>100</v>
      </c>
      <c r="AA145" s="442"/>
      <c r="AB145" s="442"/>
      <c r="AC145" s="396"/>
    </row>
    <row r="146" spans="9:29">
      <c r="I146" s="7">
        <f t="shared" si="9"/>
        <v>0</v>
      </c>
      <c r="J146" s="426" t="s">
        <v>354</v>
      </c>
      <c r="K146" s="426" t="s">
        <v>413</v>
      </c>
      <c r="L146" s="426" t="s">
        <v>418</v>
      </c>
      <c r="M146" s="458">
        <v>640</v>
      </c>
      <c r="N146" s="477" t="s">
        <v>287</v>
      </c>
      <c r="O146" s="461"/>
      <c r="P146" s="429"/>
      <c r="Q146" s="427"/>
      <c r="R146" s="467"/>
      <c r="S146" s="461">
        <v>12</v>
      </c>
      <c r="T146" s="429">
        <v>2</v>
      </c>
      <c r="U146" s="450">
        <v>12</v>
      </c>
      <c r="V146" s="467">
        <v>24</v>
      </c>
      <c r="W146" s="458">
        <v>20</v>
      </c>
      <c r="X146" s="427">
        <v>80</v>
      </c>
      <c r="Y146" s="356"/>
      <c r="Z146" s="444">
        <f t="shared" si="10"/>
        <v>100</v>
      </c>
      <c r="AA146" s="444"/>
      <c r="AB146" s="444"/>
      <c r="AC146" s="397"/>
    </row>
    <row r="147" spans="9:29">
      <c r="I147" s="430">
        <f t="shared" si="9"/>
        <v>1</v>
      </c>
      <c r="J147" s="431" t="s">
        <v>354</v>
      </c>
      <c r="K147" s="431" t="s">
        <v>147</v>
      </c>
      <c r="L147" s="432" t="str">
        <f>IF(G21=2,G10,"")</f>
        <v/>
      </c>
      <c r="M147" s="473"/>
      <c r="N147" s="479" t="s">
        <v>252</v>
      </c>
      <c r="O147" s="469">
        <v>11</v>
      </c>
      <c r="P147" s="433" t="str">
        <f>IF($G$21=2,'INPUT DATA'!$F$51,"")</f>
        <v/>
      </c>
      <c r="Q147" s="433" t="str">
        <f>IF($G$21=2,'INPUT DATA'!$F$52,"")</f>
        <v/>
      </c>
      <c r="R147" s="470" t="str">
        <f>IF($G$21=2,'INPUT DATA'!$F$53,"")</f>
        <v/>
      </c>
      <c r="S147" s="469">
        <v>12</v>
      </c>
      <c r="T147" s="433" t="str">
        <f>IF($G$21=2,'INPUT DATA'!$F$51,"")</f>
        <v/>
      </c>
      <c r="U147" s="433" t="str">
        <f>IF($G$21=2,'INPUT DATA'!$F$52,"")</f>
        <v/>
      </c>
      <c r="V147" s="470" t="str">
        <f>IF($G$21=2,'INPUT DATA'!$F$53,"")</f>
        <v/>
      </c>
      <c r="W147" s="462" t="e">
        <f>IF($G$21=2,'INPUT DATA'!$F$43,"")*100</f>
        <v>#VALUE!</v>
      </c>
      <c r="X147" s="434" t="e">
        <f>IF($G$21=2,'INPUT DATA'!$F$44,"")*100</f>
        <v>#VALUE!</v>
      </c>
      <c r="Y147" s="434" t="e">
        <f>IF($G$21=2,'INPUT DATA'!$F$45,"")*100</f>
        <v>#VALUE!</v>
      </c>
      <c r="Z147" s="482" t="e">
        <f>SUM(W147:Y147)</f>
        <v>#VALUE!</v>
      </c>
      <c r="AA147" s="451" t="e">
        <f>IF($G$21=2,'INPUT DATA'!$F$46,"")*100</f>
        <v>#VALUE!</v>
      </c>
      <c r="AB147" s="451" t="e">
        <f>IF($G$21=2,'INPUT DATA'!$F$47,"")*100</f>
        <v>#VALUE!</v>
      </c>
      <c r="AC147" s="435" t="e">
        <f>IF($G$21=2,'INPUT DATA'!$F$48,"")*100</f>
        <v>#VALUE!</v>
      </c>
    </row>
    <row r="148" spans="9:29">
      <c r="I148" s="519"/>
      <c r="J148" s="520"/>
      <c r="K148" s="520"/>
      <c r="L148" s="521"/>
      <c r="M148" s="522"/>
      <c r="N148" s="523"/>
      <c r="O148" s="524"/>
      <c r="P148" s="525"/>
      <c r="Q148" s="525"/>
      <c r="R148" s="526"/>
      <c r="S148" s="524"/>
      <c r="T148" s="525"/>
      <c r="U148" s="525"/>
      <c r="V148" s="526"/>
      <c r="W148" s="527"/>
      <c r="X148" s="528"/>
      <c r="Y148" s="528"/>
      <c r="Z148" s="529"/>
      <c r="AA148" s="530"/>
      <c r="AB148" s="530"/>
      <c r="AC148" s="531"/>
    </row>
    <row r="149" spans="9:29">
      <c r="I149" s="519"/>
      <c r="J149" s="520"/>
      <c r="K149" s="520"/>
      <c r="L149" s="521"/>
      <c r="M149" s="522"/>
      <c r="N149" s="523"/>
      <c r="O149" s="524"/>
      <c r="P149" s="525"/>
      <c r="Q149" s="525"/>
      <c r="R149" s="526"/>
      <c r="S149" s="524"/>
      <c r="T149" s="525"/>
      <c r="U149" s="525"/>
      <c r="V149" s="526"/>
      <c r="W149" s="527"/>
      <c r="X149" s="528"/>
      <c r="Y149" s="528"/>
      <c r="Z149" s="529"/>
      <c r="AA149" s="530"/>
      <c r="AB149" s="530"/>
      <c r="AC149" s="531"/>
    </row>
    <row r="150" spans="9:29">
      <c r="I150" s="519"/>
      <c r="J150" s="520"/>
      <c r="K150" s="520"/>
      <c r="L150" s="521"/>
      <c r="M150" s="522"/>
      <c r="N150" s="523"/>
      <c r="O150" s="524"/>
      <c r="P150" s="525"/>
      <c r="Q150" s="525"/>
      <c r="R150" s="526"/>
      <c r="S150" s="524"/>
      <c r="T150" s="525"/>
      <c r="U150" s="525"/>
      <c r="V150" s="526"/>
      <c r="W150" s="527"/>
      <c r="X150" s="528"/>
      <c r="Y150" s="528"/>
      <c r="Z150" s="529"/>
      <c r="AA150" s="530"/>
      <c r="AB150" s="530"/>
      <c r="AC150" s="531"/>
    </row>
    <row r="151" spans="9:29">
      <c r="I151" s="519"/>
      <c r="J151" s="520"/>
      <c r="K151" s="520"/>
      <c r="L151" s="521"/>
      <c r="M151" s="522"/>
      <c r="N151" s="523"/>
      <c r="O151" s="524"/>
      <c r="P151" s="525"/>
      <c r="Q151" s="525"/>
      <c r="R151" s="526"/>
      <c r="S151" s="524"/>
      <c r="T151" s="525"/>
      <c r="U151" s="525"/>
      <c r="V151" s="526"/>
      <c r="W151" s="527"/>
      <c r="X151" s="528"/>
      <c r="Y151" s="528"/>
      <c r="Z151" s="529"/>
      <c r="AA151" s="530"/>
      <c r="AB151" s="530"/>
      <c r="AC151" s="531"/>
    </row>
    <row r="152" spans="9:29">
      <c r="I152" s="519"/>
      <c r="J152" s="520"/>
      <c r="K152" s="520"/>
      <c r="L152" s="521"/>
      <c r="M152" s="522"/>
      <c r="N152" s="523"/>
      <c r="O152" s="524"/>
      <c r="P152" s="525"/>
      <c r="Q152" s="525"/>
      <c r="R152" s="526"/>
      <c r="S152" s="524"/>
      <c r="T152" s="525"/>
      <c r="U152" s="525"/>
      <c r="V152" s="526"/>
      <c r="W152" s="527"/>
      <c r="X152" s="528"/>
      <c r="Y152" s="528"/>
      <c r="Z152" s="532"/>
      <c r="AA152" s="533"/>
      <c r="AB152" s="533"/>
      <c r="AC152" s="534"/>
    </row>
    <row r="153" spans="9:29">
      <c r="I153" s="519"/>
      <c r="J153" s="520"/>
      <c r="K153" s="520"/>
      <c r="L153" s="521"/>
      <c r="M153" s="522"/>
      <c r="N153" s="523"/>
      <c r="O153" s="524"/>
      <c r="P153" s="525"/>
      <c r="Q153" s="525"/>
      <c r="R153" s="526"/>
      <c r="S153" s="524"/>
      <c r="T153" s="525"/>
      <c r="U153" s="525"/>
      <c r="V153" s="526"/>
      <c r="W153" s="527"/>
      <c r="X153" s="528"/>
      <c r="Y153" s="528"/>
      <c r="Z153" s="532"/>
      <c r="AA153" s="533"/>
      <c r="AB153" s="533"/>
      <c r="AC153" s="534"/>
    </row>
    <row r="154" spans="9:29">
      <c r="I154" s="519"/>
      <c r="J154" s="520"/>
      <c r="K154" s="520"/>
      <c r="L154" s="521"/>
      <c r="M154" s="522"/>
      <c r="N154" s="523"/>
      <c r="O154" s="524"/>
      <c r="P154" s="525"/>
      <c r="Q154" s="525"/>
      <c r="R154" s="526"/>
      <c r="S154" s="524"/>
      <c r="T154" s="525"/>
      <c r="U154" s="525"/>
      <c r="V154" s="526"/>
      <c r="W154" s="527"/>
      <c r="X154" s="528"/>
      <c r="Y154" s="528"/>
      <c r="Z154" s="532"/>
      <c r="AA154" s="533"/>
      <c r="AB154" s="533"/>
      <c r="AC154" s="534"/>
    </row>
    <row r="155" spans="9:29">
      <c r="I155" s="519"/>
      <c r="J155" s="520"/>
      <c r="K155" s="520"/>
      <c r="L155" s="521"/>
      <c r="M155" s="522"/>
      <c r="N155" s="523"/>
      <c r="O155" s="524"/>
      <c r="P155" s="525"/>
      <c r="Q155" s="525"/>
      <c r="R155" s="526"/>
      <c r="S155" s="524"/>
      <c r="T155" s="525"/>
      <c r="U155" s="525"/>
      <c r="V155" s="526"/>
      <c r="W155" s="527"/>
      <c r="X155" s="528"/>
      <c r="Y155" s="528"/>
      <c r="Z155" s="532"/>
      <c r="AA155" s="533"/>
      <c r="AB155" s="533"/>
      <c r="AC155" s="534"/>
    </row>
    <row r="156" spans="9:29">
      <c r="I156" s="359"/>
      <c r="J156" s="359"/>
      <c r="K156" s="359"/>
      <c r="L156" s="359"/>
      <c r="M156" s="359"/>
      <c r="N156" s="359"/>
      <c r="O156" s="359"/>
      <c r="P156" s="359"/>
      <c r="Q156" s="359"/>
      <c r="R156" s="359"/>
      <c r="S156" s="359"/>
      <c r="T156" s="359"/>
      <c r="U156" s="359"/>
      <c r="V156" s="359"/>
      <c r="W156" s="359"/>
      <c r="X156" s="359"/>
      <c r="Y156" s="359"/>
      <c r="Z156" s="359"/>
      <c r="AA156" s="359"/>
      <c r="AB156" s="359"/>
      <c r="AC156" s="359"/>
    </row>
    <row r="157" spans="9:29">
      <c r="I157" s="359"/>
      <c r="J157" s="359"/>
      <c r="K157" s="359"/>
      <c r="L157" s="359"/>
      <c r="M157" s="359"/>
      <c r="N157" s="359"/>
      <c r="O157" s="359"/>
      <c r="P157" s="359"/>
      <c r="Q157" s="359"/>
      <c r="R157" s="359"/>
      <c r="S157" s="359"/>
      <c r="T157" s="359"/>
      <c r="U157" s="359"/>
      <c r="V157" s="359"/>
      <c r="W157" s="359"/>
      <c r="X157" s="359"/>
      <c r="Y157" s="359"/>
      <c r="Z157" s="359"/>
      <c r="AA157" s="359"/>
      <c r="AB157" s="359"/>
      <c r="AC157" s="359"/>
    </row>
    <row r="158" spans="9:29">
      <c r="I158" s="359"/>
      <c r="J158" s="359"/>
      <c r="K158" s="359"/>
      <c r="L158" s="359"/>
      <c r="M158" s="359"/>
      <c r="N158" s="359"/>
      <c r="O158" s="359"/>
      <c r="P158" s="359"/>
      <c r="Q158" s="359"/>
      <c r="R158" s="359"/>
      <c r="S158" s="359"/>
      <c r="T158" s="359"/>
      <c r="U158" s="359"/>
      <c r="V158" s="359"/>
      <c r="W158" s="359"/>
      <c r="X158" s="359"/>
      <c r="Y158" s="359"/>
      <c r="Z158" s="359"/>
      <c r="AA158" s="359"/>
      <c r="AB158" s="359"/>
      <c r="AC158" s="359"/>
    </row>
    <row r="159" spans="9:29">
      <c r="I159" s="359"/>
      <c r="J159" s="359"/>
      <c r="K159" s="359"/>
      <c r="L159" s="359"/>
      <c r="M159" s="359"/>
      <c r="N159" s="359"/>
      <c r="O159" s="359"/>
      <c r="P159" s="359"/>
      <c r="Q159" s="359"/>
      <c r="R159" s="359"/>
      <c r="S159" s="359"/>
      <c r="T159" s="359"/>
      <c r="U159" s="359"/>
      <c r="V159" s="359"/>
      <c r="W159" s="359"/>
      <c r="X159" s="359"/>
      <c r="Y159" s="359"/>
      <c r="Z159" s="359"/>
      <c r="AA159" s="359"/>
      <c r="AB159" s="359"/>
      <c r="AC159" s="359"/>
    </row>
    <row r="160" spans="9:29">
      <c r="I160" s="359"/>
      <c r="J160" s="359"/>
      <c r="K160" s="359"/>
      <c r="L160" s="359"/>
      <c r="M160" s="359"/>
      <c r="N160" s="359"/>
      <c r="O160" s="359"/>
      <c r="P160" s="359"/>
      <c r="Q160" s="359"/>
      <c r="R160" s="359"/>
      <c r="S160" s="359"/>
      <c r="T160" s="359"/>
      <c r="U160" s="359"/>
      <c r="V160" s="359"/>
      <c r="W160" s="359"/>
      <c r="X160" s="359"/>
      <c r="Y160" s="359"/>
      <c r="Z160" s="359"/>
      <c r="AA160" s="359"/>
      <c r="AB160" s="359"/>
      <c r="AC160" s="359"/>
    </row>
    <row r="161" spans="9:16383">
      <c r="I161" s="359"/>
      <c r="J161" s="359"/>
      <c r="K161" s="359"/>
      <c r="L161" s="359"/>
      <c r="M161" s="359"/>
      <c r="N161" s="359"/>
      <c r="O161" s="359"/>
      <c r="P161" s="359"/>
      <c r="Q161" s="359"/>
      <c r="R161" s="359"/>
      <c r="S161" s="359"/>
      <c r="T161" s="359"/>
      <c r="U161" s="359"/>
      <c r="V161" s="359"/>
      <c r="W161" s="359"/>
      <c r="X161" s="359"/>
      <c r="Y161" s="359"/>
      <c r="Z161" s="359"/>
      <c r="AA161" s="359"/>
      <c r="AB161" s="359"/>
      <c r="AC161" s="359"/>
    </row>
    <row r="162" spans="9:1638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638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IFl2NpdJYdkVmM8Xs88VNrwvwKtNsijxkZOwMdO3aGbOtARqL3laclyZtq/tT832UM3y1/Y6FkAiPkhCm6yJQw==" saltValue="APohBbuuMBwuxyDZfXcWDQ==" spinCount="100000" sheet="1" selectLockedCells="1" selectUnlockedCells="1"/>
  <autoFilter ref="J6:Z163" xr:uid="{98BBB72E-5D41-4FF7-97A5-87CBA8F536B6}">
    <sortState xmlns:xlrd2="http://schemas.microsoft.com/office/spreadsheetml/2017/richdata2" ref="J7:Z163">
      <sortCondition ref="J6:J163"/>
    </sortState>
  </autoFilter>
  <mergeCells count="1">
    <mergeCell ref="AG5:AH5"/>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034b4d8-c8d0-41ef-913d-d07384aead31" xsi:nil="true"/>
    <lcf76f155ced4ddcb4097134ff3c332f xmlns="64bf4216-74e9-4610-a184-561035cc742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8E97E78DBE7041AD8A7FA7F8A49D70" ma:contentTypeVersion="19" ma:contentTypeDescription="Create a new document." ma:contentTypeScope="" ma:versionID="0a8e6ee408a15ce97abe1a36a3bc9b54">
  <xsd:schema xmlns:xsd="http://www.w3.org/2001/XMLSchema" xmlns:xs="http://www.w3.org/2001/XMLSchema" xmlns:p="http://schemas.microsoft.com/office/2006/metadata/properties" xmlns:ns2="64bf4216-74e9-4610-a184-561035cc7423" xmlns:ns3="f034b4d8-c8d0-41ef-913d-d07384aead31" targetNamespace="http://schemas.microsoft.com/office/2006/metadata/properties" ma:root="true" ma:fieldsID="2d47cb9459c4c1d1b7468f8676c313a1" ns2:_="" ns3:_="">
    <xsd:import namespace="64bf4216-74e9-4610-a184-561035cc7423"/>
    <xsd:import namespace="f034b4d8-c8d0-41ef-913d-d07384aead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f4216-74e9-4610-a184-561035cc7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34b4d8-c8d0-41ef-913d-d07384aead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5009e24-76a8-4d8c-8969-86e2c67c0c14}" ma:internalName="TaxCatchAll" ma:showField="CatchAllData" ma:web="f034b4d8-c8d0-41ef-913d-d07384aead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2003EF-95FF-4FE3-817C-85BC98C4FD8E}">
  <ds:schemaRefs>
    <ds:schemaRef ds:uri="http://schemas.microsoft.com/sharepoint/v3/contenttype/forms"/>
  </ds:schemaRefs>
</ds:datastoreItem>
</file>

<file path=customXml/itemProps2.xml><?xml version="1.0" encoding="utf-8"?>
<ds:datastoreItem xmlns:ds="http://schemas.openxmlformats.org/officeDocument/2006/customXml" ds:itemID="{AAAB09D3-F6C9-4EEC-BBC6-95D374D1F11F}">
  <ds:schemaRefs>
    <ds:schemaRef ds:uri="http://schemas.microsoft.com/office/2006/metadata/properties"/>
    <ds:schemaRef ds:uri="http://schemas.microsoft.com/office/infopath/2007/PartnerControls"/>
    <ds:schemaRef ds:uri="f034b4d8-c8d0-41ef-913d-d07384aead31"/>
    <ds:schemaRef ds:uri="64bf4216-74e9-4610-a184-561035cc7423"/>
  </ds:schemaRefs>
</ds:datastoreItem>
</file>

<file path=customXml/itemProps3.xml><?xml version="1.0" encoding="utf-8"?>
<ds:datastoreItem xmlns:ds="http://schemas.openxmlformats.org/officeDocument/2006/customXml" ds:itemID="{CBD57AB5-3FEB-4902-B975-83CA9FF1F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bf4216-74e9-4610-a184-561035cc7423"/>
    <ds:schemaRef ds:uri="f034b4d8-c8d0-41ef-913d-d07384aead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INSTRUCTIONS</vt:lpstr>
      <vt:lpstr>INPUT DATA</vt:lpstr>
      <vt:lpstr>Term 1</vt:lpstr>
      <vt:lpstr>Term 2</vt:lpstr>
      <vt:lpstr>Term 3</vt:lpstr>
      <vt:lpstr>FINAL GRADES</vt:lpstr>
      <vt:lpstr>HELPER</vt:lpstr>
      <vt:lpstr>'FINAL GRADES'!Print_Area</vt:lpstr>
      <vt:lpstr>'Term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Admin</cp:lastModifiedBy>
  <cp:revision/>
  <cp:lastPrinted>2026-09-03T06:15:23Z</cp:lastPrinted>
  <dcterms:created xsi:type="dcterms:W3CDTF">2015-06-02T20:29:55Z</dcterms:created>
  <dcterms:modified xsi:type="dcterms:W3CDTF">2026-09-26T11:19:10Z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ies>
</file>